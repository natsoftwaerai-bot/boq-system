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nattawut\Desktop\"/>
    </mc:Choice>
  </mc:AlternateContent>
  <xr:revisionPtr revIDLastSave="0" documentId="13_ncr:1_{3CD4BBF9-289A-4EC5-8E6B-37B9D6A5B1EA}" xr6:coauthVersionLast="47" xr6:coauthVersionMax="47" xr10:uidLastSave="{00000000-0000-0000-0000-000000000000}"/>
  <bookViews>
    <workbookView xWindow="-98" yWindow="-98" windowWidth="21795" windowHeight="14595" xr2:uid="{00000000-000D-0000-FFFF-FFFF00000000}"/>
  </bookViews>
  <sheets>
    <sheet name="บ้านแถว B1" sheetId="1" r:id="rId1"/>
    <sheet name="บ้านแถว B2" sheetId="2" r:id="rId2"/>
    <sheet name="บ้านแถว B3" sheetId="3" r:id="rId3"/>
    <sheet name="บ้านแถว B4" sheetId="4" r:id="rId4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4" l="1"/>
  <c r="F64" i="4" s="1"/>
  <c r="I64" i="4" s="1"/>
  <c r="F14" i="3"/>
  <c r="I14" i="3" s="1"/>
  <c r="F14" i="2"/>
  <c r="I14" i="2" s="1"/>
  <c r="F14" i="1"/>
  <c r="F64" i="1" s="1"/>
  <c r="I64" i="1" s="1"/>
  <c r="H264" i="4"/>
  <c r="F264" i="4"/>
  <c r="I264" i="4" s="1"/>
  <c r="I263" i="4"/>
  <c r="I262" i="4"/>
  <c r="I261" i="4"/>
  <c r="I260" i="4"/>
  <c r="I259" i="4"/>
  <c r="I258" i="4"/>
  <c r="I257" i="4"/>
  <c r="I256" i="4"/>
  <c r="I255" i="4"/>
  <c r="I254" i="4"/>
  <c r="I253" i="4"/>
  <c r="I252" i="4"/>
  <c r="I251" i="4"/>
  <c r="I250" i="4"/>
  <c r="I249" i="4"/>
  <c r="I248" i="4"/>
  <c r="I247" i="4"/>
  <c r="I246" i="4"/>
  <c r="I245" i="4"/>
  <c r="I244" i="4"/>
  <c r="I243" i="4"/>
  <c r="I242" i="4"/>
  <c r="H239" i="4"/>
  <c r="F239" i="4"/>
  <c r="I239" i="4" s="1"/>
  <c r="H238" i="4"/>
  <c r="F238" i="4"/>
  <c r="I238" i="4" s="1"/>
  <c r="I237" i="4"/>
  <c r="I236" i="4"/>
  <c r="I235" i="4"/>
  <c r="H233" i="4"/>
  <c r="I233" i="4" s="1"/>
  <c r="F233" i="4"/>
  <c r="I232" i="4"/>
  <c r="H230" i="4"/>
  <c r="I230" i="4" s="1"/>
  <c r="F230" i="4"/>
  <c r="I229" i="4"/>
  <c r="I228" i="4"/>
  <c r="I227" i="4"/>
  <c r="I226" i="4"/>
  <c r="I225" i="4"/>
  <c r="I224" i="4"/>
  <c r="I223" i="4"/>
  <c r="H222" i="4"/>
  <c r="F222" i="4"/>
  <c r="I222" i="4" s="1"/>
  <c r="I221" i="4"/>
  <c r="I220" i="4"/>
  <c r="I219" i="4"/>
  <c r="I218" i="4"/>
  <c r="I217" i="4"/>
  <c r="H213" i="4"/>
  <c r="F213" i="4"/>
  <c r="I213" i="4" s="1"/>
  <c r="I212" i="4"/>
  <c r="H212" i="4"/>
  <c r="F212" i="4"/>
  <c r="I211" i="4"/>
  <c r="I210" i="4"/>
  <c r="I209" i="4"/>
  <c r="I208" i="4"/>
  <c r="I207" i="4"/>
  <c r="I206" i="4"/>
  <c r="I205" i="4"/>
  <c r="I204" i="4"/>
  <c r="I203" i="4"/>
  <c r="I202" i="4"/>
  <c r="I201" i="4"/>
  <c r="I200" i="4"/>
  <c r="H198" i="4"/>
  <c r="I198" i="4" s="1"/>
  <c r="F198" i="4"/>
  <c r="I197" i="4"/>
  <c r="I196" i="4"/>
  <c r="I195" i="4"/>
  <c r="I194" i="4"/>
  <c r="I193" i="4"/>
  <c r="I192" i="4"/>
  <c r="I191" i="4"/>
  <c r="I190" i="4"/>
  <c r="I189" i="4"/>
  <c r="I188" i="4"/>
  <c r="I187" i="4"/>
  <c r="I186" i="4"/>
  <c r="I185" i="4"/>
  <c r="I184" i="4"/>
  <c r="H182" i="4"/>
  <c r="F182" i="4"/>
  <c r="I182" i="4" s="1"/>
  <c r="I181" i="4"/>
  <c r="I180" i="4"/>
  <c r="I179" i="4"/>
  <c r="I178" i="4"/>
  <c r="I177" i="4"/>
  <c r="I175" i="4"/>
  <c r="H175" i="4"/>
  <c r="F175" i="4"/>
  <c r="I174" i="4"/>
  <c r="I173" i="4"/>
  <c r="I172" i="4"/>
  <c r="I171" i="4"/>
  <c r="I170" i="4"/>
  <c r="I169" i="4"/>
  <c r="I168" i="4"/>
  <c r="I167" i="4"/>
  <c r="I166" i="4"/>
  <c r="I164" i="4"/>
  <c r="H164" i="4"/>
  <c r="F164" i="4"/>
  <c r="I163" i="4"/>
  <c r="I162" i="4"/>
  <c r="I161" i="4"/>
  <c r="I160" i="4"/>
  <c r="I159" i="4"/>
  <c r="I158" i="4"/>
  <c r="I157" i="4"/>
  <c r="I156" i="4"/>
  <c r="I155" i="4"/>
  <c r="I154" i="4"/>
  <c r="I153" i="4"/>
  <c r="I152" i="4"/>
  <c r="I151" i="4"/>
  <c r="I150" i="4"/>
  <c r="I149" i="4"/>
  <c r="I148" i="4"/>
  <c r="I147" i="4"/>
  <c r="I146" i="4"/>
  <c r="H144" i="4"/>
  <c r="F144" i="4"/>
  <c r="I144" i="4" s="1"/>
  <c r="I143" i="4"/>
  <c r="I142" i="4"/>
  <c r="I141" i="4"/>
  <c r="I140" i="4"/>
  <c r="I139" i="4"/>
  <c r="I138" i="4"/>
  <c r="I137" i="4"/>
  <c r="G137" i="4"/>
  <c r="I135" i="4"/>
  <c r="H135" i="4"/>
  <c r="F135" i="4"/>
  <c r="I134" i="4"/>
  <c r="I133" i="4"/>
  <c r="I132" i="4"/>
  <c r="I131" i="4"/>
  <c r="I130" i="4"/>
  <c r="I129" i="4"/>
  <c r="I128" i="4"/>
  <c r="I127" i="4"/>
  <c r="I126" i="4"/>
  <c r="I125" i="4"/>
  <c r="I124" i="4"/>
  <c r="I123" i="4"/>
  <c r="I122" i="4"/>
  <c r="H120" i="4"/>
  <c r="G120" i="4"/>
  <c r="F120" i="4"/>
  <c r="I120" i="4" s="1"/>
  <c r="I119" i="4"/>
  <c r="I118" i="4"/>
  <c r="I117" i="4"/>
  <c r="I116" i="4"/>
  <c r="I115" i="4"/>
  <c r="H113" i="4"/>
  <c r="F113" i="4"/>
  <c r="I113" i="4" s="1"/>
  <c r="I112" i="4"/>
  <c r="I111" i="4"/>
  <c r="H109" i="4"/>
  <c r="F109" i="4"/>
  <c r="I109" i="4" s="1"/>
  <c r="I108" i="4"/>
  <c r="I107" i="4"/>
  <c r="I106" i="4"/>
  <c r="I105" i="4"/>
  <c r="I104" i="4"/>
  <c r="I103" i="4"/>
  <c r="I102" i="4"/>
  <c r="I101" i="4"/>
  <c r="I100" i="4"/>
  <c r="H98" i="4"/>
  <c r="F98" i="4"/>
  <c r="I98" i="4" s="1"/>
  <c r="I97" i="4"/>
  <c r="I96" i="4"/>
  <c r="H94" i="4"/>
  <c r="I94" i="4" s="1"/>
  <c r="F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H64" i="4"/>
  <c r="H63" i="4"/>
  <c r="F63" i="4"/>
  <c r="I63" i="4" s="1"/>
  <c r="I62" i="4"/>
  <c r="I61" i="4"/>
  <c r="I60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H42" i="4"/>
  <c r="F42" i="4"/>
  <c r="I42" i="4" s="1"/>
  <c r="I41" i="4"/>
  <c r="I40" i="4"/>
  <c r="I39" i="4"/>
  <c r="I38" i="4"/>
  <c r="I36" i="4"/>
  <c r="H36" i="4"/>
  <c r="F36" i="4"/>
  <c r="I35" i="4"/>
  <c r="I34" i="4"/>
  <c r="I33" i="4"/>
  <c r="I32" i="4"/>
  <c r="I31" i="4"/>
  <c r="H29" i="4"/>
  <c r="F29" i="4"/>
  <c r="I29" i="4" s="1"/>
  <c r="I28" i="4"/>
  <c r="I27" i="4"/>
  <c r="I26" i="4"/>
  <c r="I25" i="4"/>
  <c r="H23" i="4"/>
  <c r="I23" i="4" s="1"/>
  <c r="F23" i="4"/>
  <c r="I22" i="4"/>
  <c r="I21" i="4"/>
  <c r="I20" i="4"/>
  <c r="I19" i="4"/>
  <c r="I18" i="4"/>
  <c r="H16" i="4"/>
  <c r="I15" i="4"/>
  <c r="I12" i="4"/>
  <c r="H12" i="4"/>
  <c r="F12" i="4"/>
  <c r="I11" i="4"/>
  <c r="I10" i="4"/>
  <c r="I9" i="4"/>
  <c r="I8" i="4"/>
  <c r="H264" i="3"/>
  <c r="F264" i="3"/>
  <c r="I264" i="3" s="1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H239" i="3"/>
  <c r="F239" i="3"/>
  <c r="I239" i="3" s="1"/>
  <c r="H238" i="3"/>
  <c r="F238" i="3"/>
  <c r="I238" i="3" s="1"/>
  <c r="I237" i="3"/>
  <c r="I236" i="3"/>
  <c r="I235" i="3"/>
  <c r="H233" i="3"/>
  <c r="I233" i="3" s="1"/>
  <c r="F233" i="3"/>
  <c r="I232" i="3"/>
  <c r="H230" i="3"/>
  <c r="I230" i="3" s="1"/>
  <c r="F230" i="3"/>
  <c r="I229" i="3"/>
  <c r="I228" i="3"/>
  <c r="I227" i="3"/>
  <c r="I226" i="3"/>
  <c r="I225" i="3"/>
  <c r="I224" i="3"/>
  <c r="I223" i="3"/>
  <c r="H222" i="3"/>
  <c r="F222" i="3"/>
  <c r="I222" i="3" s="1"/>
  <c r="I221" i="3"/>
  <c r="I220" i="3"/>
  <c r="I219" i="3"/>
  <c r="I218" i="3"/>
  <c r="I217" i="3"/>
  <c r="H213" i="3"/>
  <c r="F213" i="3"/>
  <c r="I213" i="3" s="1"/>
  <c r="I212" i="3"/>
  <c r="H212" i="3"/>
  <c r="F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H198" i="3"/>
  <c r="I198" i="3" s="1"/>
  <c r="F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H182" i="3"/>
  <c r="F182" i="3"/>
  <c r="I182" i="3" s="1"/>
  <c r="I181" i="3"/>
  <c r="I180" i="3"/>
  <c r="I179" i="3"/>
  <c r="I178" i="3"/>
  <c r="I177" i="3"/>
  <c r="I175" i="3"/>
  <c r="H175" i="3"/>
  <c r="F175" i="3"/>
  <c r="I174" i="3"/>
  <c r="I173" i="3"/>
  <c r="I172" i="3"/>
  <c r="I171" i="3"/>
  <c r="I170" i="3"/>
  <c r="I169" i="3"/>
  <c r="I168" i="3"/>
  <c r="I167" i="3"/>
  <c r="I166" i="3"/>
  <c r="I164" i="3"/>
  <c r="H164" i="3"/>
  <c r="F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H144" i="3"/>
  <c r="F144" i="3"/>
  <c r="I144" i="3" s="1"/>
  <c r="I143" i="3"/>
  <c r="I142" i="3"/>
  <c r="I141" i="3"/>
  <c r="I140" i="3"/>
  <c r="I139" i="3"/>
  <c r="I138" i="3"/>
  <c r="I137" i="3"/>
  <c r="G137" i="3"/>
  <c r="I135" i="3"/>
  <c r="H135" i="3"/>
  <c r="F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H120" i="3"/>
  <c r="G120" i="3"/>
  <c r="F120" i="3"/>
  <c r="I120" i="3" s="1"/>
  <c r="I119" i="3"/>
  <c r="I118" i="3"/>
  <c r="I117" i="3"/>
  <c r="I116" i="3"/>
  <c r="I115" i="3"/>
  <c r="H113" i="3"/>
  <c r="F113" i="3"/>
  <c r="I113" i="3" s="1"/>
  <c r="I112" i="3"/>
  <c r="I111" i="3"/>
  <c r="H109" i="3"/>
  <c r="F109" i="3"/>
  <c r="I109" i="3" s="1"/>
  <c r="I108" i="3"/>
  <c r="I107" i="3"/>
  <c r="I106" i="3"/>
  <c r="I105" i="3"/>
  <c r="I104" i="3"/>
  <c r="I103" i="3"/>
  <c r="I102" i="3"/>
  <c r="I101" i="3"/>
  <c r="I100" i="3"/>
  <c r="H98" i="3"/>
  <c r="F98" i="3"/>
  <c r="I98" i="3" s="1"/>
  <c r="I97" i="3"/>
  <c r="I96" i="3"/>
  <c r="H94" i="3"/>
  <c r="I94" i="3" s="1"/>
  <c r="F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H64" i="3"/>
  <c r="F64" i="3"/>
  <c r="I64" i="3" s="1"/>
  <c r="H63" i="3"/>
  <c r="F63" i="3"/>
  <c r="I63" i="3" s="1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H42" i="3"/>
  <c r="F42" i="3"/>
  <c r="I42" i="3" s="1"/>
  <c r="I41" i="3"/>
  <c r="I40" i="3"/>
  <c r="I39" i="3"/>
  <c r="I38" i="3"/>
  <c r="I36" i="3"/>
  <c r="H36" i="3"/>
  <c r="F36" i="3"/>
  <c r="I35" i="3"/>
  <c r="I34" i="3"/>
  <c r="I33" i="3"/>
  <c r="I32" i="3"/>
  <c r="I31" i="3"/>
  <c r="H29" i="3"/>
  <c r="F29" i="3"/>
  <c r="I29" i="3" s="1"/>
  <c r="I28" i="3"/>
  <c r="I27" i="3"/>
  <c r="I26" i="3"/>
  <c r="I25" i="3"/>
  <c r="H23" i="3"/>
  <c r="I23" i="3" s="1"/>
  <c r="F23" i="3"/>
  <c r="I22" i="3"/>
  <c r="I21" i="3"/>
  <c r="I20" i="3"/>
  <c r="I19" i="3"/>
  <c r="I18" i="3"/>
  <c r="H16" i="3"/>
  <c r="F16" i="3"/>
  <c r="I15" i="3"/>
  <c r="I12" i="3"/>
  <c r="H12" i="3"/>
  <c r="F12" i="3"/>
  <c r="I11" i="3"/>
  <c r="I10" i="3"/>
  <c r="I9" i="3"/>
  <c r="I8" i="3"/>
  <c r="I264" i="2"/>
  <c r="H264" i="2"/>
  <c r="F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39" i="2"/>
  <c r="H239" i="2"/>
  <c r="F239" i="2"/>
  <c r="H238" i="2"/>
  <c r="F238" i="2"/>
  <c r="I238" i="2" s="1"/>
  <c r="I237" i="2"/>
  <c r="I236" i="2"/>
  <c r="I235" i="2"/>
  <c r="H233" i="2"/>
  <c r="I233" i="2" s="1"/>
  <c r="F233" i="2"/>
  <c r="I232" i="2"/>
  <c r="H230" i="2"/>
  <c r="F230" i="2"/>
  <c r="I230" i="2" s="1"/>
  <c r="I229" i="2"/>
  <c r="I228" i="2"/>
  <c r="I227" i="2"/>
  <c r="I226" i="2"/>
  <c r="I225" i="2"/>
  <c r="I224" i="2"/>
  <c r="I223" i="2"/>
  <c r="I222" i="2"/>
  <c r="H222" i="2"/>
  <c r="F222" i="2"/>
  <c r="I221" i="2"/>
  <c r="I220" i="2"/>
  <c r="I219" i="2"/>
  <c r="I218" i="2"/>
  <c r="I217" i="2"/>
  <c r="H213" i="2"/>
  <c r="F213" i="2"/>
  <c r="I213" i="2" s="1"/>
  <c r="I212" i="2"/>
  <c r="H212" i="2"/>
  <c r="F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H198" i="2"/>
  <c r="F198" i="2"/>
  <c r="I198" i="2" s="1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H182" i="2"/>
  <c r="F182" i="2"/>
  <c r="I182" i="2" s="1"/>
  <c r="I181" i="2"/>
  <c r="I180" i="2"/>
  <c r="I179" i="2"/>
  <c r="I178" i="2"/>
  <c r="I177" i="2"/>
  <c r="H175" i="2"/>
  <c r="F175" i="2"/>
  <c r="I175" i="2" s="1"/>
  <c r="I174" i="2"/>
  <c r="I173" i="2"/>
  <c r="I172" i="2"/>
  <c r="I171" i="2"/>
  <c r="I170" i="2"/>
  <c r="I169" i="2"/>
  <c r="I168" i="2"/>
  <c r="I167" i="2"/>
  <c r="I166" i="2"/>
  <c r="H164" i="2"/>
  <c r="F164" i="2"/>
  <c r="I164" i="2" s="1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4" i="2"/>
  <c r="H144" i="2"/>
  <c r="F144" i="2"/>
  <c r="I143" i="2"/>
  <c r="I142" i="2"/>
  <c r="I141" i="2"/>
  <c r="I140" i="2"/>
  <c r="I139" i="2"/>
  <c r="I138" i="2"/>
  <c r="I137" i="2"/>
  <c r="G137" i="2"/>
  <c r="I135" i="2"/>
  <c r="H135" i="2"/>
  <c r="F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H120" i="2"/>
  <c r="G120" i="2"/>
  <c r="F120" i="2"/>
  <c r="I120" i="2" s="1"/>
  <c r="I119" i="2"/>
  <c r="I118" i="2"/>
  <c r="I117" i="2"/>
  <c r="I116" i="2"/>
  <c r="I115" i="2"/>
  <c r="I113" i="2"/>
  <c r="H113" i="2"/>
  <c r="F113" i="2"/>
  <c r="I112" i="2"/>
  <c r="I111" i="2"/>
  <c r="H109" i="2"/>
  <c r="F109" i="2"/>
  <c r="I109" i="2" s="1"/>
  <c r="I108" i="2"/>
  <c r="I107" i="2"/>
  <c r="I106" i="2"/>
  <c r="I105" i="2"/>
  <c r="I104" i="2"/>
  <c r="I103" i="2"/>
  <c r="I102" i="2"/>
  <c r="I101" i="2"/>
  <c r="I100" i="2"/>
  <c r="H98" i="2"/>
  <c r="F98" i="2"/>
  <c r="I98" i="2" s="1"/>
  <c r="I97" i="2"/>
  <c r="I96" i="2"/>
  <c r="H94" i="2"/>
  <c r="I94" i="2" s="1"/>
  <c r="F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H64" i="2"/>
  <c r="F64" i="2"/>
  <c r="I64" i="2" s="1"/>
  <c r="H63" i="2"/>
  <c r="F63" i="2"/>
  <c r="I63" i="2" s="1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H42" i="2"/>
  <c r="F42" i="2"/>
  <c r="I42" i="2" s="1"/>
  <c r="I41" i="2"/>
  <c r="I40" i="2"/>
  <c r="I39" i="2"/>
  <c r="I38" i="2"/>
  <c r="I36" i="2"/>
  <c r="H36" i="2"/>
  <c r="F36" i="2"/>
  <c r="I35" i="2"/>
  <c r="I34" i="2"/>
  <c r="I33" i="2"/>
  <c r="I32" i="2"/>
  <c r="I31" i="2"/>
  <c r="H29" i="2"/>
  <c r="F29" i="2"/>
  <c r="I29" i="2" s="1"/>
  <c r="I28" i="2"/>
  <c r="I27" i="2"/>
  <c r="I26" i="2"/>
  <c r="I25" i="2"/>
  <c r="H23" i="2"/>
  <c r="F23" i="2"/>
  <c r="I23" i="2" s="1"/>
  <c r="I22" i="2"/>
  <c r="I21" i="2"/>
  <c r="I20" i="2"/>
  <c r="I19" i="2"/>
  <c r="I18" i="2"/>
  <c r="H16" i="2"/>
  <c r="F16" i="2"/>
  <c r="I15" i="2"/>
  <c r="H12" i="2"/>
  <c r="F12" i="2"/>
  <c r="I12" i="2" s="1"/>
  <c r="I11" i="2"/>
  <c r="I10" i="2"/>
  <c r="I9" i="2"/>
  <c r="I8" i="2"/>
  <c r="H264" i="1"/>
  <c r="F264" i="1"/>
  <c r="I264" i="1" s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39" i="1"/>
  <c r="H239" i="1"/>
  <c r="F239" i="1"/>
  <c r="H238" i="1"/>
  <c r="I238" i="1" s="1"/>
  <c r="F238" i="1"/>
  <c r="I237" i="1"/>
  <c r="I236" i="1"/>
  <c r="I235" i="1"/>
  <c r="H233" i="1"/>
  <c r="F233" i="1"/>
  <c r="I233" i="1" s="1"/>
  <c r="I232" i="1"/>
  <c r="H230" i="1"/>
  <c r="F230" i="1"/>
  <c r="I230" i="1" s="1"/>
  <c r="I229" i="1"/>
  <c r="I228" i="1"/>
  <c r="I227" i="1"/>
  <c r="I226" i="1"/>
  <c r="I225" i="1"/>
  <c r="I224" i="1"/>
  <c r="I223" i="1"/>
  <c r="H222" i="1"/>
  <c r="I222" i="1" s="1"/>
  <c r="F222" i="1"/>
  <c r="I221" i="1"/>
  <c r="I220" i="1"/>
  <c r="I219" i="1"/>
  <c r="I218" i="1"/>
  <c r="I217" i="1"/>
  <c r="H213" i="1"/>
  <c r="F213" i="1"/>
  <c r="H212" i="1"/>
  <c r="I212" i="1" s="1"/>
  <c r="F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H198" i="1"/>
  <c r="F198" i="1"/>
  <c r="I198" i="1" s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H182" i="1"/>
  <c r="F182" i="1"/>
  <c r="I182" i="1" s="1"/>
  <c r="I181" i="1"/>
  <c r="I180" i="1"/>
  <c r="I179" i="1"/>
  <c r="I178" i="1"/>
  <c r="I177" i="1"/>
  <c r="H175" i="1"/>
  <c r="I175" i="1" s="1"/>
  <c r="F175" i="1"/>
  <c r="I174" i="1"/>
  <c r="I173" i="1"/>
  <c r="I172" i="1"/>
  <c r="I171" i="1"/>
  <c r="I170" i="1"/>
  <c r="I169" i="1"/>
  <c r="I168" i="1"/>
  <c r="I167" i="1"/>
  <c r="I166" i="1"/>
  <c r="H164" i="1"/>
  <c r="I164" i="1" s="1"/>
  <c r="F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4" i="1"/>
  <c r="H144" i="1"/>
  <c r="F144" i="1"/>
  <c r="I143" i="1"/>
  <c r="I142" i="1"/>
  <c r="I141" i="1"/>
  <c r="I140" i="1"/>
  <c r="I139" i="1"/>
  <c r="I138" i="1"/>
  <c r="I137" i="1"/>
  <c r="G137" i="1"/>
  <c r="H135" i="1"/>
  <c r="I135" i="1" s="1"/>
  <c r="F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H120" i="1"/>
  <c r="I120" i="1" s="1"/>
  <c r="G120" i="1"/>
  <c r="F120" i="1"/>
  <c r="I119" i="1"/>
  <c r="I118" i="1"/>
  <c r="I117" i="1"/>
  <c r="I116" i="1"/>
  <c r="I115" i="1"/>
  <c r="I113" i="1"/>
  <c r="H113" i="1"/>
  <c r="F113" i="1"/>
  <c r="I112" i="1"/>
  <c r="I111" i="1"/>
  <c r="H109" i="1"/>
  <c r="F109" i="1"/>
  <c r="I109" i="1" s="1"/>
  <c r="I108" i="1"/>
  <c r="I107" i="1"/>
  <c r="I106" i="1"/>
  <c r="I105" i="1"/>
  <c r="I104" i="1"/>
  <c r="I103" i="1"/>
  <c r="I102" i="1"/>
  <c r="I101" i="1"/>
  <c r="I100" i="1"/>
  <c r="H98" i="1"/>
  <c r="F98" i="1"/>
  <c r="I98" i="1" s="1"/>
  <c r="I97" i="1"/>
  <c r="I96" i="1"/>
  <c r="H94" i="1"/>
  <c r="F94" i="1"/>
  <c r="I94" i="1" s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H64" i="1"/>
  <c r="H63" i="1"/>
  <c r="F63" i="1"/>
  <c r="I63" i="1" s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H42" i="1"/>
  <c r="F42" i="1"/>
  <c r="I42" i="1" s="1"/>
  <c r="I41" i="1"/>
  <c r="I40" i="1"/>
  <c r="I39" i="1"/>
  <c r="I38" i="1"/>
  <c r="I36" i="1"/>
  <c r="H36" i="1"/>
  <c r="F36" i="1"/>
  <c r="I35" i="1"/>
  <c r="I34" i="1"/>
  <c r="I33" i="1"/>
  <c r="I32" i="1"/>
  <c r="I31" i="1"/>
  <c r="H29" i="1"/>
  <c r="F29" i="1"/>
  <c r="I29" i="1" s="1"/>
  <c r="I28" i="1"/>
  <c r="I27" i="1"/>
  <c r="I26" i="1"/>
  <c r="I25" i="1"/>
  <c r="H23" i="1"/>
  <c r="I23" i="1" s="1"/>
  <c r="F23" i="1"/>
  <c r="I22" i="1"/>
  <c r="I21" i="1"/>
  <c r="I20" i="1"/>
  <c r="I19" i="1"/>
  <c r="I18" i="1"/>
  <c r="H16" i="1"/>
  <c r="I15" i="1"/>
  <c r="I14" i="1"/>
  <c r="I12" i="1"/>
  <c r="H12" i="1"/>
  <c r="F12" i="1"/>
  <c r="I11" i="1"/>
  <c r="I10" i="1"/>
  <c r="I9" i="1"/>
  <c r="I8" i="1"/>
  <c r="I16" i="2" l="1"/>
  <c r="I14" i="4"/>
  <c r="F16" i="4"/>
  <c r="I16" i="4" s="1"/>
  <c r="I16" i="3"/>
  <c r="F16" i="1"/>
  <c r="I16" i="1" s="1"/>
  <c r="I213" i="1"/>
</calcChain>
</file>

<file path=xl/sharedStrings.xml><?xml version="1.0" encoding="utf-8"?>
<sst xmlns="http://schemas.openxmlformats.org/spreadsheetml/2006/main" count="1944" uniqueCount="285">
  <si>
    <t xml:space="preserve"> สถานที่ก่อสร้าง    โครงการ Prime Life Ayutthaya Ayutthaya ตำบลบ่อโพง อำเภอนครหลวง จังหวัดพระนครศรีอยุธยา</t>
  </si>
  <si>
    <t>บ้านริม 2 หลัง + บ้านกลาง 6 หลัง</t>
  </si>
  <si>
    <t>ลำดับที่</t>
  </si>
  <si>
    <t>รายการ</t>
  </si>
  <si>
    <t>จำนวน</t>
  </si>
  <si>
    <t>หน่วย</t>
  </si>
  <si>
    <t>ค่าวัสดุ</t>
  </si>
  <si>
    <t>ค่าแรงงาน</t>
  </si>
  <si>
    <t>รวมค่าวัสดุและ</t>
  </si>
  <si>
    <t>หมายเหตุ</t>
  </si>
  <si>
    <t>ราคาต่อหน่วย</t>
  </si>
  <si>
    <t>จำนวนเงิน (บาท)</t>
  </si>
  <si>
    <t>ค่าแรงงาน (บาท)</t>
  </si>
  <si>
    <t>งานโครงสร้างวิศวกรรม</t>
  </si>
  <si>
    <t xml:space="preserve"> 1.1 งานดิน หิน ทราย และฐานราก</t>
  </si>
  <si>
    <t xml:space="preserve">       - ขุดดินฐานรากและถมคืน (งานแบ็คโคร)</t>
  </si>
  <si>
    <t>วัน</t>
  </si>
  <si>
    <t xml:space="preserve">       - คอนกรีตผสมเสร็จ 280 กก./ตร.ซม. (ลูกบาศก์)</t>
  </si>
  <si>
    <t>ลบ.ม.</t>
  </si>
  <si>
    <t xml:space="preserve">       - คอนกรีตหยาบรองก้นฐานราก 1:3:5</t>
  </si>
  <si>
    <t xml:space="preserve">       - ทรายถมปรับระดับ</t>
  </si>
  <si>
    <t>รวมงานข้อ 1.1</t>
  </si>
  <si>
    <t xml:space="preserve"> 1.2 งานตอกเสาเข็ม</t>
  </si>
  <si>
    <t xml:space="preserve">       - เสาเข็ม ไอตัน ขนาด 0.18 x 0.18 x 16 ม.</t>
  </si>
  <si>
    <t>ต้น</t>
  </si>
  <si>
    <t xml:space="preserve">       - ค่าสกัดหัวเสาเข็ม</t>
  </si>
  <si>
    <t>รวมงานข้อ 1.2</t>
  </si>
  <si>
    <t xml:space="preserve"> 1.3 งานแบบหล่อคอนกรีต</t>
  </si>
  <si>
    <t xml:space="preserve">       - ไม้แบบทั่วไป </t>
  </si>
  <si>
    <t>แผ่น</t>
  </si>
  <si>
    <t xml:space="preserve">       - ไม้คร่าว</t>
  </si>
  <si>
    <t>ลบ.ฟ.</t>
  </si>
  <si>
    <t xml:space="preserve">       - ไม้ค้ำยัน</t>
  </si>
  <si>
    <t xml:space="preserve">       - ตะปูขนาดต่างๆ</t>
  </si>
  <si>
    <t>กก.</t>
  </si>
  <si>
    <t xml:space="preserve">       - ค่าแรงงานไม้แบบ</t>
  </si>
  <si>
    <t>ตร.ม.</t>
  </si>
  <si>
    <t>รวมงานข้อ 1.3</t>
  </si>
  <si>
    <t xml:space="preserve"> 1.4 งานคอนกรีตโครงสร้าง</t>
  </si>
  <si>
    <t xml:space="preserve">       - คอนกรีตหยาบ( lean)</t>
  </si>
  <si>
    <t xml:space="preserve">       - คอนกรีตผสมเสร็จ 320 กก./ตร.ซม. (ลูกบาศก์)</t>
  </si>
  <si>
    <t xml:space="preserve">       - เหล็กตะแกรง WIRE MESH Ø 6 มม. @ 0.20 ม. (ข้ออ้อย)</t>
  </si>
  <si>
    <t>รวมงานข้อ 1.4</t>
  </si>
  <si>
    <t xml:space="preserve"> 1.5 งานเหล็กเสริมคอนกรีต</t>
  </si>
  <si>
    <t xml:space="preserve">       - เหล็กเส้นกลมผิวเรียบ SR 24 ขนาด Ø 6 มม.</t>
  </si>
  <si>
    <t>ตัน</t>
  </si>
  <si>
    <t xml:space="preserve">       - เหล็กเส้นกลมผิวเรียบ SR 24 ขนาด Ø 9 มม.</t>
  </si>
  <si>
    <t xml:space="preserve">       - เหล็กเส้นกลมผิวข้ออ้อย SD 40 ขนาด Ø 12 มม.</t>
  </si>
  <si>
    <t xml:space="preserve">       - เหล็กเส้นกลมผิวข้ออ้อย SD 40 ขนาด Ø 16 มม.</t>
  </si>
  <si>
    <t xml:space="preserve">       - ลวดผูกเหล็ก Ø 1.25 มม. (เบอร์ 18)</t>
  </si>
  <si>
    <t>รวมงานข้อ 1.5</t>
  </si>
  <si>
    <t xml:space="preserve"> 1.6 งานผนังสำเร็จ (แบบหล่อพร้อมจับเซี้ยม)</t>
  </si>
  <si>
    <t xml:space="preserve">       - คอนกรีตผสมเสร็จ 280 กก./ตร.ซม. (ปั้ม)</t>
  </si>
  <si>
    <t xml:space="preserve">       - เหล็กตะแกรง WIRE MESH Ø 6 มม. @ 0.20 ม. </t>
  </si>
  <si>
    <t>รวมงานข้อ 1.6</t>
  </si>
  <si>
    <t xml:space="preserve"> 1.7 งานโครงหลังคาเหล็ก</t>
  </si>
  <si>
    <t xml:space="preserve">       - เหล็กกล่อง 1''*1''*1.8 มม.</t>
  </si>
  <si>
    <t>เส้น</t>
  </si>
  <si>
    <t xml:space="preserve">       - เหล็กกล่อง 2''*2''*1.8มม.</t>
  </si>
  <si>
    <t xml:space="preserve">       - เหล็กตัวซี C 100 x 50 x 2.0 มม.</t>
  </si>
  <si>
    <t xml:space="preserve">       - เหล็กตัวซี C 100 x 50 x 2.3 มม.</t>
  </si>
  <si>
    <t xml:space="preserve">       - เหล็กกล่อง 100*100*3.2 มม.</t>
  </si>
  <si>
    <t xml:space="preserve">       - เหล็กแฟตบาร์ 4" * 6.00 หนา 6.00 มม.</t>
  </si>
  <si>
    <t xml:space="preserve">       - เหล็กกล่อง 100*50*2.3 มม.</t>
  </si>
  <si>
    <t xml:space="preserve">       - เหล็กแผ่น 8' x 8' x 6 มม.</t>
  </si>
  <si>
    <t xml:space="preserve">       - เหล็กแผ่น 6' x 6' x 6 มม.</t>
  </si>
  <si>
    <t xml:space="preserve">       - เหล็กแฟตบาร์ 3" * 6.00 หนา 6.00 มม.</t>
  </si>
  <si>
    <t xml:space="preserve">       - ลวดเชื่อม KOBE 2.6 มม.</t>
  </si>
  <si>
    <t>ลัง</t>
  </si>
  <si>
    <t xml:space="preserve">       - ทาสีกันสนิมโครงเหล็กหลังคา KOBE สีเทา</t>
  </si>
  <si>
    <t>ถัง</t>
  </si>
  <si>
    <t xml:space="preserve">       - น้ำมันสน</t>
  </si>
  <si>
    <t xml:space="preserve">       - ใบตัดเหล็ก 14 นิ้ว</t>
  </si>
  <si>
    <t>ใบ</t>
  </si>
  <si>
    <t xml:space="preserve">  - งานติดตั้งโครงหลังคาเหล็ก </t>
  </si>
  <si>
    <t>ตรม</t>
  </si>
  <si>
    <t xml:space="preserve">  - งานทำมุกหน้าบ้าน</t>
  </si>
  <si>
    <t>หลัง</t>
  </si>
  <si>
    <t xml:space="preserve">  - งานตั้งเสา</t>
  </si>
  <si>
    <t xml:space="preserve">  - งานเชื่อมเหล็กท้าวแขน</t>
  </si>
  <si>
    <t xml:space="preserve">  - งานติดตั้งซีซาแนลมุกหน้าบ้าน</t>
  </si>
  <si>
    <t>เมตร</t>
  </si>
  <si>
    <t>รวมงานข้อ 1.7</t>
  </si>
  <si>
    <t>รวมค่างานโครงสร้างวิศวกรรมทั้งหมด</t>
  </si>
  <si>
    <t>รวม</t>
  </si>
  <si>
    <t>งานสถาปัตยกรรม</t>
  </si>
  <si>
    <t xml:space="preserve"> 2.1 งานประปาโครงสร้าง</t>
  </si>
  <si>
    <t xml:space="preserve">       - ท่อ PVC C5 6 นิ้ว แบบบาน</t>
  </si>
  <si>
    <t xml:space="preserve">       - ท่อ PVC C5 4 นิ้ว </t>
  </si>
  <si>
    <t xml:space="preserve">       - ท่อ PVC C5 2.5 นิ้ว </t>
  </si>
  <si>
    <t xml:space="preserve">       - ท่อ PVC C5 2 นิ้ว </t>
  </si>
  <si>
    <t xml:space="preserve">       - ท่อ PVC C5 1.5 นิ้ว </t>
  </si>
  <si>
    <t xml:space="preserve">       - ท่อ PVC C5 1 นิ้ว </t>
  </si>
  <si>
    <t xml:space="preserve">       - ท่อ PVC C13.5 3/4</t>
  </si>
  <si>
    <t xml:space="preserve">       - ข้องอ 90 4 นิ้ว แบบบาง</t>
  </si>
  <si>
    <t>ตัว</t>
  </si>
  <si>
    <t xml:space="preserve">       - ข้องอ 45 4 นิ้ว แบบบาง</t>
  </si>
  <si>
    <t xml:space="preserve">       - ข้องอ 90 2.5 นิ้ว แบบบาง</t>
  </si>
  <si>
    <t xml:space="preserve">       - ข้อต่อสามทาง 2.5 นิ้ว แบบบาง</t>
  </si>
  <si>
    <t xml:space="preserve">       - ข้องอ 90 2 นิ้ว แบบบาง</t>
  </si>
  <si>
    <t xml:space="preserve">       - ข้องอ 90 1.5 นิ้ว แบบบาง</t>
  </si>
  <si>
    <t xml:space="preserve">       - ข้อต่อสามทาง 2 นิ้ว แบบบาง</t>
  </si>
  <si>
    <t xml:space="preserve">       - ข้อต่อตรง 2 นิ้ว ลด 1.5 นิ้ว แบบบาง</t>
  </si>
  <si>
    <t xml:space="preserve">       - ข้อต่อตรงเกลียวนอก 1.5 นิ้ว แบบบาง</t>
  </si>
  <si>
    <t xml:space="preserve">       - ข้อต่อตรง 1.5 นิ้ว ลด 1 นิ้ว แบบบาง</t>
  </si>
  <si>
    <t xml:space="preserve">       - ข้อต่อตรง 1 นิ้ว ลด 3/4 นิ้ว แบบบาง</t>
  </si>
  <si>
    <t xml:space="preserve">       - ข้องอ 90 3/4 นิ้ว </t>
  </si>
  <si>
    <t xml:space="preserve">       - กาวทาท่อ 1000G</t>
  </si>
  <si>
    <t>ก.ป.</t>
  </si>
  <si>
    <t xml:space="preserve">       - ถังบำบัดน้ำเสีย DOS 1600 L</t>
  </si>
  <si>
    <t xml:space="preserve">      - ท่อ PE เกษตร 20*20</t>
  </si>
  <si>
    <t>ม้วน</t>
  </si>
  <si>
    <t xml:space="preserve">       - ถังดักไขมัน 25 L</t>
  </si>
  <si>
    <t xml:space="preserve">       - พลาสติกใส ขาวขุน 1.40*50</t>
  </si>
  <si>
    <t xml:space="preserve">       - บ่อพัก พร้อมฝา ขนาด 0.35*0.40 ม.</t>
  </si>
  <si>
    <t>อัน</t>
  </si>
  <si>
    <t xml:space="preserve">       - ฝาบ่อพัก </t>
  </si>
  <si>
    <t>ฝา</t>
  </si>
  <si>
    <t>รวมงานข้อ 2.1</t>
  </si>
  <si>
    <t xml:space="preserve"> 2.3 งานผนังจับเซี้ยมอุดรู เจีย</t>
  </si>
  <si>
    <t xml:space="preserve">       - ปูนก่ออิฐมวลเบา</t>
  </si>
  <si>
    <t>ลูก</t>
  </si>
  <si>
    <t xml:space="preserve">       - ปูนฉาบอิฐมวลเบา M210</t>
  </si>
  <si>
    <t>รวมงานข้อ 2.3</t>
  </si>
  <si>
    <t xml:space="preserve"> 2.4 งานก่อรั้วหน้าบ้าน</t>
  </si>
  <si>
    <t xml:space="preserve">       - ผนังก่ออิฐบล็อค</t>
  </si>
  <si>
    <t>ก้อน</t>
  </si>
  <si>
    <t xml:space="preserve">       - หิน3/4</t>
  </si>
  <si>
    <t>คิว</t>
  </si>
  <si>
    <t xml:space="preserve">       - ทรายหยาบ</t>
  </si>
  <si>
    <t xml:space="preserve">       - ปูนเขียว TPI 197</t>
  </si>
  <si>
    <t xml:space="preserve">       - ปูนฉาบสำเร็จ M209</t>
  </si>
  <si>
    <t xml:space="preserve">       - ปูนแดง TPI </t>
  </si>
  <si>
    <t xml:space="preserve">       - เหล็กทับหลังสำเร็จ (50ม.)</t>
  </si>
  <si>
    <t xml:space="preserve">       - ค่าแรงงานก่อรั้วหน้าบ้าน</t>
  </si>
  <si>
    <t>รวมงานข้อ 2.4</t>
  </si>
  <si>
    <t xml:space="preserve"> 2.5 งานเทพื้นที่จอดรถหน้าบ้าน</t>
  </si>
  <si>
    <t xml:space="preserve">       - เหล็กตะแกรงไวร์เมท 4 มม @0.20</t>
  </si>
  <si>
    <t>รวมงานข้อ 2.5</t>
  </si>
  <si>
    <t xml:space="preserve"> 2.6 งานเทผนังหลังบ้าน</t>
  </si>
  <si>
    <t xml:space="preserve">       - ค่าแรงงานเทผนังหลังบ้าน</t>
  </si>
  <si>
    <t>รวมงานข้อ 2.6</t>
  </si>
  <si>
    <t xml:space="preserve"> 2.7 งานมุงหลังคา</t>
  </si>
  <si>
    <t xml:space="preserve">       - แผ่นกระเบื้องลอนคู่ 1.20 เมตร(สีน้ำตาลสุขสันต์)</t>
  </si>
  <si>
    <t xml:space="preserve">       - แผ่นกระเบื้องลอนคู่ 1.50 เมตร(สีน้ำตาลสุขสันต์)</t>
  </si>
  <si>
    <t xml:space="preserve">       - สกรูยิงแผ่นกระเบื้อง </t>
  </si>
  <si>
    <t>กล่อง</t>
  </si>
  <si>
    <t xml:space="preserve">       - ครอบสันกลาง2ทาง (สีน้ำตาลสุขสันต์)</t>
  </si>
  <si>
    <t xml:space="preserve">       - ครอบสันโค้งปิดจั่ว (สีน้ำตาลสุขสันต์)</t>
  </si>
  <si>
    <t xml:space="preserve">       - ไม้เชิงชาย สีซีเมนต์ 23.5 * 3.00 ม.</t>
  </si>
  <si>
    <t xml:space="preserve">       - ครอบสันโค้ง (สีน้ำตาลสุขสันต์)</t>
  </si>
  <si>
    <t xml:space="preserve">       - ครอบเชิงชาย (สีน้ำตาลสุขสันต์)</t>
  </si>
  <si>
    <t xml:space="preserve">       - ครอบปิดเชิงชาย (สีน้ำตาลสุขสันต์)</t>
  </si>
  <si>
    <t xml:space="preserve">       - กันนก </t>
  </si>
  <si>
    <t xml:space="preserve">       - แผ่นยางมะตอย 0.30 *10.00 ม.</t>
  </si>
  <si>
    <t xml:space="preserve">       - รางน้ำสันตะเข้</t>
  </si>
  <si>
    <t xml:space="preserve">       - ค่าแรงงานมุงหลังคา</t>
  </si>
  <si>
    <t>รวมงานข้อ 2.7</t>
  </si>
  <si>
    <t xml:space="preserve"> 2.8 งานฝ้าเพดาน+ ไม้ตกแต่ง</t>
  </si>
  <si>
    <t xml:space="preserve">       - ฝ้าเพดานสมาร์ทบอร์ดเซาะร่อง</t>
  </si>
  <si>
    <t>ทั้งของ</t>
  </si>
  <si>
    <t xml:space="preserve">       - ฝ้าเพดานภายนอกภายในกันชื้น</t>
  </si>
  <si>
    <t>ทั้งแรง</t>
  </si>
  <si>
    <t xml:space="preserve">       - ฝ้าเพดานภายใน</t>
  </si>
  <si>
    <t xml:space="preserve">       - ไม้มอบ</t>
  </si>
  <si>
    <t xml:space="preserve">       - บัวหน้าบ้าน+ผนังเซาะร่อง4 นิ้ว</t>
  </si>
  <si>
    <t>ห้อง</t>
  </si>
  <si>
    <t xml:space="preserve">       - ผนังฝาทนชื้น</t>
  </si>
  <si>
    <t xml:space="preserve">       - ไม้ฝาเซาะร่องจั่วหลังคา</t>
  </si>
  <si>
    <t>รวมงานข้อ 2.8</t>
  </si>
  <si>
    <t xml:space="preserve"> 2.9 งานสุขภัณฑ์และอุปกรณ์ห้องน้ำ - ส้วม</t>
  </si>
  <si>
    <t xml:space="preserve">       - ชักโครก</t>
  </si>
  <si>
    <t>ชุด</t>
  </si>
  <si>
    <t xml:space="preserve">       - อ่างล้างหน้าพร้อมขาตั้ง</t>
  </si>
  <si>
    <t xml:space="preserve">       - ก๊อกอ่างล้างหน้า</t>
  </si>
  <si>
    <t xml:space="preserve">       - สะดืออ่าง</t>
  </si>
  <si>
    <t xml:space="preserve">       - ท่อน้ำทิ้งอ่าง</t>
  </si>
  <si>
    <t xml:space="preserve">       - วาวล์ทางเดียว</t>
  </si>
  <si>
    <t xml:space="preserve">       - ที่ใส่กระดาษชำระ </t>
  </si>
  <si>
    <t xml:space="preserve">       - กระจกเงาของอ่างล้างหน้า</t>
  </si>
  <si>
    <t>บาน</t>
  </si>
  <si>
    <t xml:space="preserve">       - สายน้ำดี 16 นิ้ว</t>
  </si>
  <si>
    <t xml:space="preserve">       - สายชำระ</t>
  </si>
  <si>
    <t xml:space="preserve">       - ที่วางสบู่</t>
  </si>
  <si>
    <t xml:space="preserve">       - ชุดฝักบัว </t>
  </si>
  <si>
    <t xml:space="preserve">       - แผ่นตะแกรงกรองผงชนิดมีรู ขนาด Ø 4"</t>
  </si>
  <si>
    <t xml:space="preserve">       - ก๊อกสนาม</t>
  </si>
  <si>
    <t xml:space="preserve">       - วาวล์ 2 ทาง</t>
  </si>
  <si>
    <t xml:space="preserve">       - ราวแขวนผ้า ขนาด 60 ซม.</t>
  </si>
  <si>
    <t xml:space="preserve">       - ซิรีโคนกันน้ำ</t>
  </si>
  <si>
    <t xml:space="preserve">       - ค่าแรงงานสุขภัณฑ์และอุปกรณ์ห้องน้ำ - ส้วม</t>
  </si>
  <si>
    <t>รวมงานข้อ 2.9</t>
  </si>
  <si>
    <t xml:space="preserve"> 2.10 งานประตูหน้าต่างอะลูมิเนียม</t>
  </si>
  <si>
    <t xml:space="preserve">       - ประตู ป.1  พร้อมอุปกรณ์</t>
  </si>
  <si>
    <t>ของแรง</t>
  </si>
  <si>
    <t xml:space="preserve">       - ประตู ป.2  พร้อมอุปกรณ์</t>
  </si>
  <si>
    <t xml:space="preserve">       - ประตู ป.3  พร้อมอุปกรณ์</t>
  </si>
  <si>
    <t xml:space="preserve">       - ประตู ป.4  พร้อมอุปกรณ์</t>
  </si>
  <si>
    <t xml:space="preserve">       - หน้าต่าง น.1  พร้อมอุปกรณ์</t>
  </si>
  <si>
    <t xml:space="preserve">       - หน้าต่าง น.2  พร้อมอุปกรณ์</t>
  </si>
  <si>
    <t xml:space="preserve">       - หน้าต่าง น.3  พร้อมอุปกรณ์</t>
  </si>
  <si>
    <t xml:space="preserve">       - หน้าต่าง น.4  พร้อมอุปกรณ์</t>
  </si>
  <si>
    <t xml:space="preserve">       - หน้าต่าง น.5  พร้อมอุปกรณ์</t>
  </si>
  <si>
    <t>รวมงานข้อ 2.10</t>
  </si>
  <si>
    <t xml:space="preserve"> 2.11 งานพื้น งานกรเบื้อง</t>
  </si>
  <si>
    <t xml:space="preserve">       - งานกระเบื้องพื้น 60*60</t>
  </si>
  <si>
    <t xml:space="preserve">       - งานกระเบื้องพื้น 30*30</t>
  </si>
  <si>
    <t xml:space="preserve">       - งานกระเบื้องพื้น 40*40</t>
  </si>
  <si>
    <t xml:space="preserve">       - งานกระเบื้องผนัง 25*40</t>
  </si>
  <si>
    <t xml:space="preserve">       - งานฉาบห้องน้ำ</t>
  </si>
  <si>
    <t>รวมงานข้อ 2.11</t>
  </si>
  <si>
    <t xml:space="preserve"> 2.12 งานทาสี</t>
  </si>
  <si>
    <t xml:space="preserve">       - งานสีภายนอก</t>
  </si>
  <si>
    <t xml:space="preserve">       - งานสีภายใน</t>
  </si>
  <si>
    <t xml:space="preserve">       - งานสีฝ้าเพดาน</t>
  </si>
  <si>
    <t xml:space="preserve">       - งานสีประตูรั้ว</t>
  </si>
  <si>
    <t xml:space="preserve">       - งานสีรั้วหลังบ้าน</t>
  </si>
  <si>
    <t xml:space="preserve">       - งานสีรั้วหน้าบ้าน</t>
  </si>
  <si>
    <t xml:space="preserve">       - งานไม้มอบ</t>
  </si>
  <si>
    <t xml:space="preserve">       - งานทาสีไม้ V2 ด้านข้างบ้าน</t>
  </si>
  <si>
    <t xml:space="preserve">       - งานทาสีไม้ V2 จั่วหน้าบ้าน</t>
  </si>
  <si>
    <t xml:space="preserve">       - งานสีเชิงชายข้างบ้าน หลังบ้าน</t>
  </si>
  <si>
    <t xml:space="preserve">       - งานสีไม้ตัวซีหน้าบ้าน</t>
  </si>
  <si>
    <t xml:space="preserve">       - งานทาสีบัวประตู หน้าต่าง ไม้ตกแต่งหน้าบ้าน</t>
  </si>
  <si>
    <t>เหมา</t>
  </si>
  <si>
    <t xml:space="preserve">       - งานสกิมผิวบาง</t>
  </si>
  <si>
    <t xml:space="preserve">       - งานสีท่อน้ำฝน</t>
  </si>
  <si>
    <t>รวมงานข้อ 2.12</t>
  </si>
  <si>
    <t xml:space="preserve"> 2.13 งานประตูรั้วหน้าบ้าน</t>
  </si>
  <si>
    <t xml:space="preserve">       - บูส ขนาด 1 นิ้ว</t>
  </si>
  <si>
    <t xml:space="preserve">       - กลอนเหล็กข้างขวา</t>
  </si>
  <si>
    <t xml:space="preserve">       - กลอนเหล็กข้างซ้าย</t>
  </si>
  <si>
    <t xml:space="preserve">       - เหล็กแฟตบาร์ 1.5" * 6.00 หนา 6.00 มม.</t>
  </si>
  <si>
    <t xml:space="preserve">       - ใบตัดเหล็ก 4 นิ้ว sumo</t>
  </si>
  <si>
    <t xml:space="preserve">       - ใบเจียเหล็ก 4 นิ้ว sumo</t>
  </si>
  <si>
    <t xml:space="preserve">       - ค่าแรงงานประตูรั้วหน้าบ้าน 1 หลัง</t>
  </si>
  <si>
    <t>รวมงานข้อ 2.13</t>
  </si>
  <si>
    <t>รวมค่างานสถาปัตยกรรมทั้งหมด</t>
  </si>
  <si>
    <t>งานระบบไฟฟ้าและสื่อสาร</t>
  </si>
  <si>
    <t xml:space="preserve"> 3.1 งานดวงโคมไฟฟ้า</t>
  </si>
  <si>
    <t xml:space="preserve">       - โคมไฟฟ้าดาวไลน์ 10W</t>
  </si>
  <si>
    <t xml:space="preserve">       - หลอดดาวไลน์ 10W</t>
  </si>
  <si>
    <t xml:space="preserve">       - โคมไฟฟ้าฟลูออเรสเซนต์ ยาว</t>
  </si>
  <si>
    <t xml:space="preserve">       - โคมไฟหน้าบ้าน</t>
  </si>
  <si>
    <t xml:space="preserve">       - กระดิ่งหน้าบ้าน</t>
  </si>
  <si>
    <t>รวมงานข้อ 3.1</t>
  </si>
  <si>
    <t xml:space="preserve"> 3.2 งานสวิทซ์และเต้ารับ (ปลั๊ก)</t>
  </si>
  <si>
    <t xml:space="preserve">       - สวิทซ์เดี่ยว 1 ดวง</t>
  </si>
  <si>
    <t xml:space="preserve">       - สวิทซ์เดี่ยว 2 ดวง</t>
  </si>
  <si>
    <t xml:space="preserve">       - สวิทซ์เดี่ยว 4 ดวง</t>
  </si>
  <si>
    <t xml:space="preserve">       - เต้ารับเดี่ยว (ปลั๊ก)</t>
  </si>
  <si>
    <t xml:space="preserve">       - เต้ารับแอร์</t>
  </si>
  <si>
    <t xml:space="preserve">       - เต้ารับน้ำอุ่น</t>
  </si>
  <si>
    <t>รวมงานข้อ 3.2</t>
  </si>
  <si>
    <t xml:space="preserve"> 3.3 งานเดินสายไฟฟ้า</t>
  </si>
  <si>
    <t xml:space="preserve">       - เดินสายไฟฟ้า ดวงโคม เต้ารับ สวิทซ์</t>
  </si>
  <si>
    <t>รวมงานข้อ 3.3</t>
  </si>
  <si>
    <t xml:space="preserve"> 3.4 งานแผงสวิทซ์ และเซอร์กิตเบรกเกอร์</t>
  </si>
  <si>
    <t xml:space="preserve">       - ตู้เบรกเกอร์ ขนาด 12 ช่อง</t>
  </si>
  <si>
    <t xml:space="preserve">       - มาตรวัดกระแสไฟฟ้า ขนาด 15 AMP.</t>
  </si>
  <si>
    <t xml:space="preserve">       - รวมยอดค่าของค่าแรง เหมางานไฟฟ้า 1 ห้อง</t>
  </si>
  <si>
    <t>รวมงานข้อ 3.4</t>
  </si>
  <si>
    <t xml:space="preserve">รวมค่างานระบบไฟฟ้าและสื่อสารทั้งหมด </t>
  </si>
  <si>
    <t>งานต่อเติมหลังคาที่จอดรถหน้าบ้าน</t>
  </si>
  <si>
    <t xml:space="preserve">       - เหล็กกล่อง 4"x4"x2.3 mm</t>
  </si>
  <si>
    <t xml:space="preserve">       - เหล็กกล่อง 4"x2"x2.3 mm</t>
  </si>
  <si>
    <t xml:space="preserve">       - เหล็กกล่อง 3"x1.5"x1.8 mm</t>
  </si>
  <si>
    <t xml:space="preserve">       - เหล็กกล่อง 1.5"x1.5"x1.8 mm</t>
  </si>
  <si>
    <t xml:space="preserve">       - PL-6"x6"x 6 mm.</t>
  </si>
  <si>
    <t xml:space="preserve">       - PL-5"x5"x 6 mm.</t>
  </si>
  <si>
    <t xml:space="preserve">       -แฟตบาร์ 2"x2"x4.00มม.</t>
  </si>
  <si>
    <t xml:space="preserve">       - ไม้ตกแต่งซีซาแนล 6 นิ้ว</t>
  </si>
  <si>
    <t xml:space="preserve">       - แผ่นเมทัลชีท PU FORM</t>
  </si>
  <si>
    <t xml:space="preserve">       - สกรูยิงแผ่น</t>
  </si>
  <si>
    <t xml:space="preserve">  - งานติดตั้งรางน้ำ</t>
  </si>
  <si>
    <t xml:space="preserve">  - งานติดตั้งแฟลชชิ่ง ครอบข้าง รวมมุกหน้าบ้าน</t>
  </si>
  <si>
    <t xml:space="preserve">  - งานมุงหลังคาเมทัลชีท</t>
  </si>
  <si>
    <t xml:space="preserve">  - งานทาสีโครงหลังคา</t>
  </si>
  <si>
    <t xml:space="preserve">  - งานเดินท่อน้ำฝน </t>
  </si>
  <si>
    <t xml:space="preserve">  - งานติดตั้งซีซาแนลต่อเติมหน้าบ้าน</t>
  </si>
  <si>
    <t xml:space="preserve">รวมค่างานต่อเติมหลังคาที่จอดรถหน้าทั้งหมด </t>
  </si>
  <si>
    <t>สรุปรายการปริมาณงานและราคา บ้านแถว 8 หลัง / B4</t>
  </si>
  <si>
    <t>สรุปรายการปริมาณงานและราคา บ้านแถว 8 หลัง /  B3</t>
  </si>
  <si>
    <t>สรุปรายการปริมาณงานและราคา บ้านแถว 8 หลัง /  B2</t>
  </si>
  <si>
    <t>สรุปรายการปริมาณงานและราคา บ้านแถว 8 หลัง /  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</si>
</sst>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5" x14ac:knownFonts="1">
    <font>
      <sz val="11"/>
      <color theme="1"/>
      <name val="Calibri"/>
    </font>
    <font>
      <sz val="11"/>
      <color theme="1"/>
      <name val="Calibri"/>
    </font>
    <font>
      <sz val="10"/>
      <name val="Arial"/>
    </font>
    <font>
      <b/>
      <sz val="16"/>
      <color theme="1"/>
      <name val="Angsana New"/>
    </font>
    <font>
      <sz val="16"/>
      <color theme="1"/>
      <name val="Angsana New"/>
    </font>
  </fonts>
  <fills count="4">
    <fill>
      <patternFill patternType="none"/>
    </fill>
    <fill>
      <patternFill patternType="gray125"/>
    </fill>
    <fill>
      <patternFill patternType="solid">
        <fgColor theme="9" tint="0.59996337778862885"/>
        <bgColor indexed="65"/>
      </patternFill>
    </fill>
    <fill>
      <patternFill patternType="solid">
        <fgColor theme="7" tint="0.59996337778862885"/>
        <bgColor indexed="65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30">
    <xf numFmtId="0" fontId="0" fillId="0" borderId="0" xfId="0"/>
    <xf numFmtId="4" fontId="4" fillId="0" borderId="0" xfId="0" applyNumberFormat="1" applyFont="1" applyFill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4" fontId="3" fillId="0" borderId="0" xfId="0" applyNumberFormat="1" applyFont="1" applyFill="1" applyBorder="1"/>
    <xf numFmtId="4" fontId="3" fillId="0" borderId="0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4" fontId="3" fillId="3" borderId="1" xfId="0" applyNumberFormat="1" applyFont="1" applyFill="1" applyBorder="1"/>
    <xf numFmtId="4" fontId="3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/>
    <xf numFmtId="4" fontId="4" fillId="0" borderId="1" xfId="0" applyNumberFormat="1" applyFont="1" applyFill="1" applyBorder="1"/>
    <xf numFmtId="4" fontId="4" fillId="0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4" fontId="3" fillId="0" borderId="1" xfId="0" applyNumberFormat="1" applyFont="1" applyFill="1" applyBorder="1"/>
    <xf numFmtId="4" fontId="3" fillId="0" borderId="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" fontId="3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</cellXfs>
  <cellStyles count="4">
    <cellStyle name="Comma" xfId="1" xr:uid="{00000000-0005-0000-0000-000000000000}"/>
    <cellStyle name="Comma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3"/>
  <sheetViews>
    <sheetView tabSelected="1" workbookViewId="0">
      <selection sqref="A1:J1"/>
    </sheetView>
  </sheetViews>
  <sheetFormatPr defaultRowHeight="23.25" x14ac:dyDescent="0.95"/>
  <cols>
    <col min="1" max="1" width="7.1328125" style="20" customWidth="1"/>
    <col min="2" max="2" width="49.73046875" style="2" customWidth="1"/>
    <col min="3" max="3" width="14.265625" style="2" customWidth="1"/>
    <col min="4" max="4" width="14.265625" style="20" customWidth="1"/>
    <col min="5" max="9" width="14.265625" style="2" customWidth="1"/>
    <col min="10" max="10" width="11.86328125" style="2" customWidth="1"/>
    <col min="11" max="11" width="10.53125" style="2" customWidth="1"/>
    <col min="12" max="16384" width="9.06640625" style="2"/>
  </cols>
  <sheetData>
    <row r="1" spans="1:11" x14ac:dyDescent="0.95">
      <c r="A1" s="24" t="s">
        <v>284</v>
      </c>
      <c r="B1" s="24"/>
      <c r="C1" s="24"/>
      <c r="D1" s="24"/>
      <c r="E1" s="24"/>
      <c r="F1" s="24"/>
      <c r="G1" s="24"/>
      <c r="H1" s="24"/>
      <c r="I1" s="24"/>
      <c r="J1" s="24"/>
      <c r="K1" s="1"/>
    </row>
    <row r="2" spans="1:11" x14ac:dyDescent="0.9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1"/>
    </row>
    <row r="3" spans="1:11" x14ac:dyDescent="0.95">
      <c r="A3" s="3"/>
      <c r="B3" s="4"/>
      <c r="C3" s="5"/>
      <c r="D3" s="6"/>
      <c r="E3" s="5"/>
      <c r="F3" s="5"/>
      <c r="G3" s="5"/>
      <c r="H3" s="5"/>
      <c r="I3" s="4" t="s">
        <v>1</v>
      </c>
      <c r="J3" s="4"/>
      <c r="K3" s="1"/>
    </row>
    <row r="4" spans="1:11" s="4" customFormat="1" x14ac:dyDescent="0.95">
      <c r="A4" s="28" t="s">
        <v>2</v>
      </c>
      <c r="B4" s="28" t="s">
        <v>3</v>
      </c>
      <c r="C4" s="29" t="s">
        <v>4</v>
      </c>
      <c r="D4" s="29" t="s">
        <v>5</v>
      </c>
      <c r="E4" s="29" t="s">
        <v>6</v>
      </c>
      <c r="F4" s="29"/>
      <c r="G4" s="29" t="s">
        <v>7</v>
      </c>
      <c r="H4" s="29"/>
      <c r="I4" s="7" t="s">
        <v>8</v>
      </c>
      <c r="J4" s="28" t="s">
        <v>9</v>
      </c>
      <c r="K4" s="5"/>
    </row>
    <row r="5" spans="1:11" s="4" customFormat="1" x14ac:dyDescent="0.95">
      <c r="A5" s="28"/>
      <c r="B5" s="28"/>
      <c r="C5" s="29"/>
      <c r="D5" s="29"/>
      <c r="E5" s="7" t="s">
        <v>10</v>
      </c>
      <c r="F5" s="7" t="s">
        <v>11</v>
      </c>
      <c r="G5" s="7" t="s">
        <v>10</v>
      </c>
      <c r="H5" s="7" t="s">
        <v>11</v>
      </c>
      <c r="I5" s="7" t="s">
        <v>12</v>
      </c>
      <c r="J5" s="28"/>
      <c r="K5" s="5"/>
    </row>
    <row r="6" spans="1:11" s="4" customFormat="1" x14ac:dyDescent="0.95">
      <c r="A6" s="8">
        <v>1</v>
      </c>
      <c r="B6" s="9" t="s">
        <v>13</v>
      </c>
      <c r="C6" s="10"/>
      <c r="D6" s="11"/>
      <c r="E6" s="10"/>
      <c r="F6" s="10"/>
      <c r="G6" s="10"/>
      <c r="H6" s="10"/>
      <c r="I6" s="10"/>
      <c r="J6" s="9"/>
      <c r="K6" s="5"/>
    </row>
    <row r="7" spans="1:11" s="4" customFormat="1" x14ac:dyDescent="0.95">
      <c r="A7" s="17"/>
      <c r="B7" s="13" t="s">
        <v>14</v>
      </c>
      <c r="C7" s="18"/>
      <c r="D7" s="19"/>
      <c r="E7" s="18"/>
      <c r="F7" s="18"/>
      <c r="G7" s="18"/>
      <c r="H7" s="18"/>
      <c r="I7" s="18"/>
      <c r="J7" s="13"/>
      <c r="K7" s="5"/>
    </row>
    <row r="8" spans="1:11" x14ac:dyDescent="0.95">
      <c r="A8" s="12"/>
      <c r="B8" s="16" t="s">
        <v>15</v>
      </c>
      <c r="C8" s="14">
        <v>13.33</v>
      </c>
      <c r="D8" s="15" t="s">
        <v>16</v>
      </c>
      <c r="E8" s="14">
        <v>3500</v>
      </c>
      <c r="F8" s="14">
        <v>46666.67</v>
      </c>
      <c r="G8" s="14">
        <v>0</v>
      </c>
      <c r="H8" s="14">
        <v>0</v>
      </c>
      <c r="I8" s="14">
        <f>ROUND(F8+H8,2)</f>
        <v>46666.67</v>
      </c>
      <c r="J8" s="16"/>
      <c r="K8" s="1"/>
    </row>
    <row r="9" spans="1:11" x14ac:dyDescent="0.95">
      <c r="A9" s="12"/>
      <c r="B9" s="16" t="s">
        <v>17</v>
      </c>
      <c r="C9" s="14">
        <v>7.33</v>
      </c>
      <c r="D9" s="15" t="s">
        <v>18</v>
      </c>
      <c r="E9" s="14">
        <v>1500</v>
      </c>
      <c r="F9" s="14">
        <v>11000</v>
      </c>
      <c r="G9" s="14">
        <v>0</v>
      </c>
      <c r="H9" s="14">
        <v>9000</v>
      </c>
      <c r="I9" s="14">
        <f>ROUND(F9+H9,2)</f>
        <v>20000</v>
      </c>
      <c r="J9" s="16"/>
      <c r="K9" s="1"/>
    </row>
    <row r="10" spans="1:11" x14ac:dyDescent="0.95">
      <c r="A10" s="12"/>
      <c r="B10" s="16" t="s">
        <v>19</v>
      </c>
      <c r="C10" s="14">
        <v>0</v>
      </c>
      <c r="D10" s="15" t="s">
        <v>18</v>
      </c>
      <c r="E10" s="14">
        <v>0</v>
      </c>
      <c r="F10" s="14">
        <v>0</v>
      </c>
      <c r="G10" s="14">
        <v>0</v>
      </c>
      <c r="H10" s="14">
        <v>0</v>
      </c>
      <c r="I10" s="14">
        <f>ROUND(F10+H10,2)</f>
        <v>0</v>
      </c>
      <c r="J10" s="16"/>
      <c r="K10" s="1"/>
    </row>
    <row r="11" spans="1:11" x14ac:dyDescent="0.95">
      <c r="A11" s="12"/>
      <c r="B11" s="16" t="s">
        <v>20</v>
      </c>
      <c r="C11" s="14">
        <v>53.33</v>
      </c>
      <c r="D11" s="15" t="s">
        <v>18</v>
      </c>
      <c r="E11" s="14">
        <v>100</v>
      </c>
      <c r="F11" s="14">
        <v>5333.33</v>
      </c>
      <c r="G11" s="14">
        <v>0</v>
      </c>
      <c r="H11" s="14">
        <v>1800</v>
      </c>
      <c r="I11" s="14">
        <f>ROUND(F11+H11,2)</f>
        <v>7133.33</v>
      </c>
      <c r="J11" s="16"/>
      <c r="K11" s="1"/>
    </row>
    <row r="12" spans="1:11" s="4" customFormat="1" x14ac:dyDescent="0.95">
      <c r="A12" s="17"/>
      <c r="B12" s="13" t="s">
        <v>21</v>
      </c>
      <c r="C12" s="18"/>
      <c r="D12" s="19"/>
      <c r="E12" s="18"/>
      <c r="F12" s="18">
        <f>ROUND(SUM(F8,F9,F10,F11),2)</f>
        <v>63000</v>
      </c>
      <c r="G12" s="18"/>
      <c r="H12" s="18">
        <f>ROUND(SUM(H8,H9,H10,H11),2)</f>
        <v>10800</v>
      </c>
      <c r="I12" s="18">
        <f>ROUND(F12+H12,2)</f>
        <v>73800</v>
      </c>
      <c r="J12" s="13"/>
      <c r="K12" s="5"/>
    </row>
    <row r="13" spans="1:11" s="4" customFormat="1" x14ac:dyDescent="0.95">
      <c r="A13" s="17"/>
      <c r="B13" s="13" t="s">
        <v>22</v>
      </c>
      <c r="C13" s="18"/>
      <c r="D13" s="19"/>
      <c r="E13" s="18"/>
      <c r="F13" s="18"/>
      <c r="G13" s="18"/>
      <c r="H13" s="18"/>
      <c r="I13" s="18"/>
      <c r="J13" s="13"/>
      <c r="K13" s="5"/>
    </row>
    <row r="14" spans="1:11" x14ac:dyDescent="0.95">
      <c r="A14" s="12"/>
      <c r="B14" s="16" t="s">
        <v>23</v>
      </c>
      <c r="C14" s="14">
        <v>60</v>
      </c>
      <c r="D14" s="15" t="s">
        <v>24</v>
      </c>
      <c r="E14" s="14">
        <v>2080</v>
      </c>
      <c r="F14" s="14">
        <f>E14*C14</f>
        <v>124800</v>
      </c>
      <c r="G14" s="14">
        <v>750</v>
      </c>
      <c r="H14" s="14">
        <v>53000</v>
      </c>
      <c r="I14" s="14">
        <f>ROUND(F14+H14,2)</f>
        <v>177800</v>
      </c>
      <c r="J14" s="16"/>
      <c r="K14" s="1"/>
    </row>
    <row r="15" spans="1:11" x14ac:dyDescent="0.95">
      <c r="A15" s="12"/>
      <c r="B15" s="16" t="s">
        <v>25</v>
      </c>
      <c r="C15" s="14">
        <v>0</v>
      </c>
      <c r="D15" s="15" t="s">
        <v>24</v>
      </c>
      <c r="E15" s="14">
        <v>0</v>
      </c>
      <c r="F15" s="14">
        <v>0</v>
      </c>
      <c r="G15" s="14">
        <v>0</v>
      </c>
      <c r="H15" s="14">
        <v>0</v>
      </c>
      <c r="I15" s="14">
        <f>ROUND(F15+H15,2)</f>
        <v>0</v>
      </c>
      <c r="J15" s="16"/>
      <c r="K15" s="1"/>
    </row>
    <row r="16" spans="1:11" s="4" customFormat="1" x14ac:dyDescent="0.95">
      <c r="A16" s="17"/>
      <c r="B16" s="13" t="s">
        <v>26</v>
      </c>
      <c r="C16" s="18"/>
      <c r="D16" s="19"/>
      <c r="E16" s="18"/>
      <c r="F16" s="18">
        <f>ROUND(SUM(F14,F15),2)</f>
        <v>124800</v>
      </c>
      <c r="G16" s="18"/>
      <c r="H16" s="18">
        <f>ROUND(SUM(H14,H15),2)</f>
        <v>53000</v>
      </c>
      <c r="I16" s="18">
        <f>ROUND(F16+H16,2)</f>
        <v>177800</v>
      </c>
      <c r="J16" s="13"/>
      <c r="K16" s="5"/>
    </row>
    <row r="17" spans="1:11" s="4" customFormat="1" x14ac:dyDescent="0.95">
      <c r="A17" s="17"/>
      <c r="B17" s="13" t="s">
        <v>27</v>
      </c>
      <c r="C17" s="18"/>
      <c r="D17" s="19"/>
      <c r="E17" s="18"/>
      <c r="F17" s="18"/>
      <c r="G17" s="18"/>
      <c r="H17" s="18"/>
      <c r="I17" s="18"/>
      <c r="J17" s="13"/>
      <c r="K17" s="5"/>
    </row>
    <row r="18" spans="1:11" x14ac:dyDescent="0.95">
      <c r="A18" s="12"/>
      <c r="B18" s="16" t="s">
        <v>28</v>
      </c>
      <c r="C18" s="14">
        <v>26.67</v>
      </c>
      <c r="D18" s="15" t="s">
        <v>29</v>
      </c>
      <c r="E18" s="14">
        <v>590</v>
      </c>
      <c r="F18" s="14">
        <v>15733.33</v>
      </c>
      <c r="G18" s="14">
        <v>0</v>
      </c>
      <c r="H18" s="14">
        <v>0</v>
      </c>
      <c r="I18" s="14">
        <f t="shared" ref="I18:I23" si="0">ROUND(F18+H18,2)</f>
        <v>15733.33</v>
      </c>
      <c r="J18" s="16"/>
      <c r="K18" s="1"/>
    </row>
    <row r="19" spans="1:11" x14ac:dyDescent="0.95">
      <c r="A19" s="12"/>
      <c r="B19" s="16" t="s">
        <v>30</v>
      </c>
      <c r="C19" s="14">
        <v>0</v>
      </c>
      <c r="D19" s="15" t="s">
        <v>31</v>
      </c>
      <c r="E19" s="14">
        <v>0</v>
      </c>
      <c r="F19" s="14">
        <v>0</v>
      </c>
      <c r="G19" s="14">
        <v>0</v>
      </c>
      <c r="H19" s="14">
        <v>0</v>
      </c>
      <c r="I19" s="14">
        <f t="shared" si="0"/>
        <v>0</v>
      </c>
      <c r="J19" s="16"/>
      <c r="K19" s="1"/>
    </row>
    <row r="20" spans="1:11" x14ac:dyDescent="0.95">
      <c r="A20" s="12"/>
      <c r="B20" s="16" t="s">
        <v>32</v>
      </c>
      <c r="C20" s="14">
        <v>266.67</v>
      </c>
      <c r="D20" s="15" t="s">
        <v>24</v>
      </c>
      <c r="E20" s="14">
        <v>25</v>
      </c>
      <c r="F20" s="14">
        <v>6666.67</v>
      </c>
      <c r="G20" s="14">
        <v>0</v>
      </c>
      <c r="H20" s="14">
        <v>0</v>
      </c>
      <c r="I20" s="14">
        <f t="shared" si="0"/>
        <v>6666.67</v>
      </c>
      <c r="J20" s="16"/>
      <c r="K20" s="1"/>
    </row>
    <row r="21" spans="1:11" x14ac:dyDescent="0.95">
      <c r="A21" s="12"/>
      <c r="B21" s="16" t="s">
        <v>33</v>
      </c>
      <c r="C21" s="14">
        <v>0</v>
      </c>
      <c r="D21" s="15" t="s">
        <v>34</v>
      </c>
      <c r="E21" s="14">
        <v>0</v>
      </c>
      <c r="F21" s="14">
        <v>0</v>
      </c>
      <c r="G21" s="14">
        <v>0</v>
      </c>
      <c r="H21" s="14">
        <v>0</v>
      </c>
      <c r="I21" s="14">
        <f t="shared" si="0"/>
        <v>0</v>
      </c>
      <c r="J21" s="16"/>
      <c r="K21" s="1"/>
    </row>
    <row r="22" spans="1:11" x14ac:dyDescent="0.95">
      <c r="A22" s="12"/>
      <c r="B22" s="16" t="s">
        <v>35</v>
      </c>
      <c r="C22" s="14">
        <v>0</v>
      </c>
      <c r="D22" s="15" t="s">
        <v>36</v>
      </c>
      <c r="E22" s="14">
        <v>0</v>
      </c>
      <c r="F22" s="14">
        <v>0</v>
      </c>
      <c r="G22" s="14">
        <v>0</v>
      </c>
      <c r="H22" s="14">
        <v>0</v>
      </c>
      <c r="I22" s="14">
        <f t="shared" si="0"/>
        <v>0</v>
      </c>
      <c r="J22" s="16"/>
      <c r="K22" s="1"/>
    </row>
    <row r="23" spans="1:11" s="4" customFormat="1" x14ac:dyDescent="0.95">
      <c r="A23" s="17"/>
      <c r="B23" s="13" t="s">
        <v>37</v>
      </c>
      <c r="C23" s="18"/>
      <c r="D23" s="19"/>
      <c r="E23" s="18"/>
      <c r="F23" s="18">
        <f>ROUND(SUM(F18,F19,F20,F21,F22),2)</f>
        <v>22400</v>
      </c>
      <c r="G23" s="18"/>
      <c r="H23" s="18">
        <f>ROUND(SUM(H18,H19,H20,H21,H22),2)</f>
        <v>0</v>
      </c>
      <c r="I23" s="18">
        <f t="shared" si="0"/>
        <v>22400</v>
      </c>
      <c r="J23" s="13"/>
      <c r="K23" s="5"/>
    </row>
    <row r="24" spans="1:11" s="4" customFormat="1" x14ac:dyDescent="0.95">
      <c r="A24" s="17"/>
      <c r="B24" s="13" t="s">
        <v>38</v>
      </c>
      <c r="C24" s="18"/>
      <c r="D24" s="19"/>
      <c r="E24" s="18"/>
      <c r="F24" s="18"/>
      <c r="G24" s="18"/>
      <c r="H24" s="18"/>
      <c r="I24" s="18"/>
      <c r="J24" s="13"/>
      <c r="K24" s="5"/>
    </row>
    <row r="25" spans="1:11" x14ac:dyDescent="0.95">
      <c r="A25" s="12"/>
      <c r="B25" s="16" t="s">
        <v>39</v>
      </c>
      <c r="C25" s="14">
        <v>20</v>
      </c>
      <c r="D25" s="15" t="s">
        <v>18</v>
      </c>
      <c r="E25" s="14">
        <v>1300</v>
      </c>
      <c r="F25" s="14">
        <v>26000</v>
      </c>
      <c r="G25" s="14">
        <v>173.47</v>
      </c>
      <c r="H25" s="14">
        <v>69388</v>
      </c>
      <c r="I25" s="14">
        <f>ROUND(F25+H25,2)</f>
        <v>95388</v>
      </c>
      <c r="J25" s="16"/>
      <c r="K25" s="1"/>
    </row>
    <row r="26" spans="1:11" x14ac:dyDescent="0.95">
      <c r="A26" s="12"/>
      <c r="B26" s="16" t="s">
        <v>17</v>
      </c>
      <c r="C26" s="14">
        <v>73.33</v>
      </c>
      <c r="D26" s="15" t="s">
        <v>18</v>
      </c>
      <c r="E26" s="14">
        <v>1500</v>
      </c>
      <c r="F26" s="14">
        <v>110000</v>
      </c>
      <c r="G26" s="14">
        <v>0</v>
      </c>
      <c r="H26" s="14">
        <v>0</v>
      </c>
      <c r="I26" s="14">
        <f>ROUND(F26+H26,2)</f>
        <v>110000</v>
      </c>
      <c r="J26" s="16"/>
      <c r="K26" s="1"/>
    </row>
    <row r="27" spans="1:11" x14ac:dyDescent="0.95">
      <c r="A27" s="12"/>
      <c r="B27" s="16" t="s">
        <v>40</v>
      </c>
      <c r="C27" s="14">
        <v>0</v>
      </c>
      <c r="D27" s="15" t="s">
        <v>18</v>
      </c>
      <c r="E27" s="14">
        <v>1600</v>
      </c>
      <c r="F27" s="14">
        <v>0</v>
      </c>
      <c r="G27" s="14">
        <v>0</v>
      </c>
      <c r="H27" s="14">
        <v>9600</v>
      </c>
      <c r="I27" s="14">
        <f>ROUND(F27+H27,2)</f>
        <v>9600</v>
      </c>
      <c r="J27" s="16"/>
      <c r="K27" s="1"/>
    </row>
    <row r="28" spans="1:11" x14ac:dyDescent="0.95">
      <c r="A28" s="12"/>
      <c r="B28" s="16" t="s">
        <v>41</v>
      </c>
      <c r="C28" s="14">
        <v>800</v>
      </c>
      <c r="D28" s="15" t="s">
        <v>36</v>
      </c>
      <c r="E28" s="14">
        <v>74.2</v>
      </c>
      <c r="F28" s="14">
        <v>59360</v>
      </c>
      <c r="G28" s="14">
        <v>0</v>
      </c>
      <c r="H28" s="14">
        <v>890.4</v>
      </c>
      <c r="I28" s="14">
        <f>ROUND(F28+H28,2)</f>
        <v>60250.400000000001</v>
      </c>
      <c r="J28" s="16"/>
      <c r="K28" s="1"/>
    </row>
    <row r="29" spans="1:11" s="4" customFormat="1" x14ac:dyDescent="0.95">
      <c r="A29" s="17"/>
      <c r="B29" s="13" t="s">
        <v>42</v>
      </c>
      <c r="C29" s="18"/>
      <c r="D29" s="19"/>
      <c r="E29" s="18"/>
      <c r="F29" s="18">
        <f>ROUND(SUM(F25,F26,F27,F28),2)</f>
        <v>195360</v>
      </c>
      <c r="G29" s="18"/>
      <c r="H29" s="18">
        <f>ROUND(SUM(H25,H26,H27,H28),2)</f>
        <v>79878.399999999994</v>
      </c>
      <c r="I29" s="18">
        <f>ROUND(F29+H29,2)</f>
        <v>275238.40000000002</v>
      </c>
      <c r="J29" s="13"/>
      <c r="K29" s="5"/>
    </row>
    <row r="30" spans="1:11" s="4" customFormat="1" x14ac:dyDescent="0.95">
      <c r="A30" s="17"/>
      <c r="B30" s="13" t="s">
        <v>43</v>
      </c>
      <c r="C30" s="18"/>
      <c r="D30" s="19"/>
      <c r="E30" s="18"/>
      <c r="F30" s="18"/>
      <c r="G30" s="18"/>
      <c r="H30" s="18"/>
      <c r="I30" s="18"/>
      <c r="J30" s="13"/>
      <c r="K30" s="5"/>
    </row>
    <row r="31" spans="1:11" x14ac:dyDescent="0.95">
      <c r="A31" s="12"/>
      <c r="B31" s="16" t="s">
        <v>44</v>
      </c>
      <c r="C31" s="14">
        <v>0.15</v>
      </c>
      <c r="D31" s="15" t="s">
        <v>45</v>
      </c>
      <c r="E31" s="14">
        <v>64</v>
      </c>
      <c r="F31" s="14">
        <v>4266.67</v>
      </c>
      <c r="G31" s="14">
        <v>0</v>
      </c>
      <c r="H31" s="14">
        <v>0</v>
      </c>
      <c r="I31" s="14">
        <f t="shared" ref="I31:I36" si="1">ROUND(F31+H31,2)</f>
        <v>4266.67</v>
      </c>
      <c r="J31" s="16"/>
      <c r="K31" s="1"/>
    </row>
    <row r="32" spans="1:11" x14ac:dyDescent="0.95">
      <c r="A32" s="12"/>
      <c r="B32" s="16" t="s">
        <v>46</v>
      </c>
      <c r="C32" s="14">
        <v>0.43</v>
      </c>
      <c r="D32" s="15" t="s">
        <v>45</v>
      </c>
      <c r="E32" s="14">
        <v>137</v>
      </c>
      <c r="F32" s="14">
        <v>11873.33</v>
      </c>
      <c r="G32" s="14">
        <v>1</v>
      </c>
      <c r="H32" s="14">
        <v>274</v>
      </c>
      <c r="I32" s="14">
        <f t="shared" si="1"/>
        <v>12147.33</v>
      </c>
      <c r="J32" s="16"/>
      <c r="K32" s="1"/>
    </row>
    <row r="33" spans="1:11" x14ac:dyDescent="0.95">
      <c r="A33" s="12"/>
      <c r="B33" s="16" t="s">
        <v>47</v>
      </c>
      <c r="C33" s="14">
        <v>2.5499999999999998</v>
      </c>
      <c r="D33" s="15" t="s">
        <v>45</v>
      </c>
      <c r="E33" s="14">
        <v>240</v>
      </c>
      <c r="F33" s="14">
        <v>68800</v>
      </c>
      <c r="G33" s="14">
        <v>2</v>
      </c>
      <c r="H33" s="14">
        <v>960</v>
      </c>
      <c r="I33" s="14">
        <f t="shared" si="1"/>
        <v>69760</v>
      </c>
      <c r="J33" s="16"/>
      <c r="K33" s="1"/>
    </row>
    <row r="34" spans="1:11" x14ac:dyDescent="0.95">
      <c r="A34" s="12"/>
      <c r="B34" s="16" t="s">
        <v>48</v>
      </c>
      <c r="C34" s="14">
        <v>0</v>
      </c>
      <c r="D34" s="15" t="s">
        <v>45</v>
      </c>
      <c r="E34" s="14">
        <v>425</v>
      </c>
      <c r="F34" s="14">
        <v>0</v>
      </c>
      <c r="G34" s="14">
        <v>3</v>
      </c>
      <c r="H34" s="14">
        <v>2550</v>
      </c>
      <c r="I34" s="14">
        <f t="shared" si="1"/>
        <v>2550</v>
      </c>
      <c r="J34" s="16"/>
      <c r="K34" s="1"/>
    </row>
    <row r="35" spans="1:11" x14ac:dyDescent="0.95">
      <c r="A35" s="12"/>
      <c r="B35" s="16" t="s">
        <v>49</v>
      </c>
      <c r="C35" s="14">
        <v>0</v>
      </c>
      <c r="D35" s="15" t="s">
        <v>34</v>
      </c>
      <c r="E35" s="14">
        <v>0</v>
      </c>
      <c r="F35" s="14">
        <v>0</v>
      </c>
      <c r="G35" s="14">
        <v>4</v>
      </c>
      <c r="H35" s="14">
        <v>0</v>
      </c>
      <c r="I35" s="14">
        <f t="shared" si="1"/>
        <v>0</v>
      </c>
      <c r="J35" s="16"/>
      <c r="K35" s="1"/>
    </row>
    <row r="36" spans="1:11" s="4" customFormat="1" x14ac:dyDescent="0.95">
      <c r="A36" s="17"/>
      <c r="B36" s="13" t="s">
        <v>50</v>
      </c>
      <c r="C36" s="18"/>
      <c r="D36" s="19"/>
      <c r="E36" s="18"/>
      <c r="F36" s="18">
        <f>ROUND(SUM(F31,F32,F33,F34,F35),2)</f>
        <v>84940</v>
      </c>
      <c r="G36" s="18"/>
      <c r="H36" s="18">
        <f>ROUND(SUM(H31,H32,H33,H34,H35),2)</f>
        <v>3784</v>
      </c>
      <c r="I36" s="18">
        <f t="shared" si="1"/>
        <v>88724</v>
      </c>
      <c r="J36" s="13"/>
      <c r="K36" s="5"/>
    </row>
    <row r="37" spans="1:11" s="4" customFormat="1" x14ac:dyDescent="0.95">
      <c r="A37" s="17"/>
      <c r="B37" s="13" t="s">
        <v>51</v>
      </c>
      <c r="C37" s="18"/>
      <c r="D37" s="19"/>
      <c r="E37" s="18"/>
      <c r="F37" s="18"/>
      <c r="G37" s="18"/>
      <c r="H37" s="18"/>
      <c r="I37" s="18"/>
      <c r="J37" s="13"/>
      <c r="K37" s="5"/>
    </row>
    <row r="38" spans="1:11" x14ac:dyDescent="0.95">
      <c r="A38" s="12"/>
      <c r="B38" s="16" t="s">
        <v>46</v>
      </c>
      <c r="C38" s="14">
        <v>0.4</v>
      </c>
      <c r="D38" s="15" t="s">
        <v>45</v>
      </c>
      <c r="E38" s="14">
        <v>137</v>
      </c>
      <c r="F38" s="14">
        <v>10945.36</v>
      </c>
      <c r="G38" s="14">
        <v>115</v>
      </c>
      <c r="H38" s="14">
        <v>92000</v>
      </c>
      <c r="I38" s="14">
        <f>ROUND(F38+H38,2)</f>
        <v>102945.36</v>
      </c>
      <c r="J38" s="16"/>
      <c r="K38" s="1"/>
    </row>
    <row r="39" spans="1:11" x14ac:dyDescent="0.95">
      <c r="A39" s="12"/>
      <c r="B39" s="16" t="s">
        <v>47</v>
      </c>
      <c r="C39" s="14">
        <v>0.71</v>
      </c>
      <c r="D39" s="15" t="s">
        <v>45</v>
      </c>
      <c r="E39" s="14">
        <v>240</v>
      </c>
      <c r="F39" s="14">
        <v>19099.099999999999</v>
      </c>
      <c r="G39" s="14">
        <v>0</v>
      </c>
      <c r="H39" s="14">
        <v>0</v>
      </c>
      <c r="I39" s="14">
        <f>ROUND(F39+H39,2)</f>
        <v>19099.099999999999</v>
      </c>
      <c r="J39" s="16"/>
      <c r="K39" s="1"/>
    </row>
    <row r="40" spans="1:11" x14ac:dyDescent="0.95">
      <c r="A40" s="12"/>
      <c r="B40" s="16" t="s">
        <v>52</v>
      </c>
      <c r="C40" s="14">
        <v>78.67</v>
      </c>
      <c r="D40" s="15" t="s">
        <v>18</v>
      </c>
      <c r="E40" s="14">
        <v>1600</v>
      </c>
      <c r="F40" s="14">
        <v>125866.67</v>
      </c>
      <c r="G40" s="14">
        <v>1</v>
      </c>
      <c r="H40" s="14">
        <v>3200</v>
      </c>
      <c r="I40" s="14">
        <f>ROUND(F40+H40,2)</f>
        <v>129066.67</v>
      </c>
      <c r="J40" s="16"/>
      <c r="K40" s="1"/>
    </row>
    <row r="41" spans="1:11" x14ac:dyDescent="0.95">
      <c r="A41" s="12"/>
      <c r="B41" s="16" t="s">
        <v>53</v>
      </c>
      <c r="C41" s="14">
        <v>800</v>
      </c>
      <c r="D41" s="15" t="s">
        <v>36</v>
      </c>
      <c r="E41" s="14">
        <v>74.2</v>
      </c>
      <c r="F41" s="14">
        <v>59360</v>
      </c>
      <c r="G41" s="14">
        <v>2</v>
      </c>
      <c r="H41" s="14">
        <v>296.8</v>
      </c>
      <c r="I41" s="14">
        <f>ROUND(F41+H41,2)</f>
        <v>59656.800000000003</v>
      </c>
      <c r="J41" s="16"/>
      <c r="K41" s="1"/>
    </row>
    <row r="42" spans="1:11" s="4" customFormat="1" x14ac:dyDescent="0.95">
      <c r="A42" s="17"/>
      <c r="B42" s="13" t="s">
        <v>54</v>
      </c>
      <c r="C42" s="18"/>
      <c r="D42" s="19"/>
      <c r="E42" s="18"/>
      <c r="F42" s="18">
        <f>ROUND(SUM(F38,F39,F40,F41),2)</f>
        <v>215271.13</v>
      </c>
      <c r="G42" s="18"/>
      <c r="H42" s="18">
        <f>ROUND(SUM(H38,H39,H40,H41),2)</f>
        <v>95496.8</v>
      </c>
      <c r="I42" s="18">
        <f>ROUND(F42+H42,2)</f>
        <v>310767.93</v>
      </c>
      <c r="J42" s="13"/>
      <c r="K42" s="5"/>
    </row>
    <row r="43" spans="1:11" s="4" customFormat="1" x14ac:dyDescent="0.95">
      <c r="A43" s="17"/>
      <c r="B43" s="13" t="s">
        <v>55</v>
      </c>
      <c r="C43" s="18"/>
      <c r="D43" s="19"/>
      <c r="E43" s="18"/>
      <c r="F43" s="18"/>
      <c r="G43" s="18"/>
      <c r="H43" s="18"/>
      <c r="I43" s="18"/>
      <c r="J43" s="13"/>
      <c r="K43" s="5"/>
    </row>
    <row r="44" spans="1:11" x14ac:dyDescent="0.95">
      <c r="A44" s="12"/>
      <c r="B44" s="16" t="s">
        <v>56</v>
      </c>
      <c r="C44" s="14">
        <v>16</v>
      </c>
      <c r="D44" s="15" t="s">
        <v>57</v>
      </c>
      <c r="E44" s="14">
        <v>225</v>
      </c>
      <c r="F44" s="14">
        <v>3600</v>
      </c>
      <c r="G44" s="14">
        <v>0</v>
      </c>
      <c r="H44" s="14">
        <v>0</v>
      </c>
      <c r="I44" s="14">
        <f t="shared" ref="I44:I64" si="2">ROUND(F44+H44,2)</f>
        <v>3600</v>
      </c>
      <c r="J44" s="16"/>
      <c r="K44" s="1"/>
    </row>
    <row r="45" spans="1:11" x14ac:dyDescent="0.95">
      <c r="A45" s="12"/>
      <c r="B45" s="16" t="s">
        <v>58</v>
      </c>
      <c r="C45" s="14">
        <v>97.33</v>
      </c>
      <c r="D45" s="15" t="s">
        <v>57</v>
      </c>
      <c r="E45" s="14">
        <v>500</v>
      </c>
      <c r="F45" s="14">
        <v>48666.67</v>
      </c>
      <c r="G45" s="14">
        <v>0</v>
      </c>
      <c r="H45" s="14">
        <v>0</v>
      </c>
      <c r="I45" s="14">
        <f t="shared" si="2"/>
        <v>48666.67</v>
      </c>
      <c r="J45" s="16"/>
      <c r="K45" s="1"/>
    </row>
    <row r="46" spans="1:11" x14ac:dyDescent="0.95">
      <c r="A46" s="12"/>
      <c r="B46" s="16" t="s">
        <v>59</v>
      </c>
      <c r="C46" s="14">
        <v>61.33</v>
      </c>
      <c r="D46" s="15" t="s">
        <v>57</v>
      </c>
      <c r="E46" s="14">
        <v>650</v>
      </c>
      <c r="F46" s="14">
        <v>39866.67</v>
      </c>
      <c r="G46" s="14">
        <v>0</v>
      </c>
      <c r="H46" s="14">
        <v>0</v>
      </c>
      <c r="I46" s="14">
        <f t="shared" si="2"/>
        <v>39866.67</v>
      </c>
      <c r="J46" s="16"/>
      <c r="K46" s="1"/>
    </row>
    <row r="47" spans="1:11" x14ac:dyDescent="0.95">
      <c r="A47" s="12"/>
      <c r="B47" s="16" t="s">
        <v>60</v>
      </c>
      <c r="C47" s="14">
        <v>37.33</v>
      </c>
      <c r="D47" s="15" t="s">
        <v>57</v>
      </c>
      <c r="E47" s="14">
        <v>740</v>
      </c>
      <c r="F47" s="14">
        <v>27626.67</v>
      </c>
      <c r="G47" s="14">
        <v>0</v>
      </c>
      <c r="H47" s="14">
        <v>0</v>
      </c>
      <c r="I47" s="14">
        <f t="shared" si="2"/>
        <v>27626.67</v>
      </c>
      <c r="J47" s="16"/>
      <c r="K47" s="1"/>
    </row>
    <row r="48" spans="1:11" x14ac:dyDescent="0.95">
      <c r="A48" s="12"/>
      <c r="B48" s="16" t="s">
        <v>61</v>
      </c>
      <c r="C48" s="14">
        <v>2.67</v>
      </c>
      <c r="D48" s="15" t="s">
        <v>57</v>
      </c>
      <c r="E48" s="14">
        <v>1900</v>
      </c>
      <c r="F48" s="14">
        <v>5066.67</v>
      </c>
      <c r="G48" s="14">
        <v>0</v>
      </c>
      <c r="H48" s="14">
        <v>0</v>
      </c>
      <c r="I48" s="14">
        <f t="shared" si="2"/>
        <v>5066.67</v>
      </c>
      <c r="J48" s="16"/>
      <c r="K48" s="1"/>
    </row>
    <row r="49" spans="1:11" x14ac:dyDescent="0.95">
      <c r="A49" s="12"/>
      <c r="B49" s="16" t="s">
        <v>62</v>
      </c>
      <c r="C49" s="14">
        <v>1.33</v>
      </c>
      <c r="D49" s="15" t="s">
        <v>57</v>
      </c>
      <c r="E49" s="14">
        <v>905</v>
      </c>
      <c r="F49" s="14">
        <v>1206.67</v>
      </c>
      <c r="G49" s="14">
        <v>0</v>
      </c>
      <c r="H49" s="14">
        <v>0</v>
      </c>
      <c r="I49" s="14">
        <f t="shared" si="2"/>
        <v>1206.67</v>
      </c>
      <c r="J49" s="16"/>
      <c r="K49" s="1"/>
    </row>
    <row r="50" spans="1:11" x14ac:dyDescent="0.95">
      <c r="A50" s="12"/>
      <c r="B50" s="16" t="s">
        <v>63</v>
      </c>
      <c r="C50" s="14">
        <v>10.67</v>
      </c>
      <c r="D50" s="15" t="s">
        <v>57</v>
      </c>
      <c r="E50" s="14">
        <v>1040</v>
      </c>
      <c r="F50" s="14">
        <v>11093.33</v>
      </c>
      <c r="G50" s="14">
        <v>0</v>
      </c>
      <c r="H50" s="14">
        <v>0</v>
      </c>
      <c r="I50" s="14">
        <f t="shared" si="2"/>
        <v>11093.33</v>
      </c>
      <c r="J50" s="16"/>
      <c r="K50" s="1"/>
    </row>
    <row r="51" spans="1:11" x14ac:dyDescent="0.95">
      <c r="A51" s="12"/>
      <c r="B51" s="16" t="s">
        <v>64</v>
      </c>
      <c r="C51" s="14">
        <v>8</v>
      </c>
      <c r="D51" s="15" t="s">
        <v>29</v>
      </c>
      <c r="E51" s="14">
        <v>109</v>
      </c>
      <c r="F51" s="14">
        <v>872</v>
      </c>
      <c r="G51" s="14">
        <v>0</v>
      </c>
      <c r="H51" s="14">
        <v>0</v>
      </c>
      <c r="I51" s="14">
        <f t="shared" si="2"/>
        <v>872</v>
      </c>
      <c r="J51" s="16"/>
      <c r="K51" s="1"/>
    </row>
    <row r="52" spans="1:11" x14ac:dyDescent="0.95">
      <c r="A52" s="12"/>
      <c r="B52" s="16" t="s">
        <v>65</v>
      </c>
      <c r="C52" s="14">
        <v>18.670000000000002</v>
      </c>
      <c r="D52" s="15" t="s">
        <v>29</v>
      </c>
      <c r="E52" s="14">
        <v>53</v>
      </c>
      <c r="F52" s="14">
        <v>989.33</v>
      </c>
      <c r="G52" s="14">
        <v>0</v>
      </c>
      <c r="H52" s="14">
        <v>0</v>
      </c>
      <c r="I52" s="14">
        <f t="shared" si="2"/>
        <v>989.33</v>
      </c>
      <c r="J52" s="16"/>
      <c r="K52" s="1"/>
    </row>
    <row r="53" spans="1:11" x14ac:dyDescent="0.95">
      <c r="A53" s="12"/>
      <c r="B53" s="16" t="s">
        <v>66</v>
      </c>
      <c r="C53" s="14">
        <v>1.33</v>
      </c>
      <c r="D53" s="15" t="s">
        <v>29</v>
      </c>
      <c r="E53" s="14">
        <v>670</v>
      </c>
      <c r="F53" s="14">
        <v>893.33</v>
      </c>
      <c r="G53" s="14">
        <v>0</v>
      </c>
      <c r="H53" s="14">
        <v>0</v>
      </c>
      <c r="I53" s="14">
        <f t="shared" si="2"/>
        <v>893.33</v>
      </c>
      <c r="J53" s="16"/>
      <c r="K53" s="1"/>
    </row>
    <row r="54" spans="1:11" x14ac:dyDescent="0.95">
      <c r="A54" s="12"/>
      <c r="B54" s="16" t="s">
        <v>67</v>
      </c>
      <c r="C54" s="14">
        <v>1.33</v>
      </c>
      <c r="D54" s="15" t="s">
        <v>68</v>
      </c>
      <c r="E54" s="14">
        <v>1500</v>
      </c>
      <c r="F54" s="14">
        <v>2000</v>
      </c>
      <c r="G54" s="14">
        <v>0</v>
      </c>
      <c r="H54" s="14">
        <v>0</v>
      </c>
      <c r="I54" s="14">
        <f t="shared" si="2"/>
        <v>2000</v>
      </c>
      <c r="J54" s="16"/>
      <c r="K54" s="1"/>
    </row>
    <row r="55" spans="1:11" x14ac:dyDescent="0.95">
      <c r="A55" s="12"/>
      <c r="B55" s="16" t="s">
        <v>69</v>
      </c>
      <c r="C55" s="14">
        <v>8</v>
      </c>
      <c r="D55" s="15" t="s">
        <v>70</v>
      </c>
      <c r="E55" s="14">
        <v>1189</v>
      </c>
      <c r="F55" s="14">
        <v>9512</v>
      </c>
      <c r="G55" s="14">
        <v>0</v>
      </c>
      <c r="H55" s="14">
        <v>0</v>
      </c>
      <c r="I55" s="14">
        <f t="shared" si="2"/>
        <v>9512</v>
      </c>
      <c r="J55" s="16"/>
      <c r="K55" s="1"/>
    </row>
    <row r="56" spans="1:11" x14ac:dyDescent="0.95">
      <c r="A56" s="12"/>
      <c r="B56" s="16" t="s">
        <v>71</v>
      </c>
      <c r="C56" s="14">
        <v>13.33</v>
      </c>
      <c r="D56" s="15" t="s">
        <v>70</v>
      </c>
      <c r="E56" s="14">
        <v>499</v>
      </c>
      <c r="F56" s="14">
        <v>6653.33</v>
      </c>
      <c r="G56" s="14">
        <v>0</v>
      </c>
      <c r="H56" s="14">
        <v>0</v>
      </c>
      <c r="I56" s="14">
        <f t="shared" si="2"/>
        <v>6653.33</v>
      </c>
      <c r="J56" s="16"/>
      <c r="K56" s="1"/>
    </row>
    <row r="57" spans="1:11" x14ac:dyDescent="0.95">
      <c r="A57" s="12"/>
      <c r="B57" s="16" t="s">
        <v>72</v>
      </c>
      <c r="C57" s="14">
        <v>13.33</v>
      </c>
      <c r="D57" s="15" t="s">
        <v>73</v>
      </c>
      <c r="E57" s="14">
        <v>98</v>
      </c>
      <c r="F57" s="14">
        <v>1306.67</v>
      </c>
      <c r="G57" s="14">
        <v>0</v>
      </c>
      <c r="H57" s="14">
        <v>0</v>
      </c>
      <c r="I57" s="14">
        <f t="shared" si="2"/>
        <v>1306.67</v>
      </c>
      <c r="J57" s="16"/>
      <c r="K57" s="1"/>
    </row>
    <row r="58" spans="1:11" x14ac:dyDescent="0.95">
      <c r="A58" s="12"/>
      <c r="B58" s="16" t="s">
        <v>74</v>
      </c>
      <c r="C58" s="14">
        <v>595.24</v>
      </c>
      <c r="D58" s="15" t="s">
        <v>75</v>
      </c>
      <c r="E58" s="14">
        <v>0</v>
      </c>
      <c r="F58" s="14">
        <v>0</v>
      </c>
      <c r="G58" s="14">
        <v>0</v>
      </c>
      <c r="H58" s="14">
        <v>60268.05</v>
      </c>
      <c r="I58" s="14">
        <f t="shared" si="2"/>
        <v>60268.05</v>
      </c>
      <c r="J58" s="16"/>
      <c r="K58" s="1"/>
    </row>
    <row r="59" spans="1:11" x14ac:dyDescent="0.95">
      <c r="A59" s="12"/>
      <c r="B59" s="16" t="s">
        <v>76</v>
      </c>
      <c r="C59" s="14">
        <v>2</v>
      </c>
      <c r="D59" s="15" t="s">
        <v>77</v>
      </c>
      <c r="E59" s="14">
        <v>0</v>
      </c>
      <c r="F59" s="14">
        <v>0</v>
      </c>
      <c r="G59" s="14">
        <v>1000</v>
      </c>
      <c r="H59" s="14">
        <v>2000</v>
      </c>
      <c r="I59" s="14">
        <f t="shared" si="2"/>
        <v>2000</v>
      </c>
      <c r="J59" s="16"/>
      <c r="K59" s="1"/>
    </row>
    <row r="60" spans="1:11" x14ac:dyDescent="0.95">
      <c r="A60" s="12"/>
      <c r="B60" s="16" t="s">
        <v>78</v>
      </c>
      <c r="C60" s="14">
        <v>14.67</v>
      </c>
      <c r="D60" s="15" t="s">
        <v>24</v>
      </c>
      <c r="E60" s="14">
        <v>0</v>
      </c>
      <c r="F60" s="14">
        <v>0</v>
      </c>
      <c r="G60" s="14">
        <v>300</v>
      </c>
      <c r="H60" s="14">
        <v>4400</v>
      </c>
      <c r="I60" s="14">
        <f t="shared" si="2"/>
        <v>4400</v>
      </c>
      <c r="J60" s="16"/>
      <c r="K60" s="1"/>
    </row>
    <row r="61" spans="1:11" x14ac:dyDescent="0.95">
      <c r="A61" s="12"/>
      <c r="B61" s="16" t="s">
        <v>79</v>
      </c>
      <c r="C61" s="14">
        <v>10.67</v>
      </c>
      <c r="D61" s="15" t="s">
        <v>24</v>
      </c>
      <c r="E61" s="14">
        <v>0</v>
      </c>
      <c r="F61" s="14">
        <v>0</v>
      </c>
      <c r="G61" s="14">
        <v>500</v>
      </c>
      <c r="H61" s="14">
        <v>5333.33</v>
      </c>
      <c r="I61" s="14">
        <f t="shared" si="2"/>
        <v>5333.33</v>
      </c>
      <c r="J61" s="16"/>
      <c r="K61" s="1"/>
    </row>
    <row r="62" spans="1:11" x14ac:dyDescent="0.95">
      <c r="A62" s="12"/>
      <c r="B62" s="16" t="s">
        <v>80</v>
      </c>
      <c r="C62" s="14">
        <v>32</v>
      </c>
      <c r="D62" s="15" t="s">
        <v>81</v>
      </c>
      <c r="E62" s="14">
        <v>0</v>
      </c>
      <c r="F62" s="14">
        <v>0</v>
      </c>
      <c r="G62" s="14">
        <v>80</v>
      </c>
      <c r="H62" s="14">
        <v>2560</v>
      </c>
      <c r="I62" s="14">
        <f t="shared" si="2"/>
        <v>2560</v>
      </c>
      <c r="J62" s="16"/>
      <c r="K62" s="1"/>
    </row>
    <row r="63" spans="1:11" s="4" customFormat="1" x14ac:dyDescent="0.95">
      <c r="A63" s="17"/>
      <c r="B63" s="13" t="s">
        <v>82</v>
      </c>
      <c r="C63" s="18"/>
      <c r="D63" s="19"/>
      <c r="E63" s="18"/>
      <c r="F63" s="18">
        <f>ROUND(SUM(F44,F45,F46,F47,F48,F49,F50,F51,F52,F53,F54,F55,F56,F57,F58,F59,F60,F61,F62),2)</f>
        <v>159353.34</v>
      </c>
      <c r="G63" s="18"/>
      <c r="H63" s="18">
        <f>ROUND(SUM(H44,H45,H46,H47,H48,H49,H50,H51,H52,H53,H54,H55,H56,H57,H58,H59,H60,H61,H62),2)</f>
        <v>74561.38</v>
      </c>
      <c r="I63" s="18">
        <f t="shared" si="2"/>
        <v>233914.72</v>
      </c>
      <c r="J63" s="13"/>
      <c r="K63" s="5"/>
    </row>
    <row r="64" spans="1:11" s="4" customFormat="1" x14ac:dyDescent="0.95">
      <c r="A64" s="8">
        <v>1</v>
      </c>
      <c r="B64" s="9" t="s">
        <v>83</v>
      </c>
      <c r="C64" s="10"/>
      <c r="D64" s="11" t="s">
        <v>84</v>
      </c>
      <c r="E64" s="10"/>
      <c r="F64" s="10">
        <f>ROUND(SUM(F8,F9,F10,F11,F14,F15,F18,F19,F20,F21,F22,F25,F26,F27,F28,F31,F32,F33,F34,F35,F38,F39,F40,F41,F44,F45,F46,F47,F48,F49,F50,F51,F52,F53,F54,F55,F56,F57,F58,F59,F60,F61,F62),2)</f>
        <v>865124.47</v>
      </c>
      <c r="G64" s="10"/>
      <c r="H64" s="10">
        <f>ROUND(SUM(H8,H9,H10,H11,H14,H15,H18,H19,H20,H21,H22,H25,H26,H27,H28,H31,H32,H33,H34,H35,H38,H39,H40,H41,H44,H45,H46,H47,H48,H49,H50,H51,H52,H53,H54,H55,H56,H57,H58,H59,H60,H61,H62),2)</f>
        <v>317520.58</v>
      </c>
      <c r="I64" s="10">
        <f t="shared" si="2"/>
        <v>1182645.05</v>
      </c>
      <c r="J64" s="9"/>
      <c r="K64" s="5"/>
    </row>
    <row r="65" spans="1:11" x14ac:dyDescent="0.95">
      <c r="A65" s="25"/>
      <c r="B65" s="26"/>
      <c r="C65" s="26"/>
      <c r="D65" s="26"/>
      <c r="E65" s="26"/>
      <c r="F65" s="26"/>
      <c r="G65" s="26"/>
      <c r="H65" s="26"/>
      <c r="I65" s="26"/>
      <c r="J65" s="27"/>
      <c r="K65" s="1"/>
    </row>
    <row r="66" spans="1:11" s="4" customFormat="1" x14ac:dyDescent="0.95">
      <c r="A66" s="8">
        <v>2</v>
      </c>
      <c r="B66" s="9" t="s">
        <v>85</v>
      </c>
      <c r="C66" s="10"/>
      <c r="D66" s="11"/>
      <c r="E66" s="10"/>
      <c r="F66" s="10"/>
      <c r="G66" s="10"/>
      <c r="H66" s="10"/>
      <c r="I66" s="10"/>
      <c r="J66" s="9"/>
      <c r="K66" s="5"/>
    </row>
    <row r="67" spans="1:11" s="4" customFormat="1" x14ac:dyDescent="0.95">
      <c r="A67" s="17"/>
      <c r="B67" s="13" t="s">
        <v>86</v>
      </c>
      <c r="C67" s="18"/>
      <c r="D67" s="19"/>
      <c r="E67" s="18"/>
      <c r="F67" s="18"/>
      <c r="G67" s="18"/>
      <c r="H67" s="18"/>
      <c r="I67" s="18"/>
      <c r="J67" s="13"/>
      <c r="K67" s="5"/>
    </row>
    <row r="68" spans="1:11" x14ac:dyDescent="0.95">
      <c r="A68" s="12"/>
      <c r="B68" s="16" t="s">
        <v>87</v>
      </c>
      <c r="C68" s="14">
        <v>40</v>
      </c>
      <c r="D68" s="15" t="s">
        <v>57</v>
      </c>
      <c r="E68" s="14">
        <v>1090</v>
      </c>
      <c r="F68" s="14">
        <v>43600</v>
      </c>
      <c r="G68" s="14">
        <v>0</v>
      </c>
      <c r="H68" s="14">
        <v>0</v>
      </c>
      <c r="I68" s="14">
        <f t="shared" ref="I68:I94" si="3">ROUND(F68+H68,2)</f>
        <v>43600</v>
      </c>
      <c r="J68" s="16"/>
      <c r="K68" s="1"/>
    </row>
    <row r="69" spans="1:11" x14ac:dyDescent="0.95">
      <c r="A69" s="12"/>
      <c r="B69" s="16" t="s">
        <v>88</v>
      </c>
      <c r="C69" s="14">
        <v>16</v>
      </c>
      <c r="D69" s="15" t="s">
        <v>57</v>
      </c>
      <c r="E69" s="14">
        <v>510</v>
      </c>
      <c r="F69" s="14">
        <v>8160</v>
      </c>
      <c r="G69" s="14">
        <v>0</v>
      </c>
      <c r="H69" s="14">
        <v>0</v>
      </c>
      <c r="I69" s="14">
        <f t="shared" si="3"/>
        <v>8160</v>
      </c>
      <c r="J69" s="16"/>
      <c r="K69" s="1"/>
    </row>
    <row r="70" spans="1:11" x14ac:dyDescent="0.95">
      <c r="A70" s="12"/>
      <c r="B70" s="16" t="s">
        <v>89</v>
      </c>
      <c r="C70" s="14">
        <v>8</v>
      </c>
      <c r="D70" s="15" t="s">
        <v>57</v>
      </c>
      <c r="E70" s="14">
        <v>234</v>
      </c>
      <c r="F70" s="14">
        <v>1872</v>
      </c>
      <c r="G70" s="14">
        <v>0</v>
      </c>
      <c r="H70" s="14">
        <v>0</v>
      </c>
      <c r="I70" s="14">
        <f t="shared" si="3"/>
        <v>1872</v>
      </c>
      <c r="J70" s="16"/>
      <c r="K70" s="1"/>
    </row>
    <row r="71" spans="1:11" x14ac:dyDescent="0.95">
      <c r="A71" s="12"/>
      <c r="B71" s="16" t="s">
        <v>90</v>
      </c>
      <c r="C71" s="14">
        <v>16</v>
      </c>
      <c r="D71" s="15" t="s">
        <v>57</v>
      </c>
      <c r="E71" s="14">
        <v>144</v>
      </c>
      <c r="F71" s="14">
        <v>2304</v>
      </c>
      <c r="G71" s="14">
        <v>0</v>
      </c>
      <c r="H71" s="14">
        <v>0</v>
      </c>
      <c r="I71" s="14">
        <f t="shared" si="3"/>
        <v>2304</v>
      </c>
      <c r="J71" s="16"/>
      <c r="K71" s="1"/>
    </row>
    <row r="72" spans="1:11" x14ac:dyDescent="0.95">
      <c r="A72" s="12"/>
      <c r="B72" s="16" t="s">
        <v>91</v>
      </c>
      <c r="C72" s="14">
        <v>8</v>
      </c>
      <c r="D72" s="15" t="s">
        <v>57</v>
      </c>
      <c r="E72" s="14">
        <v>53</v>
      </c>
      <c r="F72" s="14">
        <v>424</v>
      </c>
      <c r="G72" s="14">
        <v>0</v>
      </c>
      <c r="H72" s="14">
        <v>0</v>
      </c>
      <c r="I72" s="14">
        <f t="shared" si="3"/>
        <v>424</v>
      </c>
      <c r="J72" s="16"/>
      <c r="K72" s="1"/>
    </row>
    <row r="73" spans="1:11" x14ac:dyDescent="0.95">
      <c r="A73" s="12"/>
      <c r="B73" s="16" t="s">
        <v>92</v>
      </c>
      <c r="C73" s="14">
        <v>8</v>
      </c>
      <c r="D73" s="15" t="s">
        <v>57</v>
      </c>
      <c r="E73" s="14">
        <v>48</v>
      </c>
      <c r="F73" s="14">
        <v>384</v>
      </c>
      <c r="G73" s="14">
        <v>0</v>
      </c>
      <c r="H73" s="14">
        <v>0</v>
      </c>
      <c r="I73" s="14">
        <f t="shared" si="3"/>
        <v>384</v>
      </c>
      <c r="J73" s="16"/>
      <c r="K73" s="1"/>
    </row>
    <row r="74" spans="1:11" x14ac:dyDescent="0.95">
      <c r="A74" s="12"/>
      <c r="B74" s="16" t="s">
        <v>93</v>
      </c>
      <c r="C74" s="14">
        <v>8</v>
      </c>
      <c r="D74" s="15" t="s">
        <v>57</v>
      </c>
      <c r="E74" s="14">
        <v>64</v>
      </c>
      <c r="F74" s="14">
        <v>512</v>
      </c>
      <c r="G74" s="14">
        <v>0</v>
      </c>
      <c r="H74" s="14">
        <v>0</v>
      </c>
      <c r="I74" s="14">
        <f t="shared" si="3"/>
        <v>512</v>
      </c>
      <c r="J74" s="16"/>
      <c r="K74" s="1"/>
    </row>
    <row r="75" spans="1:11" x14ac:dyDescent="0.95">
      <c r="A75" s="12"/>
      <c r="B75" s="16" t="s">
        <v>94</v>
      </c>
      <c r="C75" s="14">
        <v>8</v>
      </c>
      <c r="D75" s="15" t="s">
        <v>95</v>
      </c>
      <c r="E75" s="14">
        <v>84.6</v>
      </c>
      <c r="F75" s="14">
        <v>676.8</v>
      </c>
      <c r="G75" s="14">
        <v>0</v>
      </c>
      <c r="H75" s="14">
        <v>0</v>
      </c>
      <c r="I75" s="14">
        <f t="shared" si="3"/>
        <v>676.8</v>
      </c>
      <c r="J75" s="16"/>
      <c r="K75" s="1"/>
    </row>
    <row r="76" spans="1:11" x14ac:dyDescent="0.95">
      <c r="A76" s="12"/>
      <c r="B76" s="16" t="s">
        <v>96</v>
      </c>
      <c r="C76" s="14">
        <v>24</v>
      </c>
      <c r="D76" s="15" t="s">
        <v>95</v>
      </c>
      <c r="E76" s="14">
        <v>84.6</v>
      </c>
      <c r="F76" s="14">
        <v>2030.4</v>
      </c>
      <c r="G76" s="14">
        <v>0</v>
      </c>
      <c r="H76" s="14">
        <v>0</v>
      </c>
      <c r="I76" s="14">
        <f t="shared" si="3"/>
        <v>2030.4</v>
      </c>
      <c r="J76" s="16"/>
      <c r="K76" s="1"/>
    </row>
    <row r="77" spans="1:11" x14ac:dyDescent="0.95">
      <c r="A77" s="12"/>
      <c r="B77" s="16" t="s">
        <v>97</v>
      </c>
      <c r="C77" s="14">
        <v>32</v>
      </c>
      <c r="D77" s="15" t="s">
        <v>95</v>
      </c>
      <c r="E77" s="14">
        <v>22.8</v>
      </c>
      <c r="F77" s="14">
        <v>729.6</v>
      </c>
      <c r="G77" s="14">
        <v>0</v>
      </c>
      <c r="H77" s="14">
        <v>0</v>
      </c>
      <c r="I77" s="14">
        <f t="shared" si="3"/>
        <v>729.6</v>
      </c>
      <c r="J77" s="16"/>
      <c r="K77" s="1"/>
    </row>
    <row r="78" spans="1:11" x14ac:dyDescent="0.95">
      <c r="A78" s="12"/>
      <c r="B78" s="16" t="s">
        <v>98</v>
      </c>
      <c r="C78" s="14">
        <v>16</v>
      </c>
      <c r="D78" s="15" t="s">
        <v>95</v>
      </c>
      <c r="E78" s="14">
        <v>31.3</v>
      </c>
      <c r="F78" s="14">
        <v>500.8</v>
      </c>
      <c r="G78" s="14">
        <v>0</v>
      </c>
      <c r="H78" s="14">
        <v>0</v>
      </c>
      <c r="I78" s="14">
        <f t="shared" si="3"/>
        <v>500.8</v>
      </c>
      <c r="J78" s="16"/>
      <c r="K78" s="1"/>
    </row>
    <row r="79" spans="1:11" x14ac:dyDescent="0.95">
      <c r="A79" s="12"/>
      <c r="B79" s="16" t="s">
        <v>99</v>
      </c>
      <c r="C79" s="14">
        <v>32</v>
      </c>
      <c r="D79" s="15" t="s">
        <v>95</v>
      </c>
      <c r="E79" s="14">
        <v>13.9</v>
      </c>
      <c r="F79" s="14">
        <v>444.8</v>
      </c>
      <c r="G79" s="14">
        <v>0</v>
      </c>
      <c r="H79" s="14">
        <v>0</v>
      </c>
      <c r="I79" s="14">
        <f t="shared" si="3"/>
        <v>444.8</v>
      </c>
      <c r="J79" s="16"/>
      <c r="K79" s="1"/>
    </row>
    <row r="80" spans="1:11" x14ac:dyDescent="0.95">
      <c r="A80" s="12"/>
      <c r="B80" s="16" t="s">
        <v>100</v>
      </c>
      <c r="C80" s="14">
        <v>8</v>
      </c>
      <c r="D80" s="15" t="s">
        <v>95</v>
      </c>
      <c r="E80" s="14">
        <v>8.0500000000000007</v>
      </c>
      <c r="F80" s="14">
        <v>64.400000000000006</v>
      </c>
      <c r="G80" s="14">
        <v>0</v>
      </c>
      <c r="H80" s="14">
        <v>0</v>
      </c>
      <c r="I80" s="14">
        <f t="shared" si="3"/>
        <v>64.400000000000006</v>
      </c>
      <c r="J80" s="16"/>
      <c r="K80" s="1"/>
    </row>
    <row r="81" spans="1:11" x14ac:dyDescent="0.95">
      <c r="A81" s="12"/>
      <c r="B81" s="16" t="s">
        <v>101</v>
      </c>
      <c r="C81" s="14">
        <v>16</v>
      </c>
      <c r="D81" s="15" t="s">
        <v>95</v>
      </c>
      <c r="E81" s="14">
        <v>18.600000000000001</v>
      </c>
      <c r="F81" s="14">
        <v>297.60000000000002</v>
      </c>
      <c r="G81" s="14">
        <v>0</v>
      </c>
      <c r="H81" s="14">
        <v>0</v>
      </c>
      <c r="I81" s="14">
        <f t="shared" si="3"/>
        <v>297.60000000000002</v>
      </c>
      <c r="J81" s="16"/>
      <c r="K81" s="1"/>
    </row>
    <row r="82" spans="1:11" x14ac:dyDescent="0.95">
      <c r="A82" s="12"/>
      <c r="B82" s="16" t="s">
        <v>102</v>
      </c>
      <c r="C82" s="14">
        <v>8</v>
      </c>
      <c r="D82" s="15" t="s">
        <v>95</v>
      </c>
      <c r="E82" s="14">
        <v>13.8</v>
      </c>
      <c r="F82" s="14">
        <v>110.4</v>
      </c>
      <c r="G82" s="14">
        <v>0</v>
      </c>
      <c r="H82" s="14">
        <v>0</v>
      </c>
      <c r="I82" s="14">
        <f t="shared" si="3"/>
        <v>110.4</v>
      </c>
      <c r="J82" s="16"/>
      <c r="K82" s="1"/>
    </row>
    <row r="83" spans="1:11" x14ac:dyDescent="0.95">
      <c r="A83" s="12"/>
      <c r="B83" s="16" t="s">
        <v>103</v>
      </c>
      <c r="C83" s="14">
        <v>8</v>
      </c>
      <c r="D83" s="15" t="s">
        <v>95</v>
      </c>
      <c r="E83" s="14">
        <v>15</v>
      </c>
      <c r="F83" s="14">
        <v>120</v>
      </c>
      <c r="G83" s="14">
        <v>0</v>
      </c>
      <c r="H83" s="14">
        <v>0</v>
      </c>
      <c r="I83" s="14">
        <f t="shared" si="3"/>
        <v>120</v>
      </c>
      <c r="J83" s="16"/>
      <c r="K83" s="1"/>
    </row>
    <row r="84" spans="1:11" x14ac:dyDescent="0.95">
      <c r="A84" s="12"/>
      <c r="B84" s="16" t="s">
        <v>104</v>
      </c>
      <c r="C84" s="14">
        <v>8</v>
      </c>
      <c r="D84" s="15" t="s">
        <v>95</v>
      </c>
      <c r="E84" s="14">
        <v>13</v>
      </c>
      <c r="F84" s="14">
        <v>104</v>
      </c>
      <c r="G84" s="14">
        <v>0</v>
      </c>
      <c r="H84" s="14">
        <v>0</v>
      </c>
      <c r="I84" s="14">
        <f t="shared" si="3"/>
        <v>104</v>
      </c>
      <c r="J84" s="16"/>
      <c r="K84" s="1"/>
    </row>
    <row r="85" spans="1:11" x14ac:dyDescent="0.95">
      <c r="A85" s="12"/>
      <c r="B85" s="16" t="s">
        <v>105</v>
      </c>
      <c r="C85" s="14">
        <v>8</v>
      </c>
      <c r="D85" s="15" t="s">
        <v>95</v>
      </c>
      <c r="E85" s="14">
        <v>12</v>
      </c>
      <c r="F85" s="14">
        <v>96</v>
      </c>
      <c r="G85" s="14">
        <v>0</v>
      </c>
      <c r="H85" s="14">
        <v>0</v>
      </c>
      <c r="I85" s="14">
        <f t="shared" si="3"/>
        <v>96</v>
      </c>
      <c r="J85" s="16"/>
      <c r="K85" s="1"/>
    </row>
    <row r="86" spans="1:11" x14ac:dyDescent="0.95">
      <c r="A86" s="12"/>
      <c r="B86" s="16" t="s">
        <v>106</v>
      </c>
      <c r="C86" s="14">
        <v>8</v>
      </c>
      <c r="D86" s="15" t="s">
        <v>95</v>
      </c>
      <c r="E86" s="14">
        <v>4.7</v>
      </c>
      <c r="F86" s="14">
        <v>37.6</v>
      </c>
      <c r="G86" s="14">
        <v>0</v>
      </c>
      <c r="H86" s="14">
        <v>0</v>
      </c>
      <c r="I86" s="14">
        <f t="shared" si="3"/>
        <v>37.6</v>
      </c>
      <c r="J86" s="16"/>
      <c r="K86" s="1"/>
    </row>
    <row r="87" spans="1:11" x14ac:dyDescent="0.95">
      <c r="A87" s="12"/>
      <c r="B87" s="16" t="s">
        <v>107</v>
      </c>
      <c r="C87" s="14">
        <v>10</v>
      </c>
      <c r="D87" s="15" t="s">
        <v>108</v>
      </c>
      <c r="E87" s="14">
        <v>434</v>
      </c>
      <c r="F87" s="14">
        <v>4340</v>
      </c>
      <c r="G87" s="14">
        <v>0</v>
      </c>
      <c r="H87" s="14">
        <v>0</v>
      </c>
      <c r="I87" s="14">
        <f t="shared" si="3"/>
        <v>4340</v>
      </c>
      <c r="J87" s="16"/>
      <c r="K87" s="1"/>
    </row>
    <row r="88" spans="1:11" x14ac:dyDescent="0.95">
      <c r="A88" s="12"/>
      <c r="B88" s="16" t="s">
        <v>109</v>
      </c>
      <c r="C88" s="14">
        <v>8</v>
      </c>
      <c r="D88" s="15" t="s">
        <v>70</v>
      </c>
      <c r="E88" s="14">
        <v>3600</v>
      </c>
      <c r="F88" s="14">
        <v>28800</v>
      </c>
      <c r="G88" s="14">
        <v>0</v>
      </c>
      <c r="H88" s="14">
        <v>0</v>
      </c>
      <c r="I88" s="14">
        <f t="shared" si="3"/>
        <v>28800</v>
      </c>
      <c r="J88" s="16"/>
      <c r="K88" s="1"/>
    </row>
    <row r="89" spans="1:11" x14ac:dyDescent="0.95">
      <c r="A89" s="12"/>
      <c r="B89" s="16" t="s">
        <v>110</v>
      </c>
      <c r="C89" s="14">
        <v>2.67</v>
      </c>
      <c r="D89" s="15" t="s">
        <v>111</v>
      </c>
      <c r="E89" s="14">
        <v>600</v>
      </c>
      <c r="F89" s="14">
        <v>1600</v>
      </c>
      <c r="G89" s="14">
        <v>0</v>
      </c>
      <c r="H89" s="14">
        <v>0</v>
      </c>
      <c r="I89" s="14">
        <f t="shared" si="3"/>
        <v>1600</v>
      </c>
      <c r="J89" s="16"/>
      <c r="K89" s="1"/>
    </row>
    <row r="90" spans="1:11" x14ac:dyDescent="0.95">
      <c r="A90" s="12"/>
      <c r="B90" s="16" t="s">
        <v>112</v>
      </c>
      <c r="C90" s="14">
        <v>8</v>
      </c>
      <c r="D90" s="15" t="s">
        <v>70</v>
      </c>
      <c r="E90" s="14">
        <v>1100</v>
      </c>
      <c r="F90" s="14">
        <v>8800</v>
      </c>
      <c r="G90" s="14">
        <v>0</v>
      </c>
      <c r="H90" s="14">
        <v>0</v>
      </c>
      <c r="I90" s="14">
        <f t="shared" si="3"/>
        <v>8800</v>
      </c>
      <c r="J90" s="16"/>
      <c r="K90" s="1"/>
    </row>
    <row r="91" spans="1:11" x14ac:dyDescent="0.95">
      <c r="A91" s="12"/>
      <c r="B91" s="16" t="s">
        <v>113</v>
      </c>
      <c r="C91" s="14">
        <v>4.67</v>
      </c>
      <c r="D91" s="15" t="s">
        <v>111</v>
      </c>
      <c r="E91" s="14">
        <v>160</v>
      </c>
      <c r="F91" s="14">
        <v>746.67</v>
      </c>
      <c r="G91" s="14">
        <v>0</v>
      </c>
      <c r="H91" s="14">
        <v>0</v>
      </c>
      <c r="I91" s="14">
        <f t="shared" si="3"/>
        <v>746.67</v>
      </c>
      <c r="J91" s="16"/>
      <c r="K91" s="1"/>
    </row>
    <row r="92" spans="1:11" x14ac:dyDescent="0.95">
      <c r="A92" s="12"/>
      <c r="B92" s="16" t="s">
        <v>114</v>
      </c>
      <c r="C92" s="14">
        <v>16</v>
      </c>
      <c r="D92" s="15" t="s">
        <v>115</v>
      </c>
      <c r="E92" s="14">
        <v>108</v>
      </c>
      <c r="F92" s="14">
        <v>1728</v>
      </c>
      <c r="G92" s="14">
        <v>0</v>
      </c>
      <c r="H92" s="14">
        <v>0</v>
      </c>
      <c r="I92" s="14">
        <f t="shared" si="3"/>
        <v>1728</v>
      </c>
      <c r="J92" s="16"/>
      <c r="K92" s="1"/>
    </row>
    <row r="93" spans="1:11" x14ac:dyDescent="0.95">
      <c r="A93" s="12"/>
      <c r="B93" s="16" t="s">
        <v>116</v>
      </c>
      <c r="C93" s="14">
        <v>16</v>
      </c>
      <c r="D93" s="15" t="s">
        <v>117</v>
      </c>
      <c r="E93" s="14">
        <v>42</v>
      </c>
      <c r="F93" s="14">
        <v>672</v>
      </c>
      <c r="G93" s="14">
        <v>0</v>
      </c>
      <c r="H93" s="14">
        <v>0</v>
      </c>
      <c r="I93" s="14">
        <f t="shared" si="3"/>
        <v>672</v>
      </c>
      <c r="J93" s="16"/>
      <c r="K93" s="1"/>
    </row>
    <row r="94" spans="1:11" s="4" customFormat="1" x14ac:dyDescent="0.95">
      <c r="A94" s="17"/>
      <c r="B94" s="13" t="s">
        <v>118</v>
      </c>
      <c r="C94" s="18"/>
      <c r="D94" s="19"/>
      <c r="E94" s="18"/>
      <c r="F94" s="18">
        <f>ROUND(SUM(F68,F69,F70,F71,F72,F73,F74,F75,F76,F77,F78,F79,F80,F81,F82,F83,F84,F85,F86,F87,F88,F89,F90,F91,F92,F93),2)</f>
        <v>109155.07</v>
      </c>
      <c r="G94" s="18"/>
      <c r="H94" s="18">
        <f>ROUND(SUM(H68,H69,H70,H71,H72,H73,H74,H75,H76,H77,H78,H79,H80,H81,H82,H83,H84,H85,H86,H87,H88,H89,H90,H91,H92,H93),2)</f>
        <v>0</v>
      </c>
      <c r="I94" s="18">
        <f t="shared" si="3"/>
        <v>109155.07</v>
      </c>
      <c r="J94" s="13"/>
      <c r="K94" s="5"/>
    </row>
    <row r="95" spans="1:11" s="4" customFormat="1" x14ac:dyDescent="0.95">
      <c r="A95" s="17"/>
      <c r="B95" s="13" t="s">
        <v>119</v>
      </c>
      <c r="C95" s="18"/>
      <c r="D95" s="19"/>
      <c r="E95" s="18"/>
      <c r="F95" s="18"/>
      <c r="G95" s="18"/>
      <c r="H95" s="18"/>
      <c r="I95" s="18"/>
      <c r="J95" s="13"/>
      <c r="K95" s="5"/>
    </row>
    <row r="96" spans="1:11" x14ac:dyDescent="0.95">
      <c r="A96" s="12"/>
      <c r="B96" s="16" t="s">
        <v>120</v>
      </c>
      <c r="C96" s="14">
        <v>8</v>
      </c>
      <c r="D96" s="15" t="s">
        <v>121</v>
      </c>
      <c r="E96" s="14">
        <v>109</v>
      </c>
      <c r="F96" s="14">
        <v>872</v>
      </c>
      <c r="G96" s="14">
        <v>6000</v>
      </c>
      <c r="H96" s="14">
        <v>48000</v>
      </c>
      <c r="I96" s="14">
        <f>ROUND(F96+H96,2)</f>
        <v>48872</v>
      </c>
      <c r="J96" s="16"/>
      <c r="K96" s="1"/>
    </row>
    <row r="97" spans="1:11" x14ac:dyDescent="0.95">
      <c r="A97" s="12"/>
      <c r="B97" s="16" t="s">
        <v>122</v>
      </c>
      <c r="C97" s="14">
        <v>26.67</v>
      </c>
      <c r="D97" s="15" t="s">
        <v>121</v>
      </c>
      <c r="E97" s="14">
        <v>75</v>
      </c>
      <c r="F97" s="14">
        <v>2000</v>
      </c>
      <c r="G97" s="14">
        <v>0</v>
      </c>
      <c r="H97" s="14">
        <v>0</v>
      </c>
      <c r="I97" s="14">
        <f>ROUND(F97+H97,2)</f>
        <v>2000</v>
      </c>
      <c r="J97" s="16"/>
      <c r="K97" s="1"/>
    </row>
    <row r="98" spans="1:11" s="4" customFormat="1" x14ac:dyDescent="0.95">
      <c r="A98" s="17"/>
      <c r="B98" s="13" t="s">
        <v>123</v>
      </c>
      <c r="C98" s="18"/>
      <c r="D98" s="19"/>
      <c r="E98" s="18"/>
      <c r="F98" s="18">
        <f>ROUND(SUM(F96,F97),2)</f>
        <v>2872</v>
      </c>
      <c r="G98" s="18"/>
      <c r="H98" s="18">
        <f>ROUND(SUM(H96,H97),2)</f>
        <v>48000</v>
      </c>
      <c r="I98" s="18">
        <f>ROUND(F98+H98,2)</f>
        <v>50872</v>
      </c>
      <c r="J98" s="13"/>
      <c r="K98" s="5"/>
    </row>
    <row r="99" spans="1:11" s="4" customFormat="1" x14ac:dyDescent="0.95">
      <c r="A99" s="17"/>
      <c r="B99" s="13" t="s">
        <v>124</v>
      </c>
      <c r="C99" s="18"/>
      <c r="D99" s="19"/>
      <c r="E99" s="18"/>
      <c r="F99" s="18"/>
      <c r="G99" s="18"/>
      <c r="H99" s="18"/>
      <c r="I99" s="18"/>
      <c r="J99" s="13"/>
      <c r="K99" s="5"/>
    </row>
    <row r="100" spans="1:11" x14ac:dyDescent="0.95">
      <c r="A100" s="12"/>
      <c r="B100" s="16" t="s">
        <v>125</v>
      </c>
      <c r="C100" s="14">
        <v>700</v>
      </c>
      <c r="D100" s="15" t="s">
        <v>126</v>
      </c>
      <c r="E100" s="14">
        <v>5.5</v>
      </c>
      <c r="F100" s="14">
        <v>3850</v>
      </c>
      <c r="G100" s="14">
        <v>0</v>
      </c>
      <c r="H100" s="14">
        <v>0</v>
      </c>
      <c r="I100" s="14">
        <f t="shared" ref="I100:I109" si="4">ROUND(F100+H100,2)</f>
        <v>3850</v>
      </c>
      <c r="J100" s="16"/>
      <c r="K100" s="1"/>
    </row>
    <row r="101" spans="1:11" x14ac:dyDescent="0.95">
      <c r="A101" s="12"/>
      <c r="B101" s="16" t="s">
        <v>127</v>
      </c>
      <c r="C101" s="14">
        <v>2.67</v>
      </c>
      <c r="D101" s="15" t="s">
        <v>128</v>
      </c>
      <c r="E101" s="14">
        <v>500</v>
      </c>
      <c r="F101" s="14">
        <v>1333.33</v>
      </c>
      <c r="G101" s="14">
        <v>0</v>
      </c>
      <c r="H101" s="14">
        <v>0</v>
      </c>
      <c r="I101" s="14">
        <f t="shared" si="4"/>
        <v>1333.33</v>
      </c>
      <c r="J101" s="16"/>
      <c r="K101" s="1"/>
    </row>
    <row r="102" spans="1:11" x14ac:dyDescent="0.95">
      <c r="A102" s="12"/>
      <c r="B102" s="16" t="s">
        <v>129</v>
      </c>
      <c r="C102" s="14">
        <v>2.67</v>
      </c>
      <c r="D102" s="15" t="s">
        <v>128</v>
      </c>
      <c r="E102" s="14">
        <v>400</v>
      </c>
      <c r="F102" s="14">
        <v>1066.67</v>
      </c>
      <c r="G102" s="14">
        <v>0</v>
      </c>
      <c r="H102" s="14">
        <v>0</v>
      </c>
      <c r="I102" s="14">
        <f t="shared" si="4"/>
        <v>1066.67</v>
      </c>
      <c r="J102" s="16"/>
      <c r="K102" s="1"/>
    </row>
    <row r="103" spans="1:11" x14ac:dyDescent="0.95">
      <c r="A103" s="12"/>
      <c r="B103" s="16" t="s">
        <v>130</v>
      </c>
      <c r="C103" s="14">
        <v>26.67</v>
      </c>
      <c r="D103" s="15" t="s">
        <v>121</v>
      </c>
      <c r="E103" s="14">
        <v>92</v>
      </c>
      <c r="F103" s="14">
        <v>2453.33</v>
      </c>
      <c r="G103" s="14">
        <v>0</v>
      </c>
      <c r="H103" s="14">
        <v>0</v>
      </c>
      <c r="I103" s="14">
        <f t="shared" si="4"/>
        <v>2453.33</v>
      </c>
      <c r="J103" s="16"/>
      <c r="K103" s="1"/>
    </row>
    <row r="104" spans="1:11" x14ac:dyDescent="0.95">
      <c r="A104" s="12"/>
      <c r="B104" s="16" t="s">
        <v>131</v>
      </c>
      <c r="C104" s="14">
        <v>80</v>
      </c>
      <c r="D104" s="15" t="s">
        <v>121</v>
      </c>
      <c r="E104" s="14">
        <v>61</v>
      </c>
      <c r="F104" s="14">
        <v>4880</v>
      </c>
      <c r="G104" s="14">
        <v>0</v>
      </c>
      <c r="H104" s="14">
        <v>0</v>
      </c>
      <c r="I104" s="14">
        <f t="shared" si="4"/>
        <v>4880</v>
      </c>
      <c r="J104" s="16"/>
      <c r="K104" s="1"/>
    </row>
    <row r="105" spans="1:11" x14ac:dyDescent="0.95">
      <c r="A105" s="12"/>
      <c r="B105" s="16" t="s">
        <v>132</v>
      </c>
      <c r="C105" s="14">
        <v>13.33</v>
      </c>
      <c r="D105" s="15" t="s">
        <v>57</v>
      </c>
      <c r="E105" s="14">
        <v>110</v>
      </c>
      <c r="F105" s="14">
        <v>1466.67</v>
      </c>
      <c r="G105" s="14">
        <v>0</v>
      </c>
      <c r="H105" s="14">
        <v>0</v>
      </c>
      <c r="I105" s="14">
        <f t="shared" si="4"/>
        <v>1466.67</v>
      </c>
      <c r="J105" s="16"/>
      <c r="K105" s="1"/>
    </row>
    <row r="106" spans="1:11" x14ac:dyDescent="0.95">
      <c r="A106" s="12"/>
      <c r="B106" s="16" t="s">
        <v>44</v>
      </c>
      <c r="C106" s="14">
        <v>13.33</v>
      </c>
      <c r="D106" s="15" t="s">
        <v>57</v>
      </c>
      <c r="E106" s="14">
        <v>64</v>
      </c>
      <c r="F106" s="14">
        <v>853.33</v>
      </c>
      <c r="G106" s="14">
        <v>0</v>
      </c>
      <c r="H106" s="14">
        <v>0</v>
      </c>
      <c r="I106" s="14">
        <f t="shared" si="4"/>
        <v>853.33</v>
      </c>
      <c r="J106" s="16"/>
      <c r="K106" s="1"/>
    </row>
    <row r="107" spans="1:11" x14ac:dyDescent="0.95">
      <c r="A107" s="12"/>
      <c r="B107" s="16" t="s">
        <v>133</v>
      </c>
      <c r="C107" s="14">
        <v>1.33</v>
      </c>
      <c r="D107" s="15" t="s">
        <v>111</v>
      </c>
      <c r="E107" s="14">
        <v>0</v>
      </c>
      <c r="F107" s="14">
        <v>0</v>
      </c>
      <c r="G107" s="14">
        <v>0</v>
      </c>
      <c r="H107" s="14">
        <v>0</v>
      </c>
      <c r="I107" s="14">
        <f t="shared" si="4"/>
        <v>0</v>
      </c>
      <c r="J107" s="16"/>
      <c r="K107" s="1"/>
    </row>
    <row r="108" spans="1:11" x14ac:dyDescent="0.95">
      <c r="A108" s="12"/>
      <c r="B108" s="16" t="s">
        <v>134</v>
      </c>
      <c r="C108" s="14">
        <v>8</v>
      </c>
      <c r="D108" s="15" t="s">
        <v>77</v>
      </c>
      <c r="E108" s="14">
        <v>0</v>
      </c>
      <c r="F108" s="14">
        <v>0</v>
      </c>
      <c r="G108" s="14">
        <v>1012</v>
      </c>
      <c r="H108" s="14">
        <v>56672</v>
      </c>
      <c r="I108" s="14">
        <f t="shared" si="4"/>
        <v>56672</v>
      </c>
      <c r="J108" s="16"/>
      <c r="K108" s="1"/>
    </row>
    <row r="109" spans="1:11" s="4" customFormat="1" x14ac:dyDescent="0.95">
      <c r="A109" s="17"/>
      <c r="B109" s="13" t="s">
        <v>135</v>
      </c>
      <c r="C109" s="18"/>
      <c r="D109" s="19"/>
      <c r="E109" s="18"/>
      <c r="F109" s="18">
        <f>ROUND(SUM(F100,F101,F102,F103,F104,F105,F106,F107,F108),2)</f>
        <v>15903.33</v>
      </c>
      <c r="G109" s="18"/>
      <c r="H109" s="18">
        <f>ROUND(SUM(H100,H101,H102,H103,H104,H105,H106,H107,H108),2)</f>
        <v>56672</v>
      </c>
      <c r="I109" s="18">
        <f t="shared" si="4"/>
        <v>72575.33</v>
      </c>
      <c r="J109" s="13"/>
      <c r="K109" s="5"/>
    </row>
    <row r="110" spans="1:11" s="4" customFormat="1" x14ac:dyDescent="0.95">
      <c r="A110" s="17"/>
      <c r="B110" s="13" t="s">
        <v>136</v>
      </c>
      <c r="C110" s="18"/>
      <c r="D110" s="19"/>
      <c r="E110" s="18"/>
      <c r="F110" s="18"/>
      <c r="G110" s="18"/>
      <c r="H110" s="18"/>
      <c r="I110" s="18"/>
      <c r="J110" s="13"/>
      <c r="K110" s="5"/>
    </row>
    <row r="111" spans="1:11" x14ac:dyDescent="0.95">
      <c r="A111" s="12"/>
      <c r="B111" s="16" t="s">
        <v>137</v>
      </c>
      <c r="C111" s="14">
        <v>192</v>
      </c>
      <c r="D111" s="15" t="s">
        <v>36</v>
      </c>
      <c r="E111" s="14">
        <v>45</v>
      </c>
      <c r="F111" s="14">
        <v>8640</v>
      </c>
      <c r="G111" s="14">
        <v>80</v>
      </c>
      <c r="H111" s="14">
        <v>15360</v>
      </c>
      <c r="I111" s="14">
        <f>ROUND(F111+H111,2)</f>
        <v>24000</v>
      </c>
      <c r="J111" s="16"/>
      <c r="K111" s="1"/>
    </row>
    <row r="112" spans="1:11" x14ac:dyDescent="0.95">
      <c r="A112" s="12"/>
      <c r="B112" s="16" t="s">
        <v>17</v>
      </c>
      <c r="C112" s="14">
        <v>22.67</v>
      </c>
      <c r="D112" s="15" t="s">
        <v>18</v>
      </c>
      <c r="E112" s="14">
        <v>1500</v>
      </c>
      <c r="F112" s="14">
        <v>34000</v>
      </c>
      <c r="G112" s="14">
        <v>0</v>
      </c>
      <c r="H112" s="14">
        <v>0</v>
      </c>
      <c r="I112" s="14">
        <f>ROUND(F112+H112,2)</f>
        <v>34000</v>
      </c>
      <c r="J112" s="16"/>
      <c r="K112" s="1"/>
    </row>
    <row r="113" spans="1:11" s="4" customFormat="1" x14ac:dyDescent="0.95">
      <c r="A113" s="17"/>
      <c r="B113" s="13" t="s">
        <v>138</v>
      </c>
      <c r="C113" s="18"/>
      <c r="D113" s="19"/>
      <c r="E113" s="18"/>
      <c r="F113" s="18">
        <f>ROUND(SUM(F111,F112),2)</f>
        <v>42640</v>
      </c>
      <c r="G113" s="18"/>
      <c r="H113" s="18">
        <f>ROUND(SUM(H111,H112),2)</f>
        <v>15360</v>
      </c>
      <c r="I113" s="18">
        <f>ROUND(F113+H113,2)</f>
        <v>58000</v>
      </c>
      <c r="J113" s="13"/>
      <c r="K113" s="5"/>
    </row>
    <row r="114" spans="1:11" s="4" customFormat="1" x14ac:dyDescent="0.95">
      <c r="A114" s="17"/>
      <c r="B114" s="13" t="s">
        <v>139</v>
      </c>
      <c r="C114" s="18"/>
      <c r="D114" s="19"/>
      <c r="E114" s="18"/>
      <c r="F114" s="18"/>
      <c r="G114" s="18"/>
      <c r="H114" s="18"/>
      <c r="I114" s="18"/>
      <c r="J114" s="13"/>
      <c r="K114" s="5"/>
    </row>
    <row r="115" spans="1:11" x14ac:dyDescent="0.95">
      <c r="A115" s="12"/>
      <c r="B115" s="16" t="s">
        <v>46</v>
      </c>
      <c r="C115" s="14">
        <v>7.0000000000000007E-2</v>
      </c>
      <c r="D115" s="15" t="s">
        <v>45</v>
      </c>
      <c r="E115" s="14">
        <v>137</v>
      </c>
      <c r="F115" s="14">
        <v>1830.33</v>
      </c>
      <c r="G115" s="14">
        <v>0</v>
      </c>
      <c r="H115" s="14">
        <v>0</v>
      </c>
      <c r="I115" s="14">
        <f t="shared" ref="I115:I120" si="5">ROUND(F115+H115,2)</f>
        <v>1830.33</v>
      </c>
      <c r="J115" s="16"/>
      <c r="K115" s="1"/>
    </row>
    <row r="116" spans="1:11" x14ac:dyDescent="0.95">
      <c r="A116" s="12"/>
      <c r="B116" s="16" t="s">
        <v>47</v>
      </c>
      <c r="C116" s="14">
        <v>0.05</v>
      </c>
      <c r="D116" s="15" t="s">
        <v>45</v>
      </c>
      <c r="E116" s="14">
        <v>240</v>
      </c>
      <c r="F116" s="14">
        <v>1441.44</v>
      </c>
      <c r="G116" s="14">
        <v>1</v>
      </c>
      <c r="H116" s="14">
        <v>6.01</v>
      </c>
      <c r="I116" s="14">
        <f t="shared" si="5"/>
        <v>1447.45</v>
      </c>
      <c r="J116" s="16"/>
      <c r="K116" s="1"/>
    </row>
    <row r="117" spans="1:11" x14ac:dyDescent="0.95">
      <c r="A117" s="12"/>
      <c r="B117" s="16" t="s">
        <v>52</v>
      </c>
      <c r="C117" s="14">
        <v>17.329999999999998</v>
      </c>
      <c r="D117" s="15" t="s">
        <v>18</v>
      </c>
      <c r="E117" s="14">
        <v>1600</v>
      </c>
      <c r="F117" s="14">
        <v>27733.33</v>
      </c>
      <c r="G117" s="14">
        <v>2</v>
      </c>
      <c r="H117" s="14">
        <v>8.67</v>
      </c>
      <c r="I117" s="14">
        <f t="shared" si="5"/>
        <v>27742</v>
      </c>
      <c r="J117" s="16"/>
      <c r="K117" s="1"/>
    </row>
    <row r="118" spans="1:11" x14ac:dyDescent="0.95">
      <c r="A118" s="12"/>
      <c r="B118" s="16" t="s">
        <v>53</v>
      </c>
      <c r="C118" s="14">
        <v>173.33</v>
      </c>
      <c r="D118" s="15" t="s">
        <v>36</v>
      </c>
      <c r="E118" s="14">
        <v>74.2</v>
      </c>
      <c r="F118" s="14">
        <v>12861.33</v>
      </c>
      <c r="G118" s="14">
        <v>3</v>
      </c>
      <c r="H118" s="14">
        <v>130</v>
      </c>
      <c r="I118" s="14">
        <f t="shared" si="5"/>
        <v>12991.33</v>
      </c>
      <c r="J118" s="16"/>
      <c r="K118" s="1"/>
    </row>
    <row r="119" spans="1:11" x14ac:dyDescent="0.95">
      <c r="A119" s="12"/>
      <c r="B119" s="16" t="s">
        <v>140</v>
      </c>
      <c r="C119" s="14">
        <v>8</v>
      </c>
      <c r="D119" s="15" t="s">
        <v>77</v>
      </c>
      <c r="E119" s="14">
        <v>0</v>
      </c>
      <c r="F119" s="14">
        <v>0</v>
      </c>
      <c r="G119" s="14">
        <v>2500</v>
      </c>
      <c r="H119" s="14">
        <v>20000</v>
      </c>
      <c r="I119" s="14">
        <f t="shared" si="5"/>
        <v>20000</v>
      </c>
      <c r="J119" s="16"/>
      <c r="K119" s="1"/>
    </row>
    <row r="120" spans="1:11" s="4" customFormat="1" x14ac:dyDescent="0.95">
      <c r="A120" s="17"/>
      <c r="B120" s="13" t="s">
        <v>141</v>
      </c>
      <c r="C120" s="18"/>
      <c r="D120" s="19"/>
      <c r="E120" s="18"/>
      <c r="F120" s="18">
        <f>ROUND(SUM(F115,F116,F117,F118,F119),2)</f>
        <v>43866.43</v>
      </c>
      <c r="G120" s="18">
        <f>SUM(G115:G119)</f>
        <v>2506</v>
      </c>
      <c r="H120" s="18">
        <f>ROUND(SUM(H115,H116,H117,H118,H119),2)</f>
        <v>20144.68</v>
      </c>
      <c r="I120" s="18">
        <f t="shared" si="5"/>
        <v>64011.11</v>
      </c>
      <c r="J120" s="13"/>
      <c r="K120" s="5"/>
    </row>
    <row r="121" spans="1:11" s="4" customFormat="1" x14ac:dyDescent="0.95">
      <c r="A121" s="17"/>
      <c r="B121" s="13" t="s">
        <v>142</v>
      </c>
      <c r="C121" s="18"/>
      <c r="D121" s="19"/>
      <c r="E121" s="18"/>
      <c r="F121" s="18"/>
      <c r="G121" s="18"/>
      <c r="H121" s="18"/>
      <c r="I121" s="18"/>
      <c r="J121" s="13"/>
      <c r="K121" s="5"/>
    </row>
    <row r="122" spans="1:11" x14ac:dyDescent="0.95">
      <c r="A122" s="12"/>
      <c r="B122" s="16" t="s">
        <v>143</v>
      </c>
      <c r="C122" s="14">
        <v>832</v>
      </c>
      <c r="D122" s="15" t="s">
        <v>29</v>
      </c>
      <c r="E122" s="14">
        <v>67</v>
      </c>
      <c r="F122" s="14">
        <v>55744</v>
      </c>
      <c r="G122" s="14">
        <v>0</v>
      </c>
      <c r="H122" s="14">
        <v>0</v>
      </c>
      <c r="I122" s="14">
        <f t="shared" ref="I122:I135" si="6">ROUND(F122+H122,2)</f>
        <v>55744</v>
      </c>
      <c r="J122" s="16"/>
      <c r="K122" s="1"/>
    </row>
    <row r="123" spans="1:11" x14ac:dyDescent="0.95">
      <c r="A123" s="12"/>
      <c r="B123" s="16" t="s">
        <v>144</v>
      </c>
      <c r="C123" s="14">
        <v>208</v>
      </c>
      <c r="D123" s="15" t="s">
        <v>29</v>
      </c>
      <c r="E123" s="14">
        <v>82</v>
      </c>
      <c r="F123" s="14">
        <v>17056</v>
      </c>
      <c r="G123" s="14">
        <v>0</v>
      </c>
      <c r="H123" s="14">
        <v>0</v>
      </c>
      <c r="I123" s="14">
        <f t="shared" si="6"/>
        <v>17056</v>
      </c>
      <c r="J123" s="16"/>
      <c r="K123" s="1"/>
    </row>
    <row r="124" spans="1:11" x14ac:dyDescent="0.95">
      <c r="A124" s="12"/>
      <c r="B124" s="16" t="s">
        <v>145</v>
      </c>
      <c r="C124" s="14">
        <v>20</v>
      </c>
      <c r="D124" s="15" t="s">
        <v>146</v>
      </c>
      <c r="E124" s="14">
        <v>870</v>
      </c>
      <c r="F124" s="14">
        <v>17400</v>
      </c>
      <c r="G124" s="14">
        <v>0</v>
      </c>
      <c r="H124" s="14">
        <v>0</v>
      </c>
      <c r="I124" s="14">
        <f t="shared" si="6"/>
        <v>17400</v>
      </c>
      <c r="J124" s="16"/>
      <c r="K124" s="1"/>
    </row>
    <row r="125" spans="1:11" x14ac:dyDescent="0.95">
      <c r="A125" s="12"/>
      <c r="B125" s="16" t="s">
        <v>147</v>
      </c>
      <c r="C125" s="14">
        <v>8</v>
      </c>
      <c r="D125" s="15" t="s">
        <v>29</v>
      </c>
      <c r="E125" s="14">
        <v>53</v>
      </c>
      <c r="F125" s="14">
        <v>424</v>
      </c>
      <c r="G125" s="14">
        <v>0</v>
      </c>
      <c r="H125" s="14">
        <v>0</v>
      </c>
      <c r="I125" s="14">
        <f t="shared" si="6"/>
        <v>424</v>
      </c>
      <c r="J125" s="16"/>
      <c r="K125" s="1"/>
    </row>
    <row r="126" spans="1:11" x14ac:dyDescent="0.95">
      <c r="A126" s="12"/>
      <c r="B126" s="16" t="s">
        <v>148</v>
      </c>
      <c r="C126" s="14">
        <v>16</v>
      </c>
      <c r="D126" s="15" t="s">
        <v>29</v>
      </c>
      <c r="E126" s="14">
        <v>63</v>
      </c>
      <c r="F126" s="14">
        <v>1008</v>
      </c>
      <c r="G126" s="14">
        <v>0</v>
      </c>
      <c r="H126" s="14">
        <v>0</v>
      </c>
      <c r="I126" s="14">
        <f t="shared" si="6"/>
        <v>1008</v>
      </c>
      <c r="J126" s="16"/>
      <c r="K126" s="1"/>
    </row>
    <row r="127" spans="1:11" x14ac:dyDescent="0.95">
      <c r="A127" s="12"/>
      <c r="B127" s="16" t="s">
        <v>149</v>
      </c>
      <c r="C127" s="14">
        <v>32</v>
      </c>
      <c r="D127" s="15" t="s">
        <v>29</v>
      </c>
      <c r="E127" s="14">
        <v>137</v>
      </c>
      <c r="F127" s="14">
        <v>4384</v>
      </c>
      <c r="G127" s="14">
        <v>0</v>
      </c>
      <c r="H127" s="14">
        <v>0</v>
      </c>
      <c r="I127" s="14">
        <f t="shared" si="6"/>
        <v>4384</v>
      </c>
      <c r="J127" s="16"/>
      <c r="K127" s="1"/>
    </row>
    <row r="128" spans="1:11" x14ac:dyDescent="0.95">
      <c r="A128" s="12"/>
      <c r="B128" s="16" t="s">
        <v>150</v>
      </c>
      <c r="C128" s="14">
        <v>141.33000000000001</v>
      </c>
      <c r="D128" s="15" t="s">
        <v>29</v>
      </c>
      <c r="E128" s="14">
        <v>39</v>
      </c>
      <c r="F128" s="14">
        <v>5512</v>
      </c>
      <c r="G128" s="14">
        <v>0</v>
      </c>
      <c r="H128" s="14">
        <v>0</v>
      </c>
      <c r="I128" s="14">
        <f t="shared" si="6"/>
        <v>5512</v>
      </c>
      <c r="J128" s="16"/>
      <c r="K128" s="1"/>
    </row>
    <row r="129" spans="1:11" x14ac:dyDescent="0.95">
      <c r="A129" s="12"/>
      <c r="B129" s="16" t="s">
        <v>151</v>
      </c>
      <c r="C129" s="14">
        <v>88</v>
      </c>
      <c r="D129" s="15" t="s">
        <v>29</v>
      </c>
      <c r="E129" s="14">
        <v>39</v>
      </c>
      <c r="F129" s="14">
        <v>3432</v>
      </c>
      <c r="G129" s="14">
        <v>0</v>
      </c>
      <c r="H129" s="14">
        <v>0</v>
      </c>
      <c r="I129" s="14">
        <f t="shared" si="6"/>
        <v>3432</v>
      </c>
      <c r="J129" s="16"/>
      <c r="K129" s="1"/>
    </row>
    <row r="130" spans="1:11" x14ac:dyDescent="0.95">
      <c r="A130" s="12"/>
      <c r="B130" s="16" t="s">
        <v>152</v>
      </c>
      <c r="C130" s="14">
        <v>2</v>
      </c>
      <c r="D130" s="15" t="s">
        <v>29</v>
      </c>
      <c r="E130" s="14">
        <v>52</v>
      </c>
      <c r="F130" s="14">
        <v>104</v>
      </c>
      <c r="G130" s="14">
        <v>0</v>
      </c>
      <c r="H130" s="14">
        <v>0</v>
      </c>
      <c r="I130" s="14">
        <f t="shared" si="6"/>
        <v>104</v>
      </c>
      <c r="J130" s="16"/>
      <c r="K130" s="1"/>
    </row>
    <row r="131" spans="1:11" x14ac:dyDescent="0.95">
      <c r="A131" s="12"/>
      <c r="B131" s="16" t="s">
        <v>153</v>
      </c>
      <c r="C131" s="14">
        <v>18.670000000000002</v>
      </c>
      <c r="D131" s="15" t="s">
        <v>146</v>
      </c>
      <c r="E131" s="14">
        <v>170</v>
      </c>
      <c r="F131" s="14">
        <v>3173.33</v>
      </c>
      <c r="G131" s="14">
        <v>0</v>
      </c>
      <c r="H131" s="14">
        <v>0</v>
      </c>
      <c r="I131" s="14">
        <f t="shared" si="6"/>
        <v>3173.33</v>
      </c>
      <c r="J131" s="16"/>
      <c r="K131" s="1"/>
    </row>
    <row r="132" spans="1:11" x14ac:dyDescent="0.95">
      <c r="A132" s="12"/>
      <c r="B132" s="16" t="s">
        <v>154</v>
      </c>
      <c r="C132" s="14">
        <v>4</v>
      </c>
      <c r="D132" s="15" t="s">
        <v>111</v>
      </c>
      <c r="E132" s="14">
        <v>1359</v>
      </c>
      <c r="F132" s="14">
        <v>5436</v>
      </c>
      <c r="G132" s="14">
        <v>0</v>
      </c>
      <c r="H132" s="14">
        <v>0</v>
      </c>
      <c r="I132" s="14">
        <f t="shared" si="6"/>
        <v>5436</v>
      </c>
      <c r="J132" s="16"/>
      <c r="K132" s="1"/>
    </row>
    <row r="133" spans="1:11" x14ac:dyDescent="0.95">
      <c r="A133" s="12"/>
      <c r="B133" s="16" t="s">
        <v>155</v>
      </c>
      <c r="C133" s="14">
        <v>19.2</v>
      </c>
      <c r="D133" s="15" t="s">
        <v>81</v>
      </c>
      <c r="E133" s="14"/>
      <c r="F133" s="14">
        <v>0</v>
      </c>
      <c r="G133" s="14">
        <v>400</v>
      </c>
      <c r="H133" s="14">
        <v>7680</v>
      </c>
      <c r="I133" s="14">
        <f t="shared" si="6"/>
        <v>7680</v>
      </c>
      <c r="J133" s="16"/>
      <c r="K133" s="1"/>
    </row>
    <row r="134" spans="1:11" x14ac:dyDescent="0.95">
      <c r="A134" s="12"/>
      <c r="B134" s="16" t="s">
        <v>156</v>
      </c>
      <c r="C134" s="14">
        <v>8</v>
      </c>
      <c r="D134" s="15" t="s">
        <v>77</v>
      </c>
      <c r="E134" s="14">
        <v>0</v>
      </c>
      <c r="F134" s="14">
        <v>0</v>
      </c>
      <c r="G134" s="14">
        <v>70</v>
      </c>
      <c r="H134" s="14">
        <v>32200</v>
      </c>
      <c r="I134" s="14">
        <f t="shared" si="6"/>
        <v>32200</v>
      </c>
      <c r="J134" s="16"/>
      <c r="K134" s="1"/>
    </row>
    <row r="135" spans="1:11" s="4" customFormat="1" x14ac:dyDescent="0.95">
      <c r="A135" s="17"/>
      <c r="B135" s="13" t="s">
        <v>157</v>
      </c>
      <c r="C135" s="18"/>
      <c r="D135" s="19"/>
      <c r="E135" s="18"/>
      <c r="F135" s="18">
        <f>ROUND(SUM(F122,F123,F124,F125,F126,F127,F128,F129,F130,F131,F132,F133,F134),2)</f>
        <v>113673.33</v>
      </c>
      <c r="G135" s="18"/>
      <c r="H135" s="18">
        <f>ROUND(SUM(H122,H123,H124,H125,H126,H127,H128,H129,H130,H131,H132,H133,H134),2)</f>
        <v>39880</v>
      </c>
      <c r="I135" s="18">
        <f t="shared" si="6"/>
        <v>153553.32999999999</v>
      </c>
      <c r="J135" s="13"/>
      <c r="K135" s="5"/>
    </row>
    <row r="136" spans="1:11" s="4" customFormat="1" x14ac:dyDescent="0.95">
      <c r="A136" s="17"/>
      <c r="B136" s="13" t="s">
        <v>158</v>
      </c>
      <c r="C136" s="18"/>
      <c r="D136" s="19"/>
      <c r="E136" s="18"/>
      <c r="F136" s="18"/>
      <c r="G136" s="18"/>
      <c r="H136" s="18"/>
      <c r="I136" s="18"/>
      <c r="J136" s="13"/>
      <c r="K136" s="5"/>
    </row>
    <row r="137" spans="1:11" x14ac:dyDescent="0.95">
      <c r="A137" s="12"/>
      <c r="B137" s="16" t="s">
        <v>159</v>
      </c>
      <c r="C137" s="14">
        <v>56</v>
      </c>
      <c r="D137" s="15" t="s">
        <v>36</v>
      </c>
      <c r="E137" s="14"/>
      <c r="F137" s="14">
        <v>0</v>
      </c>
      <c r="G137" s="14">
        <f>320</f>
        <v>320</v>
      </c>
      <c r="H137" s="14">
        <v>17920</v>
      </c>
      <c r="I137" s="14">
        <f t="shared" ref="I137:I144" si="7">ROUND(F137+H137,2)</f>
        <v>17920</v>
      </c>
      <c r="J137" s="16" t="s">
        <v>160</v>
      </c>
      <c r="K137" s="1"/>
    </row>
    <row r="138" spans="1:11" x14ac:dyDescent="0.95">
      <c r="A138" s="12"/>
      <c r="B138" s="16" t="s">
        <v>161</v>
      </c>
      <c r="C138" s="14">
        <v>144</v>
      </c>
      <c r="D138" s="15" t="s">
        <v>36</v>
      </c>
      <c r="E138" s="14"/>
      <c r="F138" s="14">
        <v>0</v>
      </c>
      <c r="G138" s="14">
        <v>280</v>
      </c>
      <c r="H138" s="14">
        <v>40320</v>
      </c>
      <c r="I138" s="14">
        <f t="shared" si="7"/>
        <v>40320</v>
      </c>
      <c r="J138" s="16" t="s">
        <v>162</v>
      </c>
      <c r="K138" s="1"/>
    </row>
    <row r="139" spans="1:11" x14ac:dyDescent="0.95">
      <c r="A139" s="12"/>
      <c r="B139" s="16" t="s">
        <v>163</v>
      </c>
      <c r="C139" s="14">
        <v>240</v>
      </c>
      <c r="D139" s="15" t="s">
        <v>36</v>
      </c>
      <c r="E139" s="14"/>
      <c r="F139" s="14">
        <v>0</v>
      </c>
      <c r="G139" s="14">
        <v>240</v>
      </c>
      <c r="H139" s="14">
        <v>57600</v>
      </c>
      <c r="I139" s="14">
        <f t="shared" si="7"/>
        <v>57600</v>
      </c>
      <c r="J139" s="16"/>
      <c r="K139" s="1"/>
    </row>
    <row r="140" spans="1:11" x14ac:dyDescent="0.95">
      <c r="A140" s="12"/>
      <c r="B140" s="16" t="s">
        <v>164</v>
      </c>
      <c r="C140" s="14">
        <v>460.8</v>
      </c>
      <c r="D140" s="15" t="s">
        <v>81</v>
      </c>
      <c r="E140" s="14"/>
      <c r="F140" s="14">
        <v>0</v>
      </c>
      <c r="G140" s="14">
        <v>70</v>
      </c>
      <c r="H140" s="14">
        <v>32256</v>
      </c>
      <c r="I140" s="14">
        <f t="shared" si="7"/>
        <v>32256</v>
      </c>
      <c r="J140" s="16"/>
      <c r="K140" s="1"/>
    </row>
    <row r="141" spans="1:11" x14ac:dyDescent="0.95">
      <c r="A141" s="12"/>
      <c r="B141" s="16" t="s">
        <v>165</v>
      </c>
      <c r="C141" s="14">
        <v>8</v>
      </c>
      <c r="D141" s="15" t="s">
        <v>166</v>
      </c>
      <c r="E141" s="14"/>
      <c r="F141" s="14">
        <v>64536</v>
      </c>
      <c r="G141" s="14">
        <v>2000</v>
      </c>
      <c r="H141" s="14">
        <v>16000</v>
      </c>
      <c r="I141" s="14">
        <f t="shared" si="7"/>
        <v>80536</v>
      </c>
      <c r="J141" s="16"/>
      <c r="K141" s="1"/>
    </row>
    <row r="142" spans="1:11" x14ac:dyDescent="0.95">
      <c r="A142" s="12"/>
      <c r="B142" s="16" t="s">
        <v>167</v>
      </c>
      <c r="C142" s="14">
        <v>16</v>
      </c>
      <c r="D142" s="15" t="s">
        <v>36</v>
      </c>
      <c r="E142" s="14"/>
      <c r="F142" s="14">
        <v>0</v>
      </c>
      <c r="G142" s="14">
        <v>280</v>
      </c>
      <c r="H142" s="14">
        <v>4480</v>
      </c>
      <c r="I142" s="14">
        <f t="shared" si="7"/>
        <v>4480</v>
      </c>
      <c r="J142" s="16"/>
      <c r="K142" s="1"/>
    </row>
    <row r="143" spans="1:11" x14ac:dyDescent="0.95">
      <c r="A143" s="12"/>
      <c r="B143" s="16" t="s">
        <v>168</v>
      </c>
      <c r="C143" s="14">
        <v>16</v>
      </c>
      <c r="D143" s="15" t="s">
        <v>36</v>
      </c>
      <c r="E143" s="14"/>
      <c r="F143" s="14">
        <v>0</v>
      </c>
      <c r="G143" s="14">
        <v>965</v>
      </c>
      <c r="H143" s="14">
        <v>15440</v>
      </c>
      <c r="I143" s="14">
        <f t="shared" si="7"/>
        <v>15440</v>
      </c>
      <c r="J143" s="16"/>
      <c r="K143" s="1"/>
    </row>
    <row r="144" spans="1:11" s="4" customFormat="1" x14ac:dyDescent="0.95">
      <c r="A144" s="17"/>
      <c r="B144" s="13" t="s">
        <v>169</v>
      </c>
      <c r="C144" s="18"/>
      <c r="D144" s="19"/>
      <c r="E144" s="18"/>
      <c r="F144" s="18">
        <f>ROUND(SUM(F137,F138,F139,F140,F141,F142,F143),2)</f>
        <v>64536</v>
      </c>
      <c r="G144" s="18"/>
      <c r="H144" s="18">
        <f>ROUND(SUM(H137,H138,H139,H140,H141,H142,H143),2)</f>
        <v>184016</v>
      </c>
      <c r="I144" s="18">
        <f t="shared" si="7"/>
        <v>248552</v>
      </c>
      <c r="J144" s="13"/>
      <c r="K144" s="5"/>
    </row>
    <row r="145" spans="1:11" s="4" customFormat="1" x14ac:dyDescent="0.95">
      <c r="A145" s="17"/>
      <c r="B145" s="13" t="s">
        <v>170</v>
      </c>
      <c r="C145" s="18"/>
      <c r="D145" s="19"/>
      <c r="E145" s="18"/>
      <c r="F145" s="18"/>
      <c r="G145" s="18"/>
      <c r="H145" s="18"/>
      <c r="I145" s="18"/>
      <c r="J145" s="13"/>
      <c r="K145" s="5"/>
    </row>
    <row r="146" spans="1:11" x14ac:dyDescent="0.95">
      <c r="A146" s="12"/>
      <c r="B146" s="16" t="s">
        <v>171</v>
      </c>
      <c r="C146" s="14">
        <v>8</v>
      </c>
      <c r="D146" s="15" t="s">
        <v>172</v>
      </c>
      <c r="E146" s="14">
        <v>1869</v>
      </c>
      <c r="F146" s="14">
        <v>14952</v>
      </c>
      <c r="G146" s="14">
        <v>0</v>
      </c>
      <c r="H146" s="14">
        <v>0</v>
      </c>
      <c r="I146" s="14">
        <f t="shared" ref="I146:I164" si="8">ROUND(F146+H146,2)</f>
        <v>14952</v>
      </c>
      <c r="J146" s="16"/>
      <c r="K146" s="1"/>
    </row>
    <row r="147" spans="1:11" x14ac:dyDescent="0.95">
      <c r="A147" s="12"/>
      <c r="B147" s="16" t="s">
        <v>173</v>
      </c>
      <c r="C147" s="14">
        <v>8</v>
      </c>
      <c r="D147" s="15" t="s">
        <v>172</v>
      </c>
      <c r="E147" s="14">
        <v>640</v>
      </c>
      <c r="F147" s="14">
        <v>5120</v>
      </c>
      <c r="G147" s="14">
        <v>0</v>
      </c>
      <c r="H147" s="14">
        <v>0</v>
      </c>
      <c r="I147" s="14">
        <f t="shared" si="8"/>
        <v>5120</v>
      </c>
      <c r="J147" s="16"/>
      <c r="K147" s="1"/>
    </row>
    <row r="148" spans="1:11" x14ac:dyDescent="0.95">
      <c r="A148" s="12"/>
      <c r="B148" s="16" t="s">
        <v>174</v>
      </c>
      <c r="C148" s="14">
        <v>8</v>
      </c>
      <c r="D148" s="15" t="s">
        <v>172</v>
      </c>
      <c r="E148" s="14">
        <v>664</v>
      </c>
      <c r="F148" s="14">
        <v>5312</v>
      </c>
      <c r="G148" s="14">
        <v>0</v>
      </c>
      <c r="H148" s="14">
        <v>0</v>
      </c>
      <c r="I148" s="14">
        <f t="shared" si="8"/>
        <v>5312</v>
      </c>
      <c r="J148" s="16"/>
      <c r="K148" s="1"/>
    </row>
    <row r="149" spans="1:11" x14ac:dyDescent="0.95">
      <c r="A149" s="12"/>
      <c r="B149" s="16" t="s">
        <v>175</v>
      </c>
      <c r="C149" s="14">
        <v>8</v>
      </c>
      <c r="D149" s="15" t="s">
        <v>172</v>
      </c>
      <c r="E149" s="14">
        <v>159</v>
      </c>
      <c r="F149" s="14">
        <v>1272</v>
      </c>
      <c r="G149" s="14">
        <v>0</v>
      </c>
      <c r="H149" s="14">
        <v>0</v>
      </c>
      <c r="I149" s="14">
        <f t="shared" si="8"/>
        <v>1272</v>
      </c>
      <c r="J149" s="16"/>
      <c r="K149" s="1"/>
    </row>
    <row r="150" spans="1:11" x14ac:dyDescent="0.95">
      <c r="A150" s="12"/>
      <c r="B150" s="16" t="s">
        <v>176</v>
      </c>
      <c r="C150" s="14">
        <v>8</v>
      </c>
      <c r="D150" s="15" t="s">
        <v>172</v>
      </c>
      <c r="E150" s="14">
        <v>425</v>
      </c>
      <c r="F150" s="14">
        <v>3400</v>
      </c>
      <c r="G150" s="14">
        <v>0</v>
      </c>
      <c r="H150" s="14">
        <v>0</v>
      </c>
      <c r="I150" s="14">
        <f t="shared" si="8"/>
        <v>3400</v>
      </c>
      <c r="J150" s="16"/>
      <c r="K150" s="1"/>
    </row>
    <row r="151" spans="1:11" x14ac:dyDescent="0.95">
      <c r="A151" s="12"/>
      <c r="B151" s="16" t="s">
        <v>177</v>
      </c>
      <c r="C151" s="14">
        <v>8</v>
      </c>
      <c r="D151" s="15" t="s">
        <v>172</v>
      </c>
      <c r="E151" s="14">
        <v>183</v>
      </c>
      <c r="F151" s="14">
        <v>1464</v>
      </c>
      <c r="G151" s="14">
        <v>0</v>
      </c>
      <c r="H151" s="14">
        <v>0</v>
      </c>
      <c r="I151" s="14">
        <f t="shared" si="8"/>
        <v>1464</v>
      </c>
      <c r="J151" s="16"/>
      <c r="K151" s="1"/>
    </row>
    <row r="152" spans="1:11" x14ac:dyDescent="0.95">
      <c r="A152" s="12"/>
      <c r="B152" s="16" t="s">
        <v>178</v>
      </c>
      <c r="C152" s="14">
        <v>8</v>
      </c>
      <c r="D152" s="15" t="s">
        <v>115</v>
      </c>
      <c r="E152" s="14">
        <v>151</v>
      </c>
      <c r="F152" s="14">
        <v>1208</v>
      </c>
      <c r="G152" s="14">
        <v>0</v>
      </c>
      <c r="H152" s="14">
        <v>0</v>
      </c>
      <c r="I152" s="14">
        <f t="shared" si="8"/>
        <v>1208</v>
      </c>
      <c r="J152" s="16"/>
      <c r="K152" s="1"/>
    </row>
    <row r="153" spans="1:11" x14ac:dyDescent="0.95">
      <c r="A153" s="12"/>
      <c r="B153" s="16" t="s">
        <v>179</v>
      </c>
      <c r="C153" s="14">
        <v>8</v>
      </c>
      <c r="D153" s="15" t="s">
        <v>180</v>
      </c>
      <c r="E153" s="14">
        <v>0</v>
      </c>
      <c r="F153" s="14">
        <v>0</v>
      </c>
      <c r="G153" s="14">
        <v>0</v>
      </c>
      <c r="H153" s="14">
        <v>0</v>
      </c>
      <c r="I153" s="14">
        <f t="shared" si="8"/>
        <v>0</v>
      </c>
      <c r="J153" s="16"/>
      <c r="K153" s="1"/>
    </row>
    <row r="154" spans="1:11" x14ac:dyDescent="0.95">
      <c r="A154" s="12"/>
      <c r="B154" s="16" t="s">
        <v>181</v>
      </c>
      <c r="C154" s="14">
        <v>8</v>
      </c>
      <c r="D154" s="15" t="s">
        <v>115</v>
      </c>
      <c r="E154" s="14">
        <v>77</v>
      </c>
      <c r="F154" s="14">
        <v>616</v>
      </c>
      <c r="G154" s="14">
        <v>0</v>
      </c>
      <c r="H154" s="14">
        <v>0</v>
      </c>
      <c r="I154" s="14">
        <f t="shared" si="8"/>
        <v>616</v>
      </c>
      <c r="J154" s="16"/>
      <c r="K154" s="1"/>
    </row>
    <row r="155" spans="1:11" x14ac:dyDescent="0.95">
      <c r="A155" s="12"/>
      <c r="B155" s="16" t="s">
        <v>182</v>
      </c>
      <c r="C155" s="14">
        <v>8</v>
      </c>
      <c r="D155" s="15" t="s">
        <v>115</v>
      </c>
      <c r="E155" s="14">
        <v>234</v>
      </c>
      <c r="F155" s="14">
        <v>1872</v>
      </c>
      <c r="G155" s="14">
        <v>0</v>
      </c>
      <c r="H155" s="14">
        <v>0</v>
      </c>
      <c r="I155" s="14">
        <f t="shared" si="8"/>
        <v>1872</v>
      </c>
      <c r="J155" s="16"/>
      <c r="K155" s="1"/>
    </row>
    <row r="156" spans="1:11" x14ac:dyDescent="0.95">
      <c r="A156" s="12"/>
      <c r="B156" s="16" t="s">
        <v>183</v>
      </c>
      <c r="C156" s="14">
        <v>8</v>
      </c>
      <c r="D156" s="15" t="s">
        <v>115</v>
      </c>
      <c r="E156" s="14">
        <v>151</v>
      </c>
      <c r="F156" s="14">
        <v>1208</v>
      </c>
      <c r="G156" s="14">
        <v>0</v>
      </c>
      <c r="H156" s="14">
        <v>0</v>
      </c>
      <c r="I156" s="14">
        <f t="shared" si="8"/>
        <v>1208</v>
      </c>
      <c r="J156" s="16"/>
      <c r="K156" s="1"/>
    </row>
    <row r="157" spans="1:11" x14ac:dyDescent="0.95">
      <c r="A157" s="12"/>
      <c r="B157" s="16" t="s">
        <v>184</v>
      </c>
      <c r="C157" s="14">
        <v>8</v>
      </c>
      <c r="D157" s="15" t="s">
        <v>115</v>
      </c>
      <c r="E157" s="14">
        <v>584</v>
      </c>
      <c r="F157" s="14">
        <v>4672</v>
      </c>
      <c r="G157" s="14">
        <v>0</v>
      </c>
      <c r="H157" s="14">
        <v>0</v>
      </c>
      <c r="I157" s="14">
        <f t="shared" si="8"/>
        <v>4672</v>
      </c>
      <c r="J157" s="16"/>
      <c r="K157" s="1"/>
    </row>
    <row r="158" spans="1:11" x14ac:dyDescent="0.95">
      <c r="A158" s="12"/>
      <c r="B158" s="16" t="s">
        <v>185</v>
      </c>
      <c r="C158" s="14">
        <v>16</v>
      </c>
      <c r="D158" s="15" t="s">
        <v>115</v>
      </c>
      <c r="E158" s="14">
        <v>140</v>
      </c>
      <c r="F158" s="14">
        <v>2240</v>
      </c>
      <c r="G158" s="14">
        <v>0</v>
      </c>
      <c r="H158" s="14">
        <v>0</v>
      </c>
      <c r="I158" s="14">
        <f t="shared" si="8"/>
        <v>2240</v>
      </c>
      <c r="J158" s="16"/>
      <c r="K158" s="1"/>
    </row>
    <row r="159" spans="1:11" x14ac:dyDescent="0.95">
      <c r="A159" s="12"/>
      <c r="B159" s="16" t="s">
        <v>186</v>
      </c>
      <c r="C159" s="14">
        <v>8</v>
      </c>
      <c r="D159" s="15" t="s">
        <v>115</v>
      </c>
      <c r="E159" s="14">
        <v>45</v>
      </c>
      <c r="F159" s="14">
        <v>360</v>
      </c>
      <c r="G159" s="14">
        <v>0</v>
      </c>
      <c r="H159" s="14">
        <v>12</v>
      </c>
      <c r="I159" s="14">
        <f t="shared" si="8"/>
        <v>372</v>
      </c>
      <c r="J159" s="16"/>
      <c r="K159" s="1"/>
    </row>
    <row r="160" spans="1:11" x14ac:dyDescent="0.95">
      <c r="A160" s="12"/>
      <c r="B160" s="16" t="s">
        <v>187</v>
      </c>
      <c r="C160" s="14">
        <v>8</v>
      </c>
      <c r="D160" s="15" t="s">
        <v>115</v>
      </c>
      <c r="E160" s="14">
        <v>215</v>
      </c>
      <c r="F160" s="14">
        <v>1720</v>
      </c>
      <c r="G160" s="14">
        <v>0</v>
      </c>
      <c r="H160" s="14">
        <v>0</v>
      </c>
      <c r="I160" s="14">
        <f t="shared" si="8"/>
        <v>1720</v>
      </c>
      <c r="J160" s="16"/>
      <c r="K160" s="1"/>
    </row>
    <row r="161" spans="1:11" x14ac:dyDescent="0.95">
      <c r="A161" s="12"/>
      <c r="B161" s="16" t="s">
        <v>188</v>
      </c>
      <c r="C161" s="14">
        <v>8</v>
      </c>
      <c r="D161" s="15" t="s">
        <v>115</v>
      </c>
      <c r="E161" s="14">
        <v>0</v>
      </c>
      <c r="F161" s="14">
        <v>0</v>
      </c>
      <c r="G161" s="14">
        <v>0</v>
      </c>
      <c r="H161" s="14">
        <v>0</v>
      </c>
      <c r="I161" s="14">
        <f t="shared" si="8"/>
        <v>0</v>
      </c>
      <c r="J161" s="16"/>
      <c r="K161" s="1"/>
    </row>
    <row r="162" spans="1:11" x14ac:dyDescent="0.95">
      <c r="A162" s="12"/>
      <c r="B162" s="16" t="s">
        <v>189</v>
      </c>
      <c r="C162" s="14">
        <v>16</v>
      </c>
      <c r="D162" s="15" t="s">
        <v>115</v>
      </c>
      <c r="E162" s="14">
        <v>110</v>
      </c>
      <c r="F162" s="14">
        <v>1760</v>
      </c>
      <c r="G162" s="14">
        <v>0</v>
      </c>
      <c r="H162" s="14">
        <v>24</v>
      </c>
      <c r="I162" s="14">
        <f t="shared" si="8"/>
        <v>1784</v>
      </c>
      <c r="J162" s="16"/>
      <c r="K162" s="1"/>
    </row>
    <row r="163" spans="1:11" x14ac:dyDescent="0.95">
      <c r="A163" s="12"/>
      <c r="B163" s="16" t="s">
        <v>190</v>
      </c>
      <c r="C163" s="14">
        <v>8</v>
      </c>
      <c r="D163" s="15" t="s">
        <v>77</v>
      </c>
      <c r="E163" s="14">
        <v>0</v>
      </c>
      <c r="F163" s="14">
        <v>0</v>
      </c>
      <c r="G163" s="14">
        <v>810</v>
      </c>
      <c r="H163" s="14">
        <v>6480</v>
      </c>
      <c r="I163" s="14">
        <f t="shared" si="8"/>
        <v>6480</v>
      </c>
      <c r="J163" s="16"/>
      <c r="K163" s="1"/>
    </row>
    <row r="164" spans="1:11" s="4" customFormat="1" x14ac:dyDescent="0.95">
      <c r="A164" s="17"/>
      <c r="B164" s="13" t="s">
        <v>191</v>
      </c>
      <c r="C164" s="18"/>
      <c r="D164" s="19"/>
      <c r="E164" s="18"/>
      <c r="F164" s="18">
        <f>ROUND(SUM(F146,F147,F148,F149,F150,F151,F152,F153,F154,F155,F156,F157,F158,F159,F160,F161,F162,F163),2)</f>
        <v>47176</v>
      </c>
      <c r="G164" s="18"/>
      <c r="H164" s="18">
        <f>ROUND(SUM(H146,H147,H148,H149,H150,H151,H152,H153,H154,H155,H156,H157,H158,H159,H160,H161,H162,H163),2)</f>
        <v>6516</v>
      </c>
      <c r="I164" s="18">
        <f t="shared" si="8"/>
        <v>53692</v>
      </c>
      <c r="J164" s="13"/>
      <c r="K164" s="5"/>
    </row>
    <row r="165" spans="1:11" s="4" customFormat="1" x14ac:dyDescent="0.95">
      <c r="A165" s="17"/>
      <c r="B165" s="13" t="s">
        <v>192</v>
      </c>
      <c r="C165" s="18"/>
      <c r="D165" s="19"/>
      <c r="E165" s="18"/>
      <c r="F165" s="18"/>
      <c r="G165" s="18"/>
      <c r="H165" s="18"/>
      <c r="I165" s="18"/>
      <c r="J165" s="13"/>
      <c r="K165" s="5"/>
    </row>
    <row r="166" spans="1:11" x14ac:dyDescent="0.95">
      <c r="A166" s="12"/>
      <c r="B166" s="16" t="s">
        <v>193</v>
      </c>
      <c r="C166" s="14">
        <v>8</v>
      </c>
      <c r="D166" s="15" t="s">
        <v>172</v>
      </c>
      <c r="E166" s="14">
        <v>0</v>
      </c>
      <c r="F166" s="14">
        <v>0</v>
      </c>
      <c r="G166" s="14">
        <v>8000</v>
      </c>
      <c r="H166" s="14">
        <v>64000</v>
      </c>
      <c r="I166" s="14">
        <f t="shared" ref="I166:I175" si="9">ROUND(F166+H166,2)</f>
        <v>64000</v>
      </c>
      <c r="J166" s="16" t="s">
        <v>194</v>
      </c>
      <c r="K166" s="1"/>
    </row>
    <row r="167" spans="1:11" x14ac:dyDescent="0.95">
      <c r="A167" s="12"/>
      <c r="B167" s="16" t="s">
        <v>195</v>
      </c>
      <c r="C167" s="14">
        <v>8</v>
      </c>
      <c r="D167" s="15" t="s">
        <v>172</v>
      </c>
      <c r="E167" s="14">
        <v>2670</v>
      </c>
      <c r="F167" s="14">
        <v>21360</v>
      </c>
      <c r="G167" s="14">
        <v>400</v>
      </c>
      <c r="H167" s="14">
        <v>3200</v>
      </c>
      <c r="I167" s="14">
        <f t="shared" si="9"/>
        <v>24560</v>
      </c>
      <c r="J167" s="16"/>
      <c r="K167" s="1"/>
    </row>
    <row r="168" spans="1:11" x14ac:dyDescent="0.95">
      <c r="A168" s="12"/>
      <c r="B168" s="16" t="s">
        <v>196</v>
      </c>
      <c r="C168" s="14">
        <v>8</v>
      </c>
      <c r="D168" s="15" t="s">
        <v>172</v>
      </c>
      <c r="E168" s="14">
        <v>2670</v>
      </c>
      <c r="F168" s="14">
        <v>21360</v>
      </c>
      <c r="G168" s="14">
        <v>400</v>
      </c>
      <c r="H168" s="14">
        <v>3200</v>
      </c>
      <c r="I168" s="14">
        <f t="shared" si="9"/>
        <v>24560</v>
      </c>
      <c r="J168" s="16"/>
      <c r="K168" s="1"/>
    </row>
    <row r="169" spans="1:11" x14ac:dyDescent="0.95">
      <c r="A169" s="12"/>
      <c r="B169" s="16" t="s">
        <v>197</v>
      </c>
      <c r="C169" s="14">
        <v>16</v>
      </c>
      <c r="D169" s="15" t="s">
        <v>172</v>
      </c>
      <c r="E169" s="14">
        <v>1458</v>
      </c>
      <c r="F169" s="14">
        <v>23328</v>
      </c>
      <c r="G169" s="14">
        <v>400</v>
      </c>
      <c r="H169" s="14">
        <v>6400</v>
      </c>
      <c r="I169" s="14">
        <f t="shared" si="9"/>
        <v>29728</v>
      </c>
      <c r="J169" s="16"/>
      <c r="K169" s="1"/>
    </row>
    <row r="170" spans="1:11" x14ac:dyDescent="0.95">
      <c r="A170" s="12"/>
      <c r="B170" s="16" t="s">
        <v>198</v>
      </c>
      <c r="C170" s="14">
        <v>2</v>
      </c>
      <c r="D170" s="15" t="s">
        <v>172</v>
      </c>
      <c r="E170" s="14">
        <v>0</v>
      </c>
      <c r="F170" s="14">
        <v>0</v>
      </c>
      <c r="G170" s="14">
        <v>3300</v>
      </c>
      <c r="H170" s="14">
        <v>6600</v>
      </c>
      <c r="I170" s="14">
        <f t="shared" si="9"/>
        <v>6600</v>
      </c>
      <c r="J170" s="16" t="s">
        <v>194</v>
      </c>
      <c r="K170" s="1"/>
    </row>
    <row r="171" spans="1:11" x14ac:dyDescent="0.95">
      <c r="A171" s="12"/>
      <c r="B171" s="16" t="s">
        <v>199</v>
      </c>
      <c r="C171" s="14">
        <v>8</v>
      </c>
      <c r="D171" s="15" t="s">
        <v>172</v>
      </c>
      <c r="E171" s="14">
        <v>0</v>
      </c>
      <c r="F171" s="14">
        <v>0</v>
      </c>
      <c r="G171" s="14">
        <v>2500</v>
      </c>
      <c r="H171" s="14">
        <v>20000</v>
      </c>
      <c r="I171" s="14">
        <f t="shared" si="9"/>
        <v>20000</v>
      </c>
      <c r="J171" s="16" t="s">
        <v>194</v>
      </c>
      <c r="K171" s="1"/>
    </row>
    <row r="172" spans="1:11" x14ac:dyDescent="0.95">
      <c r="A172" s="12"/>
      <c r="B172" s="16" t="s">
        <v>200</v>
      </c>
      <c r="C172" s="14">
        <v>8</v>
      </c>
      <c r="D172" s="15" t="s">
        <v>172</v>
      </c>
      <c r="E172" s="14">
        <v>0</v>
      </c>
      <c r="F172" s="14">
        <v>0</v>
      </c>
      <c r="G172" s="14">
        <v>1200</v>
      </c>
      <c r="H172" s="14">
        <v>9600</v>
      </c>
      <c r="I172" s="14">
        <f t="shared" si="9"/>
        <v>9600</v>
      </c>
      <c r="J172" s="16" t="s">
        <v>194</v>
      </c>
      <c r="K172" s="1"/>
    </row>
    <row r="173" spans="1:11" x14ac:dyDescent="0.95">
      <c r="A173" s="12"/>
      <c r="B173" s="16" t="s">
        <v>201</v>
      </c>
      <c r="C173" s="14">
        <v>2</v>
      </c>
      <c r="D173" s="15" t="s">
        <v>172</v>
      </c>
      <c r="E173" s="14">
        <v>0</v>
      </c>
      <c r="F173" s="14">
        <v>0</v>
      </c>
      <c r="G173" s="14">
        <v>4400</v>
      </c>
      <c r="H173" s="14">
        <v>8800</v>
      </c>
      <c r="I173" s="14">
        <f t="shared" si="9"/>
        <v>8800</v>
      </c>
      <c r="J173" s="16" t="s">
        <v>194</v>
      </c>
      <c r="K173" s="1"/>
    </row>
    <row r="174" spans="1:11" x14ac:dyDescent="0.95">
      <c r="A174" s="12"/>
      <c r="B174" s="16" t="s">
        <v>202</v>
      </c>
      <c r="C174" s="14">
        <v>2</v>
      </c>
      <c r="D174" s="15" t="s">
        <v>172</v>
      </c>
      <c r="E174" s="14">
        <v>0</v>
      </c>
      <c r="F174" s="14">
        <v>0</v>
      </c>
      <c r="G174" s="14">
        <v>5300</v>
      </c>
      <c r="H174" s="14">
        <v>10600</v>
      </c>
      <c r="I174" s="14">
        <f t="shared" si="9"/>
        <v>10600</v>
      </c>
      <c r="J174" s="16" t="s">
        <v>194</v>
      </c>
      <c r="K174" s="1"/>
    </row>
    <row r="175" spans="1:11" s="4" customFormat="1" x14ac:dyDescent="0.95">
      <c r="A175" s="17"/>
      <c r="B175" s="13" t="s">
        <v>203</v>
      </c>
      <c r="C175" s="18"/>
      <c r="D175" s="19"/>
      <c r="E175" s="18"/>
      <c r="F175" s="18">
        <f>ROUND(SUM(F166,F167,F168,F169,F170,F171,F172,F173,F174),2)</f>
        <v>66048</v>
      </c>
      <c r="G175" s="18"/>
      <c r="H175" s="18">
        <f>ROUND(SUM(H166,H167,H168,H169,H170,H171,H172,H173,H174),2)</f>
        <v>132400</v>
      </c>
      <c r="I175" s="18">
        <f t="shared" si="9"/>
        <v>198448</v>
      </c>
      <c r="J175" s="13"/>
      <c r="K175" s="5"/>
    </row>
    <row r="176" spans="1:11" s="4" customFormat="1" x14ac:dyDescent="0.95">
      <c r="A176" s="17"/>
      <c r="B176" s="13" t="s">
        <v>204</v>
      </c>
      <c r="C176" s="18"/>
      <c r="D176" s="19"/>
      <c r="E176" s="18"/>
      <c r="F176" s="18"/>
      <c r="G176" s="18"/>
      <c r="H176" s="18"/>
      <c r="I176" s="18"/>
      <c r="J176" s="13"/>
      <c r="K176" s="5"/>
    </row>
    <row r="177" spans="1:11" x14ac:dyDescent="0.95">
      <c r="A177" s="12"/>
      <c r="B177" s="16" t="s">
        <v>205</v>
      </c>
      <c r="C177" s="14">
        <v>256</v>
      </c>
      <c r="D177" s="15" t="s">
        <v>36</v>
      </c>
      <c r="E177" s="14">
        <v>250</v>
      </c>
      <c r="F177" s="14">
        <v>64000</v>
      </c>
      <c r="G177" s="14">
        <v>150</v>
      </c>
      <c r="H177" s="14">
        <v>38400</v>
      </c>
      <c r="I177" s="14">
        <f t="shared" ref="I177:I182" si="10">ROUND(F177+H177,2)</f>
        <v>102400</v>
      </c>
      <c r="J177" s="16"/>
      <c r="K177" s="1"/>
    </row>
    <row r="178" spans="1:11" x14ac:dyDescent="0.95">
      <c r="A178" s="12"/>
      <c r="B178" s="16" t="s">
        <v>206</v>
      </c>
      <c r="C178" s="14">
        <v>32</v>
      </c>
      <c r="D178" s="15" t="s">
        <v>36</v>
      </c>
      <c r="E178" s="14">
        <v>250</v>
      </c>
      <c r="F178" s="14">
        <v>8000</v>
      </c>
      <c r="G178" s="14">
        <v>150</v>
      </c>
      <c r="H178" s="14">
        <v>4800</v>
      </c>
      <c r="I178" s="14">
        <f t="shared" si="10"/>
        <v>12800</v>
      </c>
      <c r="J178" s="16"/>
      <c r="K178" s="1"/>
    </row>
    <row r="179" spans="1:11" x14ac:dyDescent="0.95">
      <c r="A179" s="12"/>
      <c r="B179" s="16" t="s">
        <v>207</v>
      </c>
      <c r="C179" s="14">
        <v>48</v>
      </c>
      <c r="D179" s="15" t="s">
        <v>36</v>
      </c>
      <c r="E179" s="14">
        <v>300</v>
      </c>
      <c r="F179" s="14">
        <v>14400</v>
      </c>
      <c r="G179" s="14">
        <v>150</v>
      </c>
      <c r="H179" s="14">
        <v>7200</v>
      </c>
      <c r="I179" s="14">
        <f t="shared" si="10"/>
        <v>21600</v>
      </c>
      <c r="J179" s="16"/>
      <c r="K179" s="1"/>
    </row>
    <row r="180" spans="1:11" x14ac:dyDescent="0.95">
      <c r="A180" s="12"/>
      <c r="B180" s="16" t="s">
        <v>208</v>
      </c>
      <c r="C180" s="14">
        <v>192</v>
      </c>
      <c r="D180" s="15" t="s">
        <v>36</v>
      </c>
      <c r="E180" s="14">
        <v>250</v>
      </c>
      <c r="F180" s="14">
        <v>48000</v>
      </c>
      <c r="G180" s="14">
        <v>170</v>
      </c>
      <c r="H180" s="14">
        <v>32640</v>
      </c>
      <c r="I180" s="14">
        <f t="shared" si="10"/>
        <v>80640</v>
      </c>
      <c r="J180" s="16"/>
      <c r="K180" s="1"/>
    </row>
    <row r="181" spans="1:11" x14ac:dyDescent="0.95">
      <c r="A181" s="12"/>
      <c r="B181" s="16" t="s">
        <v>209</v>
      </c>
      <c r="C181" s="14">
        <v>192</v>
      </c>
      <c r="D181" s="15" t="s">
        <v>36</v>
      </c>
      <c r="E181" s="14">
        <v>38</v>
      </c>
      <c r="F181" s="14">
        <v>7296</v>
      </c>
      <c r="G181" s="14">
        <v>1000</v>
      </c>
      <c r="H181" s="14">
        <v>48000</v>
      </c>
      <c r="I181" s="14">
        <f t="shared" si="10"/>
        <v>55296</v>
      </c>
      <c r="J181" s="16"/>
      <c r="K181" s="1"/>
    </row>
    <row r="182" spans="1:11" s="4" customFormat="1" x14ac:dyDescent="0.95">
      <c r="A182" s="17"/>
      <c r="B182" s="13" t="s">
        <v>210</v>
      </c>
      <c r="C182" s="18"/>
      <c r="D182" s="19"/>
      <c r="E182" s="18"/>
      <c r="F182" s="18">
        <f>ROUND(SUM(F177,F178,F179,F180,F181),2)</f>
        <v>141696</v>
      </c>
      <c r="G182" s="18"/>
      <c r="H182" s="18">
        <f>ROUND(SUM(H177,H178,H179,H180,H181),2)</f>
        <v>131040</v>
      </c>
      <c r="I182" s="18">
        <f t="shared" si="10"/>
        <v>272736</v>
      </c>
      <c r="J182" s="13"/>
      <c r="K182" s="5"/>
    </row>
    <row r="183" spans="1:11" s="4" customFormat="1" x14ac:dyDescent="0.95">
      <c r="A183" s="17"/>
      <c r="B183" s="13" t="s">
        <v>211</v>
      </c>
      <c r="C183" s="18"/>
      <c r="D183" s="19"/>
      <c r="E183" s="18"/>
      <c r="F183" s="18"/>
      <c r="G183" s="18"/>
      <c r="H183" s="18"/>
      <c r="I183" s="18"/>
      <c r="J183" s="13"/>
      <c r="K183" s="5"/>
    </row>
    <row r="184" spans="1:11" x14ac:dyDescent="0.95">
      <c r="A184" s="12"/>
      <c r="B184" s="16" t="s">
        <v>212</v>
      </c>
      <c r="C184" s="14">
        <v>366.32</v>
      </c>
      <c r="D184" s="15" t="s">
        <v>36</v>
      </c>
      <c r="E184" s="14">
        <v>60</v>
      </c>
      <c r="F184" s="14">
        <v>21979.200000000001</v>
      </c>
      <c r="G184" s="14">
        <v>25</v>
      </c>
      <c r="H184" s="14">
        <v>9158</v>
      </c>
      <c r="I184" s="14">
        <f t="shared" ref="I184:I198" si="11">ROUND(F184+H184,2)</f>
        <v>31137.200000000001</v>
      </c>
      <c r="J184" s="16"/>
      <c r="K184" s="1"/>
    </row>
    <row r="185" spans="1:11" x14ac:dyDescent="0.95">
      <c r="A185" s="12"/>
      <c r="B185" s="16" t="s">
        <v>213</v>
      </c>
      <c r="C185" s="14">
        <v>888</v>
      </c>
      <c r="D185" s="15" t="s">
        <v>36</v>
      </c>
      <c r="E185" s="14">
        <v>60</v>
      </c>
      <c r="F185" s="14">
        <v>53280</v>
      </c>
      <c r="G185" s="14">
        <v>25</v>
      </c>
      <c r="H185" s="14">
        <v>22200</v>
      </c>
      <c r="I185" s="14">
        <f t="shared" si="11"/>
        <v>75480</v>
      </c>
      <c r="J185" s="16"/>
      <c r="K185" s="1"/>
    </row>
    <row r="186" spans="1:11" x14ac:dyDescent="0.95">
      <c r="A186" s="12"/>
      <c r="B186" s="16" t="s">
        <v>214</v>
      </c>
      <c r="C186" s="14">
        <v>370.24</v>
      </c>
      <c r="D186" s="15" t="s">
        <v>36</v>
      </c>
      <c r="E186" s="14">
        <v>45</v>
      </c>
      <c r="F186" s="14">
        <v>16660.8</v>
      </c>
      <c r="G186" s="14">
        <v>25</v>
      </c>
      <c r="H186" s="14">
        <v>9256</v>
      </c>
      <c r="I186" s="14">
        <f t="shared" si="11"/>
        <v>25916.799999999999</v>
      </c>
      <c r="J186" s="16"/>
      <c r="K186" s="1"/>
    </row>
    <row r="187" spans="1:11" x14ac:dyDescent="0.95">
      <c r="A187" s="12"/>
      <c r="B187" s="16" t="s">
        <v>215</v>
      </c>
      <c r="C187" s="14">
        <v>60</v>
      </c>
      <c r="D187" s="15" t="s">
        <v>36</v>
      </c>
      <c r="E187" s="14">
        <v>45</v>
      </c>
      <c r="F187" s="14">
        <v>2700</v>
      </c>
      <c r="G187" s="14">
        <v>25</v>
      </c>
      <c r="H187" s="14">
        <v>1500</v>
      </c>
      <c r="I187" s="14">
        <f t="shared" si="11"/>
        <v>4200</v>
      </c>
      <c r="J187" s="16"/>
      <c r="K187" s="1"/>
    </row>
    <row r="188" spans="1:11" x14ac:dyDescent="0.95">
      <c r="A188" s="12"/>
      <c r="B188" s="16" t="s">
        <v>216</v>
      </c>
      <c r="C188" s="14">
        <v>216</v>
      </c>
      <c r="D188" s="15" t="s">
        <v>36</v>
      </c>
      <c r="E188" s="14">
        <v>45</v>
      </c>
      <c r="F188" s="14">
        <v>9720</v>
      </c>
      <c r="G188" s="14">
        <v>25</v>
      </c>
      <c r="H188" s="14">
        <v>5400</v>
      </c>
      <c r="I188" s="14">
        <f t="shared" si="11"/>
        <v>15120</v>
      </c>
      <c r="J188" s="16"/>
      <c r="K188" s="1"/>
    </row>
    <row r="189" spans="1:11" x14ac:dyDescent="0.95">
      <c r="A189" s="12"/>
      <c r="B189" s="16" t="s">
        <v>217</v>
      </c>
      <c r="C189" s="14">
        <v>204.96</v>
      </c>
      <c r="D189" s="15" t="s">
        <v>36</v>
      </c>
      <c r="E189" s="14">
        <v>45</v>
      </c>
      <c r="F189" s="14">
        <v>9223.2000000000007</v>
      </c>
      <c r="G189" s="14">
        <v>25</v>
      </c>
      <c r="H189" s="14">
        <v>5124</v>
      </c>
      <c r="I189" s="14">
        <f t="shared" si="11"/>
        <v>14347.2</v>
      </c>
      <c r="J189" s="16"/>
      <c r="K189" s="1"/>
    </row>
    <row r="190" spans="1:11" x14ac:dyDescent="0.95">
      <c r="A190" s="12"/>
      <c r="B190" s="16" t="s">
        <v>218</v>
      </c>
      <c r="C190" s="14">
        <v>40</v>
      </c>
      <c r="D190" s="15" t="s">
        <v>36</v>
      </c>
      <c r="E190" s="14">
        <v>45</v>
      </c>
      <c r="F190" s="14">
        <v>1800</v>
      </c>
      <c r="G190" s="14">
        <v>25</v>
      </c>
      <c r="H190" s="14">
        <v>1000</v>
      </c>
      <c r="I190" s="14">
        <f t="shared" si="11"/>
        <v>2800</v>
      </c>
      <c r="J190" s="16"/>
      <c r="K190" s="1"/>
    </row>
    <row r="191" spans="1:11" x14ac:dyDescent="0.95">
      <c r="A191" s="12"/>
      <c r="B191" s="16" t="s">
        <v>219</v>
      </c>
      <c r="C191" s="14">
        <v>8.94</v>
      </c>
      <c r="D191" s="15" t="s">
        <v>36</v>
      </c>
      <c r="E191" s="14">
        <v>45</v>
      </c>
      <c r="F191" s="14">
        <v>402.3</v>
      </c>
      <c r="G191" s="14">
        <v>25</v>
      </c>
      <c r="H191" s="14">
        <v>223.5</v>
      </c>
      <c r="I191" s="14">
        <f t="shared" si="11"/>
        <v>625.79999999999995</v>
      </c>
      <c r="J191" s="16"/>
      <c r="K191" s="1"/>
    </row>
    <row r="192" spans="1:11" x14ac:dyDescent="0.95">
      <c r="A192" s="12"/>
      <c r="B192" s="16" t="s">
        <v>220</v>
      </c>
      <c r="C192" s="14">
        <v>16</v>
      </c>
      <c r="D192" s="15" t="s">
        <v>36</v>
      </c>
      <c r="E192" s="14">
        <v>45</v>
      </c>
      <c r="F192" s="14">
        <v>720</v>
      </c>
      <c r="G192" s="14">
        <v>25</v>
      </c>
      <c r="H192" s="14">
        <v>400</v>
      </c>
      <c r="I192" s="14">
        <f t="shared" si="11"/>
        <v>1120</v>
      </c>
      <c r="J192" s="16"/>
      <c r="K192" s="1"/>
    </row>
    <row r="193" spans="1:11" x14ac:dyDescent="0.95">
      <c r="A193" s="12"/>
      <c r="B193" s="16" t="s">
        <v>221</v>
      </c>
      <c r="C193" s="14">
        <v>40</v>
      </c>
      <c r="D193" s="15" t="s">
        <v>36</v>
      </c>
      <c r="E193" s="14">
        <v>45</v>
      </c>
      <c r="F193" s="14">
        <v>1800</v>
      </c>
      <c r="G193" s="14">
        <v>25</v>
      </c>
      <c r="H193" s="14">
        <v>1000</v>
      </c>
      <c r="I193" s="14">
        <f t="shared" si="11"/>
        <v>2800</v>
      </c>
      <c r="J193" s="16"/>
      <c r="K193" s="1"/>
    </row>
    <row r="194" spans="1:11" x14ac:dyDescent="0.95">
      <c r="A194" s="12"/>
      <c r="B194" s="16" t="s">
        <v>222</v>
      </c>
      <c r="C194" s="14">
        <v>49.92</v>
      </c>
      <c r="D194" s="15" t="s">
        <v>36</v>
      </c>
      <c r="E194" s="14">
        <v>45</v>
      </c>
      <c r="F194" s="14">
        <v>2246.4</v>
      </c>
      <c r="G194" s="14">
        <v>25</v>
      </c>
      <c r="H194" s="14">
        <v>1248</v>
      </c>
      <c r="I194" s="14">
        <f t="shared" si="11"/>
        <v>3494.4</v>
      </c>
      <c r="J194" s="16"/>
      <c r="K194" s="1"/>
    </row>
    <row r="195" spans="1:11" x14ac:dyDescent="0.95">
      <c r="A195" s="12"/>
      <c r="B195" s="16" t="s">
        <v>223</v>
      </c>
      <c r="C195" s="14">
        <v>8</v>
      </c>
      <c r="D195" s="15" t="s">
        <v>224</v>
      </c>
      <c r="E195" s="14"/>
      <c r="F195" s="14">
        <v>0</v>
      </c>
      <c r="G195" s="14">
        <v>2000</v>
      </c>
      <c r="H195" s="14">
        <v>13000</v>
      </c>
      <c r="I195" s="14">
        <f t="shared" si="11"/>
        <v>13000</v>
      </c>
      <c r="J195" s="16"/>
      <c r="K195" s="1"/>
    </row>
    <row r="196" spans="1:11" x14ac:dyDescent="0.95">
      <c r="A196" s="12"/>
      <c r="B196" s="16" t="s">
        <v>225</v>
      </c>
      <c r="C196" s="14">
        <v>1417.44</v>
      </c>
      <c r="D196" s="15" t="s">
        <v>36</v>
      </c>
      <c r="E196" s="14">
        <v>15</v>
      </c>
      <c r="F196" s="14">
        <v>21261.599999999999</v>
      </c>
      <c r="G196" s="14">
        <v>20</v>
      </c>
      <c r="H196" s="14">
        <v>28348.799999999999</v>
      </c>
      <c r="I196" s="14">
        <f t="shared" si="11"/>
        <v>49610.400000000001</v>
      </c>
      <c r="J196" s="16"/>
      <c r="K196" s="1"/>
    </row>
    <row r="197" spans="1:11" x14ac:dyDescent="0.95">
      <c r="A197" s="12"/>
      <c r="B197" s="16" t="s">
        <v>226</v>
      </c>
      <c r="C197" s="14">
        <v>8</v>
      </c>
      <c r="D197" s="15" t="s">
        <v>166</v>
      </c>
      <c r="E197" s="14">
        <v>0</v>
      </c>
      <c r="F197" s="14">
        <v>0</v>
      </c>
      <c r="G197" s="14">
        <v>100</v>
      </c>
      <c r="H197" s="14">
        <v>800</v>
      </c>
      <c r="I197" s="14">
        <f t="shared" si="11"/>
        <v>800</v>
      </c>
      <c r="J197" s="16"/>
      <c r="K197" s="1"/>
    </row>
    <row r="198" spans="1:11" s="4" customFormat="1" x14ac:dyDescent="0.95">
      <c r="A198" s="17"/>
      <c r="B198" s="13" t="s">
        <v>227</v>
      </c>
      <c r="C198" s="18"/>
      <c r="D198" s="19"/>
      <c r="E198" s="18"/>
      <c r="F198" s="18">
        <f>ROUND(SUM(F184,F185,F186,F187,F188,F189,F190,F191,F192,F193,F194,F195,F196,F197),2)</f>
        <v>141793.5</v>
      </c>
      <c r="G198" s="18"/>
      <c r="H198" s="18">
        <f>ROUND(SUM(H184,H185,H186,H187,H188,H189,H190,H191,H192,H193,H194,H195,H196,H197),2)</f>
        <v>98658.3</v>
      </c>
      <c r="I198" s="18">
        <f t="shared" si="11"/>
        <v>240451.8</v>
      </c>
      <c r="J198" s="13"/>
      <c r="K198" s="5"/>
    </row>
    <row r="199" spans="1:11" s="4" customFormat="1" x14ac:dyDescent="0.95">
      <c r="A199" s="17"/>
      <c r="B199" s="13" t="s">
        <v>228</v>
      </c>
      <c r="C199" s="18"/>
      <c r="D199" s="19"/>
      <c r="E199" s="18"/>
      <c r="F199" s="18"/>
      <c r="G199" s="18"/>
      <c r="H199" s="18"/>
      <c r="I199" s="18"/>
      <c r="J199" s="13"/>
      <c r="K199" s="5"/>
    </row>
    <row r="200" spans="1:11" x14ac:dyDescent="0.95">
      <c r="A200" s="12"/>
      <c r="B200" s="16" t="s">
        <v>56</v>
      </c>
      <c r="C200" s="14">
        <v>64</v>
      </c>
      <c r="D200" s="15" t="s">
        <v>57</v>
      </c>
      <c r="E200" s="14">
        <v>225</v>
      </c>
      <c r="F200" s="14">
        <v>14400</v>
      </c>
      <c r="G200" s="14">
        <v>0</v>
      </c>
      <c r="H200" s="14">
        <v>0</v>
      </c>
      <c r="I200" s="14">
        <f t="shared" ref="I200:I213" si="12">ROUND(F200+H200,2)</f>
        <v>14400</v>
      </c>
      <c r="J200" s="16"/>
      <c r="K200" s="1"/>
    </row>
    <row r="201" spans="1:11" x14ac:dyDescent="0.95">
      <c r="A201" s="12"/>
      <c r="B201" s="16" t="s">
        <v>229</v>
      </c>
      <c r="C201" s="14">
        <v>64</v>
      </c>
      <c r="D201" s="15" t="s">
        <v>172</v>
      </c>
      <c r="E201" s="14">
        <v>25</v>
      </c>
      <c r="F201" s="14">
        <v>1600</v>
      </c>
      <c r="G201" s="14">
        <v>0</v>
      </c>
      <c r="H201" s="14">
        <v>0</v>
      </c>
      <c r="I201" s="14">
        <f t="shared" si="12"/>
        <v>1600</v>
      </c>
      <c r="J201" s="16"/>
      <c r="K201" s="1"/>
    </row>
    <row r="202" spans="1:11" x14ac:dyDescent="0.95">
      <c r="A202" s="12"/>
      <c r="B202" s="16" t="s">
        <v>230</v>
      </c>
      <c r="C202" s="14">
        <v>16</v>
      </c>
      <c r="D202" s="15" t="s">
        <v>172</v>
      </c>
      <c r="E202" s="14">
        <v>99</v>
      </c>
      <c r="F202" s="14">
        <v>1584</v>
      </c>
      <c r="G202" s="14">
        <v>0</v>
      </c>
      <c r="H202" s="14">
        <v>0</v>
      </c>
      <c r="I202" s="14">
        <f t="shared" si="12"/>
        <v>1584</v>
      </c>
      <c r="J202" s="16"/>
      <c r="K202" s="1"/>
    </row>
    <row r="203" spans="1:11" x14ac:dyDescent="0.95">
      <c r="A203" s="12"/>
      <c r="B203" s="16" t="s">
        <v>231</v>
      </c>
      <c r="C203" s="14">
        <v>16</v>
      </c>
      <c r="D203" s="15" t="s">
        <v>172</v>
      </c>
      <c r="E203" s="14">
        <v>99</v>
      </c>
      <c r="F203" s="14">
        <v>1584</v>
      </c>
      <c r="G203" s="14">
        <v>0</v>
      </c>
      <c r="H203" s="14">
        <v>0</v>
      </c>
      <c r="I203" s="14">
        <f t="shared" si="12"/>
        <v>1584</v>
      </c>
      <c r="J203" s="16"/>
      <c r="K203" s="1"/>
    </row>
    <row r="204" spans="1:11" x14ac:dyDescent="0.95">
      <c r="A204" s="12"/>
      <c r="B204" s="16" t="s">
        <v>232</v>
      </c>
      <c r="C204" s="14">
        <v>1.33</v>
      </c>
      <c r="D204" s="15" t="s">
        <v>57</v>
      </c>
      <c r="E204" s="14">
        <v>335</v>
      </c>
      <c r="F204" s="14">
        <v>446.67</v>
      </c>
      <c r="G204" s="14">
        <v>0</v>
      </c>
      <c r="H204" s="14">
        <v>0</v>
      </c>
      <c r="I204" s="14">
        <f t="shared" si="12"/>
        <v>446.67</v>
      </c>
      <c r="J204" s="16"/>
      <c r="K204" s="1"/>
    </row>
    <row r="205" spans="1:11" x14ac:dyDescent="0.95">
      <c r="A205" s="12"/>
      <c r="B205" s="16" t="s">
        <v>67</v>
      </c>
      <c r="C205" s="14">
        <v>1.33</v>
      </c>
      <c r="D205" s="15" t="s">
        <v>68</v>
      </c>
      <c r="E205" s="14">
        <v>1240</v>
      </c>
      <c r="F205" s="14">
        <v>1653.33</v>
      </c>
      <c r="G205" s="14">
        <v>0</v>
      </c>
      <c r="H205" s="14">
        <v>0</v>
      </c>
      <c r="I205" s="14">
        <f t="shared" si="12"/>
        <v>1653.33</v>
      </c>
      <c r="J205" s="16"/>
      <c r="K205" s="1"/>
    </row>
    <row r="206" spans="1:11" x14ac:dyDescent="0.95">
      <c r="A206" s="12"/>
      <c r="B206" s="16" t="s">
        <v>69</v>
      </c>
      <c r="C206" s="14">
        <v>2.67</v>
      </c>
      <c r="D206" s="15" t="s">
        <v>70</v>
      </c>
      <c r="E206" s="14">
        <v>1089</v>
      </c>
      <c r="F206" s="14">
        <v>2904</v>
      </c>
      <c r="G206" s="14">
        <v>0</v>
      </c>
      <c r="H206" s="14">
        <v>0</v>
      </c>
      <c r="I206" s="14">
        <f t="shared" si="12"/>
        <v>2904</v>
      </c>
      <c r="J206" s="16"/>
      <c r="K206" s="1"/>
    </row>
    <row r="207" spans="1:11" x14ac:dyDescent="0.95">
      <c r="A207" s="12"/>
      <c r="B207" s="16" t="s">
        <v>72</v>
      </c>
      <c r="C207" s="14">
        <v>1.36</v>
      </c>
      <c r="D207" s="15" t="s">
        <v>68</v>
      </c>
      <c r="E207" s="14">
        <v>1595</v>
      </c>
      <c r="F207" s="14">
        <v>2169.1999999999998</v>
      </c>
      <c r="G207" s="14">
        <v>0</v>
      </c>
      <c r="H207" s="14">
        <v>0</v>
      </c>
      <c r="I207" s="14">
        <f t="shared" si="12"/>
        <v>2169.1999999999998</v>
      </c>
      <c r="J207" s="16"/>
      <c r="K207" s="1"/>
    </row>
    <row r="208" spans="1:11" x14ac:dyDescent="0.95">
      <c r="A208" s="12"/>
      <c r="B208" s="16" t="s">
        <v>71</v>
      </c>
      <c r="C208" s="14">
        <v>5.33</v>
      </c>
      <c r="D208" s="15" t="s">
        <v>70</v>
      </c>
      <c r="E208" s="14">
        <v>389</v>
      </c>
      <c r="F208" s="14">
        <v>2074.67</v>
      </c>
      <c r="G208" s="14">
        <v>0</v>
      </c>
      <c r="H208" s="14">
        <v>0</v>
      </c>
      <c r="I208" s="14">
        <f t="shared" si="12"/>
        <v>2074.67</v>
      </c>
      <c r="J208" s="16"/>
      <c r="K208" s="1"/>
    </row>
    <row r="209" spans="1:11" x14ac:dyDescent="0.95">
      <c r="A209" s="12"/>
      <c r="B209" s="16" t="s">
        <v>233</v>
      </c>
      <c r="C209" s="14">
        <v>1.36</v>
      </c>
      <c r="D209" s="15" t="s">
        <v>146</v>
      </c>
      <c r="E209" s="14">
        <v>357</v>
      </c>
      <c r="F209" s="14">
        <v>485.52</v>
      </c>
      <c r="G209" s="14">
        <v>0</v>
      </c>
      <c r="H209" s="14">
        <v>0</v>
      </c>
      <c r="I209" s="14">
        <f t="shared" si="12"/>
        <v>485.52</v>
      </c>
      <c r="J209" s="16"/>
      <c r="K209" s="1"/>
    </row>
    <row r="210" spans="1:11" x14ac:dyDescent="0.95">
      <c r="A210" s="12"/>
      <c r="B210" s="16" t="s">
        <v>234</v>
      </c>
      <c r="C210" s="14">
        <v>1.36</v>
      </c>
      <c r="D210" s="15" t="s">
        <v>146</v>
      </c>
      <c r="E210" s="14">
        <v>329</v>
      </c>
      <c r="F210" s="14">
        <v>447.44</v>
      </c>
      <c r="G210" s="14">
        <v>0</v>
      </c>
      <c r="H210" s="14">
        <v>0</v>
      </c>
      <c r="I210" s="14">
        <f t="shared" si="12"/>
        <v>447.44</v>
      </c>
      <c r="J210" s="16"/>
      <c r="K210" s="1"/>
    </row>
    <row r="211" spans="1:11" x14ac:dyDescent="0.95">
      <c r="A211" s="12"/>
      <c r="B211" s="16" t="s">
        <v>235</v>
      </c>
      <c r="C211" s="14">
        <v>8</v>
      </c>
      <c r="D211" s="15" t="s">
        <v>77</v>
      </c>
      <c r="E211" s="14">
        <v>0</v>
      </c>
      <c r="F211" s="14">
        <v>0</v>
      </c>
      <c r="G211" s="14">
        <v>1600</v>
      </c>
      <c r="H211" s="14">
        <v>12800</v>
      </c>
      <c r="I211" s="14">
        <f t="shared" si="12"/>
        <v>12800</v>
      </c>
      <c r="J211" s="16"/>
      <c r="K211" s="1"/>
    </row>
    <row r="212" spans="1:11" s="4" customFormat="1" x14ac:dyDescent="0.95">
      <c r="A212" s="17"/>
      <c r="B212" s="13" t="s">
        <v>236</v>
      </c>
      <c r="C212" s="18"/>
      <c r="D212" s="19"/>
      <c r="E212" s="18"/>
      <c r="F212" s="18">
        <f>ROUND(SUM(F200,F201,F202,F203,F204,F205,F206,F207,F208,F209,F210,F211),2)</f>
        <v>29348.83</v>
      </c>
      <c r="G212" s="18"/>
      <c r="H212" s="18">
        <f>ROUND(SUM(H200,H201,H202,H203,H204,H205,H206,H207,H208,H209,H210,H211),2)</f>
        <v>12800</v>
      </c>
      <c r="I212" s="18">
        <f t="shared" si="12"/>
        <v>42148.83</v>
      </c>
      <c r="J212" s="13"/>
      <c r="K212" s="5"/>
    </row>
    <row r="213" spans="1:11" s="4" customFormat="1" x14ac:dyDescent="0.95">
      <c r="A213" s="8">
        <v>2</v>
      </c>
      <c r="B213" s="9" t="s">
        <v>237</v>
      </c>
      <c r="C213" s="10"/>
      <c r="D213" s="11" t="s">
        <v>84</v>
      </c>
      <c r="E213" s="10"/>
      <c r="F213" s="10">
        <f>ROUND(SUM(F68,F69,F70,F71,F72,F73,F74,F75,F76,F77,F78,F79,F80,F81,F82,F83,F84,F85,F86,F87,F88,F89,F90,F91,F92,F93,F96,F97,F100,F101,F102,F103,F104,F105,F106,F107,F108,F111,F112,F115,F116,F117,F118,F119,F122,F123,F124,F125,F126,F127,F128,F129,F130,F131,F132,F133,F134,F137,F138,F139,F140,F141,F142,F143,F146,F147,F148,F149,F150,F151,F152,F153,F154,F155,F156,F157,F158,F159,F160,F161,F162,F163,F166,F167,F168,F169,F170,F171,F172,F173,F174,F177,F178,F179,F180,F181,F184,F185,F186,F187,F188,F189,F190,F191,F192,F193,F194,F195,F196,F197,F200,F201,F202,F203,F204,F205,F206,F207,F208,F209,F210,F211),2)</f>
        <v>818708.49</v>
      </c>
      <c r="G213" s="10"/>
      <c r="H213" s="10">
        <f>ROUND(SUM(H68,H69,H70,H71,H72,H73,H74,H75,H76,H77,H78,H79,H80,H81,H82,H83,H84,H85,H86,H87,H88,H89,H90,H91,H92,H93,H96,H97,H100,H101,H102,H103,H104,H105,H106,H107,H108,H111,H112,H115,H116,H117,H118,H119,H122,H123,H124,H125,H126,H127,H128,H129,H130,H131,H132,H133,H134,H137,H138,H139,H140,H141,H142,H143,H146,H147,H148,H149,H150,H151,H152,H153,H154,H155,H156,H157,H158,H159,H160,H161,H162,H163,H166,H167,H168,H169,H170,H171,H172,H173,H174,H177,H178,H179,H180,H181,H184,H185,H186,H187,H188,H189,H190,H191,H192,H193,H194,H195,H196,H197,H200,H201,H202,H203,H204,H205,H206,H207,H208,H209,H210,H211),2)</f>
        <v>745486.98</v>
      </c>
      <c r="I213" s="10">
        <f t="shared" si="12"/>
        <v>1564195.47</v>
      </c>
      <c r="J213" s="9"/>
      <c r="K213" s="5"/>
    </row>
    <row r="214" spans="1:11" x14ac:dyDescent="0.95">
      <c r="A214" s="25"/>
      <c r="B214" s="26"/>
      <c r="C214" s="26"/>
      <c r="D214" s="26"/>
      <c r="E214" s="26"/>
      <c r="F214" s="26"/>
      <c r="G214" s="26"/>
      <c r="H214" s="26"/>
      <c r="I214" s="26"/>
      <c r="J214" s="27"/>
      <c r="K214" s="1"/>
    </row>
    <row r="215" spans="1:11" s="4" customFormat="1" x14ac:dyDescent="0.95">
      <c r="A215" s="8">
        <v>3</v>
      </c>
      <c r="B215" s="9" t="s">
        <v>238</v>
      </c>
      <c r="C215" s="10"/>
      <c r="D215" s="11"/>
      <c r="E215" s="10"/>
      <c r="F215" s="10"/>
      <c r="G215" s="10"/>
      <c r="H215" s="10"/>
      <c r="I215" s="10"/>
      <c r="J215" s="9"/>
      <c r="K215" s="5"/>
    </row>
    <row r="216" spans="1:11" s="4" customFormat="1" x14ac:dyDescent="0.95">
      <c r="A216" s="17"/>
      <c r="B216" s="13" t="s">
        <v>239</v>
      </c>
      <c r="C216" s="18"/>
      <c r="D216" s="19"/>
      <c r="E216" s="18"/>
      <c r="F216" s="18"/>
      <c r="G216" s="18"/>
      <c r="H216" s="18"/>
      <c r="I216" s="18"/>
      <c r="J216" s="13"/>
      <c r="K216" s="5"/>
    </row>
    <row r="217" spans="1:11" x14ac:dyDescent="0.95">
      <c r="A217" s="12"/>
      <c r="B217" s="16" t="s">
        <v>240</v>
      </c>
      <c r="C217" s="14">
        <v>120</v>
      </c>
      <c r="D217" s="15" t="s">
        <v>172</v>
      </c>
      <c r="E217" s="14">
        <v>31</v>
      </c>
      <c r="F217" s="14">
        <v>3720</v>
      </c>
      <c r="G217" s="14">
        <v>0</v>
      </c>
      <c r="H217" s="14">
        <v>0</v>
      </c>
      <c r="I217" s="14">
        <f t="shared" ref="I217:I222" si="13">ROUND(F217+H217,2)</f>
        <v>3720</v>
      </c>
      <c r="J217" s="16"/>
      <c r="K217" s="1"/>
    </row>
    <row r="218" spans="1:11" x14ac:dyDescent="0.95">
      <c r="A218" s="12"/>
      <c r="B218" s="16" t="s">
        <v>241</v>
      </c>
      <c r="C218" s="14">
        <v>128</v>
      </c>
      <c r="D218" s="15" t="s">
        <v>172</v>
      </c>
      <c r="E218" s="14">
        <v>65</v>
      </c>
      <c r="F218" s="14">
        <v>8320</v>
      </c>
      <c r="G218" s="14">
        <v>0</v>
      </c>
      <c r="H218" s="14">
        <v>0</v>
      </c>
      <c r="I218" s="14">
        <f t="shared" si="13"/>
        <v>8320</v>
      </c>
      <c r="J218" s="16"/>
      <c r="K218" s="1"/>
    </row>
    <row r="219" spans="1:11" x14ac:dyDescent="0.95">
      <c r="A219" s="12"/>
      <c r="B219" s="16" t="s">
        <v>242</v>
      </c>
      <c r="C219" s="14">
        <v>8</v>
      </c>
      <c r="D219" s="15" t="s">
        <v>172</v>
      </c>
      <c r="E219" s="14">
        <v>109</v>
      </c>
      <c r="F219" s="14">
        <v>872</v>
      </c>
      <c r="G219" s="14">
        <v>0</v>
      </c>
      <c r="H219" s="14">
        <v>0</v>
      </c>
      <c r="I219" s="14">
        <f t="shared" si="13"/>
        <v>872</v>
      </c>
      <c r="J219" s="16"/>
      <c r="K219" s="1"/>
    </row>
    <row r="220" spans="1:11" x14ac:dyDescent="0.95">
      <c r="A220" s="12"/>
      <c r="B220" s="16" t="s">
        <v>243</v>
      </c>
      <c r="C220" s="14">
        <v>8</v>
      </c>
      <c r="D220" s="15" t="s">
        <v>172</v>
      </c>
      <c r="E220" s="14">
        <v>349</v>
      </c>
      <c r="F220" s="14">
        <v>2792</v>
      </c>
      <c r="G220" s="14">
        <v>0</v>
      </c>
      <c r="H220" s="14">
        <v>0</v>
      </c>
      <c r="I220" s="14">
        <f t="shared" si="13"/>
        <v>2792</v>
      </c>
      <c r="J220" s="16"/>
      <c r="K220" s="1"/>
    </row>
    <row r="221" spans="1:11" x14ac:dyDescent="0.95">
      <c r="A221" s="12"/>
      <c r="B221" s="16" t="s">
        <v>244</v>
      </c>
      <c r="C221" s="14">
        <v>8</v>
      </c>
      <c r="D221" s="15" t="s">
        <v>172</v>
      </c>
      <c r="E221" s="14">
        <v>0</v>
      </c>
      <c r="F221" s="14">
        <v>0</v>
      </c>
      <c r="G221" s="14">
        <v>0</v>
      </c>
      <c r="H221" s="14">
        <v>0</v>
      </c>
      <c r="I221" s="14">
        <f t="shared" si="13"/>
        <v>0</v>
      </c>
      <c r="J221" s="16"/>
      <c r="K221" s="1"/>
    </row>
    <row r="222" spans="1:11" s="4" customFormat="1" x14ac:dyDescent="0.95">
      <c r="A222" s="17"/>
      <c r="B222" s="13" t="s">
        <v>245</v>
      </c>
      <c r="C222" s="18"/>
      <c r="D222" s="19"/>
      <c r="E222" s="18"/>
      <c r="F222" s="18">
        <f>ROUND(SUM(F217,F218,F219,F220,F221),2)</f>
        <v>15704</v>
      </c>
      <c r="G222" s="18"/>
      <c r="H222" s="18">
        <f>ROUND(SUM(H217,H218,H219,H220,H221),2)</f>
        <v>0</v>
      </c>
      <c r="I222" s="18">
        <f t="shared" si="13"/>
        <v>15704</v>
      </c>
      <c r="J222" s="13"/>
      <c r="K222" s="5"/>
    </row>
    <row r="223" spans="1:11" s="4" customFormat="1" x14ac:dyDescent="0.95">
      <c r="A223" s="17"/>
      <c r="B223" s="13" t="s">
        <v>246</v>
      </c>
      <c r="C223" s="18"/>
      <c r="D223" s="19"/>
      <c r="E223" s="18">
        <v>0</v>
      </c>
      <c r="F223" s="18">
        <v>0</v>
      </c>
      <c r="G223" s="18">
        <v>0</v>
      </c>
      <c r="H223" s="18">
        <v>0</v>
      </c>
      <c r="I223" s="18">
        <f>H223+F223</f>
        <v>0</v>
      </c>
      <c r="J223" s="13"/>
      <c r="K223" s="5"/>
    </row>
    <row r="224" spans="1:11" x14ac:dyDescent="0.95">
      <c r="A224" s="12"/>
      <c r="B224" s="16" t="s">
        <v>247</v>
      </c>
      <c r="C224" s="14">
        <v>24</v>
      </c>
      <c r="D224" s="15" t="s">
        <v>172</v>
      </c>
      <c r="E224" s="14">
        <v>0</v>
      </c>
      <c r="F224" s="14">
        <v>0</v>
      </c>
      <c r="G224" s="14">
        <v>0</v>
      </c>
      <c r="H224" s="14">
        <v>0</v>
      </c>
      <c r="I224" s="14">
        <f t="shared" ref="I224:I230" si="14">ROUND(F224+H224,2)</f>
        <v>0</v>
      </c>
      <c r="J224" s="16"/>
      <c r="K224" s="1"/>
    </row>
    <row r="225" spans="1:11" x14ac:dyDescent="0.95">
      <c r="A225" s="12"/>
      <c r="B225" s="16" t="s">
        <v>248</v>
      </c>
      <c r="C225" s="14">
        <v>24</v>
      </c>
      <c r="D225" s="15" t="s">
        <v>172</v>
      </c>
      <c r="E225" s="14">
        <v>0</v>
      </c>
      <c r="F225" s="14">
        <v>0</v>
      </c>
      <c r="G225" s="14">
        <v>0</v>
      </c>
      <c r="H225" s="14">
        <v>0</v>
      </c>
      <c r="I225" s="14">
        <f t="shared" si="14"/>
        <v>0</v>
      </c>
      <c r="J225" s="16"/>
      <c r="K225" s="1"/>
    </row>
    <row r="226" spans="1:11" x14ac:dyDescent="0.95">
      <c r="A226" s="12"/>
      <c r="B226" s="16" t="s">
        <v>249</v>
      </c>
      <c r="C226" s="14">
        <v>16</v>
      </c>
      <c r="D226" s="15" t="s">
        <v>172</v>
      </c>
      <c r="E226" s="14">
        <v>0</v>
      </c>
      <c r="F226" s="14">
        <v>0</v>
      </c>
      <c r="G226" s="14">
        <v>0</v>
      </c>
      <c r="H226" s="14">
        <v>0</v>
      </c>
      <c r="I226" s="14">
        <f t="shared" si="14"/>
        <v>0</v>
      </c>
      <c r="J226" s="16"/>
      <c r="K226" s="1"/>
    </row>
    <row r="227" spans="1:11" x14ac:dyDescent="0.95">
      <c r="A227" s="12"/>
      <c r="B227" s="16" t="s">
        <v>250</v>
      </c>
      <c r="C227" s="14">
        <v>88</v>
      </c>
      <c r="D227" s="15" t="s">
        <v>172</v>
      </c>
      <c r="E227" s="14">
        <v>0</v>
      </c>
      <c r="F227" s="14">
        <v>0</v>
      </c>
      <c r="G227" s="14">
        <v>0</v>
      </c>
      <c r="H227" s="14">
        <v>0</v>
      </c>
      <c r="I227" s="14">
        <f t="shared" si="14"/>
        <v>0</v>
      </c>
      <c r="J227" s="16"/>
      <c r="K227" s="1"/>
    </row>
    <row r="228" spans="1:11" x14ac:dyDescent="0.95">
      <c r="A228" s="12"/>
      <c r="B228" s="16" t="s">
        <v>251</v>
      </c>
      <c r="C228" s="14">
        <v>24</v>
      </c>
      <c r="D228" s="15" t="s">
        <v>172</v>
      </c>
      <c r="E228" s="14">
        <v>0</v>
      </c>
      <c r="F228" s="14">
        <v>0</v>
      </c>
      <c r="G228" s="14">
        <v>0</v>
      </c>
      <c r="H228" s="14">
        <v>0</v>
      </c>
      <c r="I228" s="14">
        <f t="shared" si="14"/>
        <v>0</v>
      </c>
      <c r="J228" s="16"/>
      <c r="K228" s="1"/>
    </row>
    <row r="229" spans="1:11" x14ac:dyDescent="0.95">
      <c r="A229" s="12"/>
      <c r="B229" s="16" t="s">
        <v>252</v>
      </c>
      <c r="C229" s="14">
        <v>8</v>
      </c>
      <c r="D229" s="15" t="s">
        <v>172</v>
      </c>
      <c r="E229" s="14">
        <v>0</v>
      </c>
      <c r="F229" s="14">
        <v>0</v>
      </c>
      <c r="G229" s="14">
        <v>0</v>
      </c>
      <c r="H229" s="14">
        <v>0</v>
      </c>
      <c r="I229" s="14">
        <f t="shared" si="14"/>
        <v>0</v>
      </c>
      <c r="J229" s="16"/>
      <c r="K229" s="1"/>
    </row>
    <row r="230" spans="1:11" s="4" customFormat="1" x14ac:dyDescent="0.95">
      <c r="A230" s="17"/>
      <c r="B230" s="13" t="s">
        <v>253</v>
      </c>
      <c r="C230" s="18"/>
      <c r="D230" s="19"/>
      <c r="E230" s="18"/>
      <c r="F230" s="18">
        <f>ROUND(SUM(F224,F225,F226,F227,F228,F229),2)</f>
        <v>0</v>
      </c>
      <c r="G230" s="18"/>
      <c r="H230" s="18">
        <f>ROUND(SUM(H224,H225,H226,H227,H228,H229),2)</f>
        <v>0</v>
      </c>
      <c r="I230" s="18">
        <f t="shared" si="14"/>
        <v>0</v>
      </c>
      <c r="J230" s="13"/>
      <c r="K230" s="5"/>
    </row>
    <row r="231" spans="1:11" s="4" customFormat="1" x14ac:dyDescent="0.95">
      <c r="A231" s="17"/>
      <c r="B231" s="13" t="s">
        <v>254</v>
      </c>
      <c r="C231" s="18"/>
      <c r="D231" s="19"/>
      <c r="E231" s="18">
        <v>0</v>
      </c>
      <c r="F231" s="18">
        <v>0</v>
      </c>
      <c r="G231" s="18">
        <v>0</v>
      </c>
      <c r="H231" s="18">
        <v>0</v>
      </c>
      <c r="I231" s="18">
        <v>0</v>
      </c>
      <c r="J231" s="13"/>
      <c r="K231" s="5"/>
    </row>
    <row r="232" spans="1:11" x14ac:dyDescent="0.95">
      <c r="A232" s="12"/>
      <c r="B232" s="16" t="s">
        <v>255</v>
      </c>
      <c r="C232" s="14">
        <v>8</v>
      </c>
      <c r="D232" s="15" t="s">
        <v>166</v>
      </c>
      <c r="E232" s="14">
        <v>0</v>
      </c>
      <c r="F232" s="14">
        <v>0</v>
      </c>
      <c r="G232" s="14">
        <v>0</v>
      </c>
      <c r="H232" s="14">
        <v>179100</v>
      </c>
      <c r="I232" s="14">
        <f>ROUND(F232+H232,2)</f>
        <v>179100</v>
      </c>
      <c r="J232" s="16"/>
      <c r="K232" s="1"/>
    </row>
    <row r="233" spans="1:11" s="4" customFormat="1" x14ac:dyDescent="0.95">
      <c r="A233" s="17"/>
      <c r="B233" s="13" t="s">
        <v>256</v>
      </c>
      <c r="C233" s="18"/>
      <c r="D233" s="19"/>
      <c r="E233" s="18"/>
      <c r="F233" s="18">
        <f>ROUND(SUM(F232),2)</f>
        <v>0</v>
      </c>
      <c r="G233" s="18"/>
      <c r="H233" s="18">
        <f>ROUND(SUM(H232),2)</f>
        <v>179100</v>
      </c>
      <c r="I233" s="18">
        <f>ROUND(F233+H233,2)</f>
        <v>179100</v>
      </c>
      <c r="J233" s="13"/>
      <c r="K233" s="5"/>
    </row>
    <row r="234" spans="1:11" s="4" customFormat="1" x14ac:dyDescent="0.95">
      <c r="A234" s="17"/>
      <c r="B234" s="13" t="s">
        <v>257</v>
      </c>
      <c r="C234" s="18"/>
      <c r="D234" s="19"/>
      <c r="E234" s="18">
        <v>0</v>
      </c>
      <c r="F234" s="18">
        <v>0</v>
      </c>
      <c r="G234" s="18">
        <v>2</v>
      </c>
      <c r="H234" s="18">
        <v>0</v>
      </c>
      <c r="I234" s="18">
        <v>0</v>
      </c>
      <c r="J234" s="13"/>
      <c r="K234" s="5"/>
    </row>
    <row r="235" spans="1:11" x14ac:dyDescent="0.95">
      <c r="A235" s="12"/>
      <c r="B235" s="16" t="s">
        <v>258</v>
      </c>
      <c r="C235" s="14">
        <v>8</v>
      </c>
      <c r="D235" s="15" t="s">
        <v>172</v>
      </c>
      <c r="E235" s="14">
        <v>0</v>
      </c>
      <c r="F235" s="14">
        <v>0</v>
      </c>
      <c r="G235" s="14">
        <v>3</v>
      </c>
      <c r="H235" s="14">
        <v>6</v>
      </c>
      <c r="I235" s="14">
        <f>ROUND(F235+H235,2)</f>
        <v>6</v>
      </c>
      <c r="J235" s="16"/>
      <c r="K235" s="1"/>
    </row>
    <row r="236" spans="1:11" x14ac:dyDescent="0.95">
      <c r="A236" s="12"/>
      <c r="B236" s="16" t="s">
        <v>259</v>
      </c>
      <c r="C236" s="14">
        <v>8</v>
      </c>
      <c r="D236" s="15" t="s">
        <v>172</v>
      </c>
      <c r="E236" s="14">
        <v>0</v>
      </c>
      <c r="F236" s="14">
        <v>0</v>
      </c>
      <c r="G236" s="14">
        <v>4</v>
      </c>
      <c r="H236" s="14">
        <v>8</v>
      </c>
      <c r="I236" s="14">
        <f>ROUND(F236+H236,2)</f>
        <v>8</v>
      </c>
      <c r="J236" s="16"/>
      <c r="K236" s="1"/>
    </row>
    <row r="237" spans="1:11" x14ac:dyDescent="0.95">
      <c r="A237" s="12"/>
      <c r="B237" s="16" t="s">
        <v>260</v>
      </c>
      <c r="C237" s="14">
        <v>2</v>
      </c>
      <c r="D237" s="15" t="s">
        <v>77</v>
      </c>
      <c r="E237" s="14">
        <v>0</v>
      </c>
      <c r="F237" s="14">
        <v>0</v>
      </c>
      <c r="G237" s="14">
        <v>29850</v>
      </c>
      <c r="H237" s="14">
        <v>59700</v>
      </c>
      <c r="I237" s="14">
        <f>ROUND(F237+H237,2)</f>
        <v>59700</v>
      </c>
      <c r="J237" s="16"/>
      <c r="K237" s="1"/>
    </row>
    <row r="238" spans="1:11" s="4" customFormat="1" x14ac:dyDescent="0.95">
      <c r="A238" s="17"/>
      <c r="B238" s="13" t="s">
        <v>261</v>
      </c>
      <c r="C238" s="18"/>
      <c r="D238" s="19"/>
      <c r="E238" s="18"/>
      <c r="F238" s="18">
        <f>ROUND(SUM(F235,F236,F237),2)</f>
        <v>0</v>
      </c>
      <c r="G238" s="18"/>
      <c r="H238" s="18">
        <f>ROUND(SUM(H235,H236,H237),2)</f>
        <v>59714</v>
      </c>
      <c r="I238" s="18">
        <f>ROUND(F238+H238,2)</f>
        <v>59714</v>
      </c>
      <c r="J238" s="13"/>
      <c r="K238" s="5"/>
    </row>
    <row r="239" spans="1:11" s="4" customFormat="1" x14ac:dyDescent="0.95">
      <c r="A239" s="8">
        <v>3</v>
      </c>
      <c r="B239" s="9" t="s">
        <v>262</v>
      </c>
      <c r="C239" s="10"/>
      <c r="D239" s="11" t="s">
        <v>84</v>
      </c>
      <c r="E239" s="10"/>
      <c r="F239" s="10">
        <f>ROUND(SUM(F217,F218,F219,F220,F221,F224,F225,F226,F227,F228,F229,F232,F235,F236,F237),2)</f>
        <v>15704</v>
      </c>
      <c r="G239" s="10"/>
      <c r="H239" s="10">
        <f>ROUND(SUM(H217,H218,H219,H220,H221,H224,H225,H226,H227,H228,H229,H232,H235,H236,H237),2)</f>
        <v>238814</v>
      </c>
      <c r="I239" s="10">
        <f>ROUND(F239+H239,2)</f>
        <v>254518</v>
      </c>
      <c r="J239" s="9"/>
      <c r="K239" s="5"/>
    </row>
    <row r="240" spans="1:11" x14ac:dyDescent="0.95">
      <c r="A240" s="25"/>
      <c r="B240" s="26"/>
      <c r="C240" s="26"/>
      <c r="D240" s="26"/>
      <c r="E240" s="26"/>
      <c r="F240" s="26"/>
      <c r="G240" s="26"/>
      <c r="H240" s="26"/>
      <c r="I240" s="26"/>
      <c r="J240" s="27"/>
      <c r="K240" s="1"/>
    </row>
    <row r="241" spans="1:11" s="4" customFormat="1" x14ac:dyDescent="0.95">
      <c r="A241" s="8">
        <v>4</v>
      </c>
      <c r="B241" s="9" t="s">
        <v>263</v>
      </c>
      <c r="C241" s="10"/>
      <c r="D241" s="11"/>
      <c r="E241" s="10"/>
      <c r="F241" s="10"/>
      <c r="G241" s="10"/>
      <c r="H241" s="10"/>
      <c r="I241" s="10"/>
      <c r="J241" s="9"/>
      <c r="K241" s="5"/>
    </row>
    <row r="242" spans="1:11" x14ac:dyDescent="0.95">
      <c r="A242" s="12"/>
      <c r="B242" s="16" t="s">
        <v>264</v>
      </c>
      <c r="C242" s="14">
        <v>8</v>
      </c>
      <c r="D242" s="15" t="s">
        <v>57</v>
      </c>
      <c r="E242" s="14">
        <v>1105</v>
      </c>
      <c r="F242" s="14">
        <v>8840</v>
      </c>
      <c r="G242" s="14">
        <v>0</v>
      </c>
      <c r="H242" s="14">
        <v>0</v>
      </c>
      <c r="I242" s="14">
        <f t="shared" ref="I242:I264" si="15">ROUND(F242+H242,2)</f>
        <v>8840</v>
      </c>
      <c r="J242" s="16"/>
      <c r="K242" s="1"/>
    </row>
    <row r="243" spans="1:11" x14ac:dyDescent="0.95">
      <c r="A243" s="12"/>
      <c r="B243" s="16" t="s">
        <v>265</v>
      </c>
      <c r="C243" s="14">
        <v>14.67</v>
      </c>
      <c r="D243" s="15" t="s">
        <v>57</v>
      </c>
      <c r="E243" s="14">
        <v>810</v>
      </c>
      <c r="F243" s="14">
        <v>11880</v>
      </c>
      <c r="G243" s="14">
        <v>0</v>
      </c>
      <c r="H243" s="14">
        <v>0</v>
      </c>
      <c r="I243" s="14">
        <f t="shared" si="15"/>
        <v>11880</v>
      </c>
      <c r="J243" s="16"/>
      <c r="K243" s="1"/>
    </row>
    <row r="244" spans="1:11" x14ac:dyDescent="0.95">
      <c r="A244" s="12"/>
      <c r="B244" s="16" t="s">
        <v>266</v>
      </c>
      <c r="C244" s="14">
        <v>16</v>
      </c>
      <c r="D244" s="15" t="s">
        <v>57</v>
      </c>
      <c r="E244" s="14">
        <v>610</v>
      </c>
      <c r="F244" s="14">
        <v>9760</v>
      </c>
      <c r="G244" s="14">
        <v>0</v>
      </c>
      <c r="H244" s="14">
        <v>0</v>
      </c>
      <c r="I244" s="14">
        <f t="shared" si="15"/>
        <v>9760</v>
      </c>
      <c r="J244" s="16"/>
      <c r="K244" s="1"/>
    </row>
    <row r="245" spans="1:11" x14ac:dyDescent="0.95">
      <c r="A245" s="12"/>
      <c r="B245" s="16" t="s">
        <v>267</v>
      </c>
      <c r="C245" s="14">
        <v>48</v>
      </c>
      <c r="D245" s="15" t="s">
        <v>57</v>
      </c>
      <c r="E245" s="14">
        <v>395</v>
      </c>
      <c r="F245" s="14">
        <v>18960</v>
      </c>
      <c r="G245" s="14">
        <v>0</v>
      </c>
      <c r="H245" s="14">
        <v>0</v>
      </c>
      <c r="I245" s="14">
        <f t="shared" si="15"/>
        <v>18960</v>
      </c>
      <c r="J245" s="16"/>
      <c r="K245" s="1"/>
    </row>
    <row r="246" spans="1:11" x14ac:dyDescent="0.95">
      <c r="A246" s="12"/>
      <c r="B246" s="16" t="s">
        <v>268</v>
      </c>
      <c r="C246" s="14">
        <v>9.33</v>
      </c>
      <c r="D246" s="15" t="s">
        <v>29</v>
      </c>
      <c r="E246" s="14">
        <v>49</v>
      </c>
      <c r="F246" s="14">
        <v>457.33</v>
      </c>
      <c r="G246" s="14">
        <v>0</v>
      </c>
      <c r="H246" s="14">
        <v>0</v>
      </c>
      <c r="I246" s="14">
        <f t="shared" si="15"/>
        <v>457.33</v>
      </c>
      <c r="J246" s="16"/>
      <c r="K246" s="1"/>
    </row>
    <row r="247" spans="1:11" x14ac:dyDescent="0.95">
      <c r="A247" s="12"/>
      <c r="B247" s="16" t="s">
        <v>269</v>
      </c>
      <c r="C247" s="14">
        <v>9.33</v>
      </c>
      <c r="D247" s="15" t="s">
        <v>29</v>
      </c>
      <c r="E247" s="14">
        <v>39</v>
      </c>
      <c r="F247" s="14">
        <v>364</v>
      </c>
      <c r="G247" s="14">
        <v>0</v>
      </c>
      <c r="H247" s="14">
        <v>0</v>
      </c>
      <c r="I247" s="14">
        <f t="shared" si="15"/>
        <v>364</v>
      </c>
      <c r="J247" s="16"/>
      <c r="K247" s="1"/>
    </row>
    <row r="248" spans="1:11" x14ac:dyDescent="0.95">
      <c r="A248" s="12"/>
      <c r="B248" s="16" t="s">
        <v>270</v>
      </c>
      <c r="C248" s="14">
        <v>2.67</v>
      </c>
      <c r="D248" s="15" t="s">
        <v>57</v>
      </c>
      <c r="E248" s="14">
        <v>285</v>
      </c>
      <c r="F248" s="14">
        <v>760</v>
      </c>
      <c r="G248" s="14">
        <v>0</v>
      </c>
      <c r="H248" s="14">
        <v>0</v>
      </c>
      <c r="I248" s="14">
        <f t="shared" si="15"/>
        <v>760</v>
      </c>
      <c r="J248" s="16"/>
      <c r="K248" s="1"/>
    </row>
    <row r="249" spans="1:11" x14ac:dyDescent="0.95">
      <c r="A249" s="12"/>
      <c r="B249" s="16" t="s">
        <v>271</v>
      </c>
      <c r="C249" s="14">
        <v>17.329999999999998</v>
      </c>
      <c r="D249" s="15" t="s">
        <v>57</v>
      </c>
      <c r="E249" s="14">
        <v>250</v>
      </c>
      <c r="F249" s="14">
        <v>4333.33</v>
      </c>
      <c r="G249" s="14">
        <v>0</v>
      </c>
      <c r="H249" s="14">
        <v>0</v>
      </c>
      <c r="I249" s="14">
        <f t="shared" si="15"/>
        <v>4333.33</v>
      </c>
      <c r="J249" s="16"/>
      <c r="K249" s="1"/>
    </row>
    <row r="250" spans="1:11" x14ac:dyDescent="0.95">
      <c r="A250" s="12"/>
      <c r="B250" s="16" t="s">
        <v>272</v>
      </c>
      <c r="C250" s="14">
        <v>68</v>
      </c>
      <c r="D250" s="15" t="s">
        <v>81</v>
      </c>
      <c r="E250" s="14">
        <v>212</v>
      </c>
      <c r="F250" s="14">
        <v>14416</v>
      </c>
      <c r="G250" s="14">
        <v>0</v>
      </c>
      <c r="H250" s="14">
        <v>0</v>
      </c>
      <c r="I250" s="14">
        <f t="shared" si="15"/>
        <v>14416</v>
      </c>
      <c r="J250" s="16"/>
      <c r="K250" s="1"/>
    </row>
    <row r="251" spans="1:11" x14ac:dyDescent="0.95">
      <c r="A251" s="12"/>
      <c r="B251" s="16" t="s">
        <v>273</v>
      </c>
      <c r="C251" s="14">
        <v>266.67</v>
      </c>
      <c r="D251" s="15" t="s">
        <v>95</v>
      </c>
      <c r="E251" s="14">
        <v>2.7</v>
      </c>
      <c r="F251" s="14">
        <v>720</v>
      </c>
      <c r="G251" s="14">
        <v>0</v>
      </c>
      <c r="H251" s="14">
        <v>0</v>
      </c>
      <c r="I251" s="14">
        <f t="shared" si="15"/>
        <v>720</v>
      </c>
      <c r="J251" s="16"/>
      <c r="K251" s="1"/>
    </row>
    <row r="252" spans="1:11" x14ac:dyDescent="0.95">
      <c r="A252" s="12"/>
      <c r="B252" s="16" t="s">
        <v>67</v>
      </c>
      <c r="C252" s="14">
        <v>1.33</v>
      </c>
      <c r="D252" s="15" t="s">
        <v>68</v>
      </c>
      <c r="E252" s="14">
        <v>1500</v>
      </c>
      <c r="F252" s="14">
        <v>2000</v>
      </c>
      <c r="G252" s="14">
        <v>0</v>
      </c>
      <c r="H252" s="14">
        <v>0</v>
      </c>
      <c r="I252" s="14">
        <f t="shared" si="15"/>
        <v>2000</v>
      </c>
      <c r="J252" s="16"/>
      <c r="K252" s="1"/>
    </row>
    <row r="253" spans="1:11" x14ac:dyDescent="0.95">
      <c r="A253" s="12"/>
      <c r="B253" s="16" t="s">
        <v>69</v>
      </c>
      <c r="C253" s="14">
        <v>4</v>
      </c>
      <c r="D253" s="15" t="s">
        <v>70</v>
      </c>
      <c r="E253" s="14">
        <v>1189</v>
      </c>
      <c r="F253" s="14">
        <v>4756</v>
      </c>
      <c r="G253" s="14">
        <v>0</v>
      </c>
      <c r="H253" s="14">
        <v>0</v>
      </c>
      <c r="I253" s="14">
        <f t="shared" si="15"/>
        <v>4756</v>
      </c>
      <c r="J253" s="16"/>
      <c r="K253" s="1"/>
    </row>
    <row r="254" spans="1:11" x14ac:dyDescent="0.95">
      <c r="A254" s="12"/>
      <c r="B254" s="16" t="s">
        <v>71</v>
      </c>
      <c r="C254" s="14">
        <v>1.33</v>
      </c>
      <c r="D254" s="15" t="s">
        <v>70</v>
      </c>
      <c r="E254" s="14">
        <v>499</v>
      </c>
      <c r="F254" s="14">
        <v>665.33</v>
      </c>
      <c r="G254" s="14">
        <v>0</v>
      </c>
      <c r="H254" s="14">
        <v>0</v>
      </c>
      <c r="I254" s="14">
        <f t="shared" si="15"/>
        <v>665.33</v>
      </c>
      <c r="J254" s="16"/>
      <c r="K254" s="1"/>
    </row>
    <row r="255" spans="1:11" x14ac:dyDescent="0.95">
      <c r="A255" s="12"/>
      <c r="B255" s="16" t="s">
        <v>72</v>
      </c>
      <c r="C255" s="14">
        <v>8</v>
      </c>
      <c r="D255" s="15" t="s">
        <v>73</v>
      </c>
      <c r="E255" s="14">
        <v>98</v>
      </c>
      <c r="F255" s="14">
        <v>784</v>
      </c>
      <c r="G255" s="14">
        <v>0</v>
      </c>
      <c r="H255" s="14">
        <v>0</v>
      </c>
      <c r="I255" s="14">
        <f t="shared" si="15"/>
        <v>784</v>
      </c>
      <c r="J255" s="16"/>
      <c r="K255" s="1"/>
    </row>
    <row r="256" spans="1:11" x14ac:dyDescent="0.95">
      <c r="A256" s="12"/>
      <c r="B256" s="16" t="s">
        <v>74</v>
      </c>
      <c r="C256" s="14">
        <v>640</v>
      </c>
      <c r="D256" s="15" t="s">
        <v>75</v>
      </c>
      <c r="E256" s="14">
        <v>0</v>
      </c>
      <c r="F256" s="14">
        <v>0</v>
      </c>
      <c r="G256" s="14">
        <v>23.291666666666668</v>
      </c>
      <c r="H256" s="14">
        <v>14906.67</v>
      </c>
      <c r="I256" s="14">
        <f t="shared" si="15"/>
        <v>14906.67</v>
      </c>
      <c r="J256" s="16"/>
      <c r="K256" s="1"/>
    </row>
    <row r="257" spans="1:11" x14ac:dyDescent="0.95">
      <c r="A257" s="12"/>
      <c r="B257" s="16" t="s">
        <v>274</v>
      </c>
      <c r="C257" s="14">
        <v>2000</v>
      </c>
      <c r="D257" s="15" t="s">
        <v>81</v>
      </c>
      <c r="E257" s="14">
        <v>0</v>
      </c>
      <c r="F257" s="14">
        <v>0</v>
      </c>
      <c r="G257" s="14">
        <v>6.4533333333333331</v>
      </c>
      <c r="H257" s="14">
        <v>12906.67</v>
      </c>
      <c r="I257" s="14">
        <f t="shared" si="15"/>
        <v>12906.67</v>
      </c>
      <c r="J257" s="16"/>
      <c r="K257" s="1"/>
    </row>
    <row r="258" spans="1:11" x14ac:dyDescent="0.95">
      <c r="A258" s="12"/>
      <c r="B258" s="16" t="s">
        <v>275</v>
      </c>
      <c r="C258" s="14">
        <v>280</v>
      </c>
      <c r="D258" s="15" t="s">
        <v>81</v>
      </c>
      <c r="E258" s="14">
        <v>0</v>
      </c>
      <c r="F258" s="14">
        <v>0</v>
      </c>
      <c r="G258" s="14">
        <v>17.5</v>
      </c>
      <c r="H258" s="14">
        <v>4900</v>
      </c>
      <c r="I258" s="14">
        <f t="shared" si="15"/>
        <v>4900</v>
      </c>
      <c r="J258" s="16"/>
      <c r="K258" s="1"/>
    </row>
    <row r="259" spans="1:11" x14ac:dyDescent="0.95">
      <c r="A259" s="12"/>
      <c r="B259" s="16" t="s">
        <v>78</v>
      </c>
      <c r="C259" s="14">
        <v>4000</v>
      </c>
      <c r="D259" s="15" t="s">
        <v>24</v>
      </c>
      <c r="E259" s="14">
        <v>0</v>
      </c>
      <c r="F259" s="14">
        <v>0</v>
      </c>
      <c r="G259" s="14">
        <v>1.3333333333333333</v>
      </c>
      <c r="H259" s="14">
        <v>5333.33</v>
      </c>
      <c r="I259" s="14">
        <f t="shared" si="15"/>
        <v>5333.33</v>
      </c>
      <c r="J259" s="16"/>
      <c r="K259" s="1"/>
    </row>
    <row r="260" spans="1:11" x14ac:dyDescent="0.95">
      <c r="A260" s="12"/>
      <c r="B260" s="16" t="s">
        <v>276</v>
      </c>
      <c r="C260" s="14">
        <v>280</v>
      </c>
      <c r="D260" s="15" t="s">
        <v>75</v>
      </c>
      <c r="E260" s="14">
        <v>0</v>
      </c>
      <c r="F260" s="14">
        <v>0</v>
      </c>
      <c r="G260" s="14">
        <v>18.900000000000002</v>
      </c>
      <c r="H260" s="14">
        <v>5292</v>
      </c>
      <c r="I260" s="14">
        <f t="shared" si="15"/>
        <v>5292</v>
      </c>
      <c r="J260" s="16"/>
      <c r="K260" s="1"/>
    </row>
    <row r="261" spans="1:11" x14ac:dyDescent="0.95">
      <c r="A261" s="12"/>
      <c r="B261" s="16" t="s">
        <v>277</v>
      </c>
      <c r="C261" s="14">
        <v>200</v>
      </c>
      <c r="D261" s="15" t="s">
        <v>75</v>
      </c>
      <c r="E261" s="14">
        <v>0</v>
      </c>
      <c r="F261" s="14">
        <v>0</v>
      </c>
      <c r="G261" s="14">
        <v>18.900000000000002</v>
      </c>
      <c r="H261" s="14">
        <v>3780</v>
      </c>
      <c r="I261" s="14">
        <f t="shared" si="15"/>
        <v>3780</v>
      </c>
      <c r="J261" s="16"/>
      <c r="K261" s="1"/>
    </row>
    <row r="262" spans="1:11" x14ac:dyDescent="0.95">
      <c r="A262" s="12"/>
      <c r="B262" s="16" t="s">
        <v>278</v>
      </c>
      <c r="C262" s="14">
        <v>2400</v>
      </c>
      <c r="D262" s="15" t="s">
        <v>77</v>
      </c>
      <c r="E262" s="14">
        <v>0</v>
      </c>
      <c r="F262" s="14">
        <v>0</v>
      </c>
      <c r="G262" s="14">
        <v>1</v>
      </c>
      <c r="H262" s="14">
        <v>2400</v>
      </c>
      <c r="I262" s="14">
        <f t="shared" si="15"/>
        <v>2400</v>
      </c>
      <c r="J262" s="16"/>
      <c r="K262" s="1"/>
    </row>
    <row r="263" spans="1:11" x14ac:dyDescent="0.95">
      <c r="A263" s="12"/>
      <c r="B263" s="16" t="s">
        <v>279</v>
      </c>
      <c r="C263" s="14">
        <v>440</v>
      </c>
      <c r="D263" s="15" t="s">
        <v>81</v>
      </c>
      <c r="E263" s="14">
        <v>0</v>
      </c>
      <c r="F263" s="14">
        <v>0</v>
      </c>
      <c r="G263" s="14">
        <v>6.47</v>
      </c>
      <c r="H263" s="14">
        <v>2846.8</v>
      </c>
      <c r="I263" s="14">
        <f t="shared" si="15"/>
        <v>2846.8</v>
      </c>
      <c r="J263" s="16"/>
      <c r="K263" s="1"/>
    </row>
    <row r="264" spans="1:11" s="4" customFormat="1" x14ac:dyDescent="0.95">
      <c r="A264" s="8">
        <v>4</v>
      </c>
      <c r="B264" s="9" t="s">
        <v>280</v>
      </c>
      <c r="C264" s="10"/>
      <c r="D264" s="11" t="s">
        <v>84</v>
      </c>
      <c r="E264" s="10"/>
      <c r="F264" s="10">
        <f>ROUND(SUM(F242,F243,F244,F245,F246,F247,F248,F249,F250,F251,F252,F253,F254,F255,F256,F257,F258,F259,F260,F261,F262,F263),2)</f>
        <v>78695.990000000005</v>
      </c>
      <c r="G264" s="10"/>
      <c r="H264" s="10">
        <f>ROUND(SUM(H242,H243,H244,H245,H246,H247,H248,H249,H250,H251,H252,H253,H254,H255,H256,H257,H258,H259,H260,H261,H262,H263),2)</f>
        <v>52365.47</v>
      </c>
      <c r="I264" s="10">
        <f t="shared" si="15"/>
        <v>131061.46</v>
      </c>
      <c r="J264" s="9"/>
      <c r="K264" s="5"/>
    </row>
    <row r="265" spans="1:11" x14ac:dyDescent="0.95">
      <c r="C265" s="1"/>
      <c r="D265" s="21"/>
      <c r="E265" s="1"/>
      <c r="F265" s="1"/>
      <c r="G265" s="1"/>
      <c r="H265" s="1"/>
      <c r="I265" s="1"/>
      <c r="K265" s="1"/>
    </row>
    <row r="266" spans="1:11" x14ac:dyDescent="0.95">
      <c r="C266" s="1"/>
      <c r="D266" s="21"/>
      <c r="E266" s="1"/>
      <c r="F266" s="1"/>
      <c r="G266" s="1"/>
      <c r="H266" s="1"/>
      <c r="I266" s="1"/>
      <c r="K266" s="1"/>
    </row>
    <row r="267" spans="1:11" x14ac:dyDescent="0.95">
      <c r="C267" s="1"/>
      <c r="D267" s="21"/>
      <c r="E267" s="1"/>
      <c r="F267" s="1"/>
      <c r="G267" s="1"/>
      <c r="H267" s="1"/>
      <c r="I267" s="1"/>
      <c r="K267" s="1"/>
    </row>
    <row r="268" spans="1:11" x14ac:dyDescent="0.95">
      <c r="C268" s="1"/>
      <c r="D268" s="21"/>
      <c r="E268" s="1"/>
      <c r="F268" s="1"/>
      <c r="G268" s="1"/>
      <c r="H268" s="1"/>
      <c r="I268" s="1"/>
      <c r="K268" s="1"/>
    </row>
    <row r="269" spans="1:11" x14ac:dyDescent="0.95">
      <c r="C269" s="1"/>
      <c r="D269" s="21"/>
      <c r="E269" s="1"/>
      <c r="F269" s="1"/>
      <c r="G269" s="1"/>
      <c r="H269" s="1"/>
      <c r="I269" s="1"/>
      <c r="K269" s="1"/>
    </row>
    <row r="270" spans="1:11" x14ac:dyDescent="0.95">
      <c r="C270" s="1"/>
      <c r="D270" s="21"/>
      <c r="E270" s="1"/>
      <c r="F270" s="1"/>
      <c r="G270" s="1"/>
      <c r="H270" s="1"/>
      <c r="I270" s="1"/>
      <c r="K270" s="1"/>
    </row>
    <row r="271" spans="1:11" x14ac:dyDescent="0.95">
      <c r="C271" s="1"/>
      <c r="D271" s="21"/>
      <c r="E271" s="1"/>
      <c r="F271" s="1"/>
      <c r="G271" s="1"/>
      <c r="H271" s="1"/>
      <c r="I271" s="1"/>
      <c r="K271" s="1"/>
    </row>
    <row r="272" spans="1:11" x14ac:dyDescent="0.95">
      <c r="C272" s="1"/>
      <c r="D272" s="21"/>
      <c r="E272" s="1"/>
      <c r="F272" s="1"/>
      <c r="G272" s="1"/>
      <c r="H272" s="1"/>
      <c r="I272" s="1"/>
      <c r="K272" s="1"/>
    </row>
    <row r="273" spans="3:11" x14ac:dyDescent="0.95">
      <c r="C273" s="1"/>
      <c r="D273" s="21"/>
      <c r="E273" s="1"/>
      <c r="F273" s="1"/>
      <c r="G273" s="1"/>
      <c r="H273" s="1"/>
      <c r="I273" s="1"/>
      <c r="K273" s="1"/>
    </row>
  </sheetData>
  <mergeCells count="12">
    <mergeCell ref="A2:J2"/>
    <mergeCell ref="A1:J1"/>
    <mergeCell ref="A65:J65"/>
    <mergeCell ref="A214:J214"/>
    <mergeCell ref="A240:J240"/>
    <mergeCell ref="A4:A5"/>
    <mergeCell ref="B4:B5"/>
    <mergeCell ref="C4:C5"/>
    <mergeCell ref="D4:D5"/>
    <mergeCell ref="E4:F4"/>
    <mergeCell ref="G4:H4"/>
    <mergeCell ref="J4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675D-9718-401C-9FE5-C80E58A417CF}">
  <dimension ref="A1:K273"/>
  <sheetViews>
    <sheetView workbookViewId="0">
      <selection activeCell="F11" sqref="F11"/>
    </sheetView>
  </sheetViews>
  <sheetFormatPr defaultRowHeight="23.25" x14ac:dyDescent="0.95"/>
  <cols>
    <col min="1" max="1" width="7.1328125" style="20" customWidth="1"/>
    <col min="2" max="2" width="49.73046875" style="2" customWidth="1"/>
    <col min="3" max="3" width="14.265625" style="2" customWidth="1"/>
    <col min="4" max="4" width="14.265625" style="20" customWidth="1"/>
    <col min="5" max="9" width="14.265625" style="2" customWidth="1"/>
    <col min="10" max="10" width="11.86328125" style="2" customWidth="1"/>
    <col min="11" max="11" width="10.53125" style="2" customWidth="1"/>
    <col min="12" max="16384" width="9.06640625" style="2"/>
  </cols>
  <sheetData>
    <row r="1" spans="1:11" x14ac:dyDescent="0.95">
      <c r="A1" s="24" t="s">
        <v>283</v>
      </c>
      <c r="B1" s="24"/>
      <c r="C1" s="24"/>
      <c r="D1" s="24"/>
      <c r="E1" s="24"/>
      <c r="F1" s="24"/>
      <c r="G1" s="24"/>
      <c r="H1" s="24"/>
      <c r="I1" s="24"/>
      <c r="J1" s="24"/>
      <c r="K1" s="1"/>
    </row>
    <row r="2" spans="1:11" x14ac:dyDescent="0.9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1"/>
    </row>
    <row r="3" spans="1:11" x14ac:dyDescent="0.95">
      <c r="A3" s="22"/>
      <c r="B3" s="4"/>
      <c r="C3" s="5"/>
      <c r="D3" s="6"/>
      <c r="E3" s="5"/>
      <c r="F3" s="5"/>
      <c r="G3" s="5"/>
      <c r="H3" s="5"/>
      <c r="I3" s="4" t="s">
        <v>1</v>
      </c>
      <c r="J3" s="4"/>
      <c r="K3" s="1"/>
    </row>
    <row r="4" spans="1:11" s="4" customFormat="1" x14ac:dyDescent="0.95">
      <c r="A4" s="28" t="s">
        <v>2</v>
      </c>
      <c r="B4" s="28" t="s">
        <v>3</v>
      </c>
      <c r="C4" s="29" t="s">
        <v>4</v>
      </c>
      <c r="D4" s="29" t="s">
        <v>5</v>
      </c>
      <c r="E4" s="29" t="s">
        <v>6</v>
      </c>
      <c r="F4" s="29"/>
      <c r="G4" s="29" t="s">
        <v>7</v>
      </c>
      <c r="H4" s="29"/>
      <c r="I4" s="23" t="s">
        <v>8</v>
      </c>
      <c r="J4" s="28" t="s">
        <v>9</v>
      </c>
      <c r="K4" s="5"/>
    </row>
    <row r="5" spans="1:11" s="4" customFormat="1" x14ac:dyDescent="0.95">
      <c r="A5" s="28"/>
      <c r="B5" s="28"/>
      <c r="C5" s="29"/>
      <c r="D5" s="29"/>
      <c r="E5" s="23" t="s">
        <v>10</v>
      </c>
      <c r="F5" s="23" t="s">
        <v>11</v>
      </c>
      <c r="G5" s="23" t="s">
        <v>10</v>
      </c>
      <c r="H5" s="23" t="s">
        <v>11</v>
      </c>
      <c r="I5" s="23" t="s">
        <v>12</v>
      </c>
      <c r="J5" s="28"/>
      <c r="K5" s="5"/>
    </row>
    <row r="6" spans="1:11" s="4" customFormat="1" x14ac:dyDescent="0.95">
      <c r="A6" s="8">
        <v>1</v>
      </c>
      <c r="B6" s="9" t="s">
        <v>13</v>
      </c>
      <c r="C6" s="10"/>
      <c r="D6" s="11"/>
      <c r="E6" s="10"/>
      <c r="F6" s="10"/>
      <c r="G6" s="10"/>
      <c r="H6" s="10"/>
      <c r="I6" s="10"/>
      <c r="J6" s="9"/>
      <c r="K6" s="5"/>
    </row>
    <row r="7" spans="1:11" s="4" customFormat="1" x14ac:dyDescent="0.95">
      <c r="A7" s="17"/>
      <c r="B7" s="13" t="s">
        <v>14</v>
      </c>
      <c r="C7" s="18"/>
      <c r="D7" s="19"/>
      <c r="E7" s="18"/>
      <c r="F7" s="18"/>
      <c r="G7" s="18"/>
      <c r="H7" s="18"/>
      <c r="I7" s="18"/>
      <c r="J7" s="13"/>
      <c r="K7" s="5"/>
    </row>
    <row r="8" spans="1:11" x14ac:dyDescent="0.95">
      <c r="A8" s="12"/>
      <c r="B8" s="16" t="s">
        <v>15</v>
      </c>
      <c r="C8" s="14">
        <v>13.33</v>
      </c>
      <c r="D8" s="15" t="s">
        <v>16</v>
      </c>
      <c r="E8" s="14">
        <v>3500</v>
      </c>
      <c r="F8" s="14">
        <v>46666.67</v>
      </c>
      <c r="G8" s="14">
        <v>0</v>
      </c>
      <c r="H8" s="14">
        <v>0</v>
      </c>
      <c r="I8" s="14">
        <f>ROUND(F8+H8,2)</f>
        <v>46666.67</v>
      </c>
      <c r="J8" s="16"/>
      <c r="K8" s="1"/>
    </row>
    <row r="9" spans="1:11" x14ac:dyDescent="0.95">
      <c r="A9" s="12"/>
      <c r="B9" s="16" t="s">
        <v>17</v>
      </c>
      <c r="C9" s="14">
        <v>7.33</v>
      </c>
      <c r="D9" s="15" t="s">
        <v>18</v>
      </c>
      <c r="E9" s="14">
        <v>1500</v>
      </c>
      <c r="F9" s="14">
        <v>11000</v>
      </c>
      <c r="G9" s="14">
        <v>0</v>
      </c>
      <c r="H9" s="14">
        <v>9000</v>
      </c>
      <c r="I9" s="14">
        <f>ROUND(F9+H9,2)</f>
        <v>20000</v>
      </c>
      <c r="J9" s="16"/>
      <c r="K9" s="1"/>
    </row>
    <row r="10" spans="1:11" x14ac:dyDescent="0.95">
      <c r="A10" s="12"/>
      <c r="B10" s="16" t="s">
        <v>19</v>
      </c>
      <c r="C10" s="14">
        <v>0</v>
      </c>
      <c r="D10" s="15" t="s">
        <v>18</v>
      </c>
      <c r="E10" s="14">
        <v>0</v>
      </c>
      <c r="F10" s="14">
        <v>0</v>
      </c>
      <c r="G10" s="14">
        <v>0</v>
      </c>
      <c r="H10" s="14">
        <v>0</v>
      </c>
      <c r="I10" s="14">
        <f>ROUND(F10+H10,2)</f>
        <v>0</v>
      </c>
      <c r="J10" s="16"/>
      <c r="K10" s="1"/>
    </row>
    <row r="11" spans="1:11" x14ac:dyDescent="0.95">
      <c r="A11" s="12"/>
      <c r="B11" s="16" t="s">
        <v>20</v>
      </c>
      <c r="C11" s="14">
        <v>53.33</v>
      </c>
      <c r="D11" s="15" t="s">
        <v>18</v>
      </c>
      <c r="E11" s="14">
        <v>100</v>
      </c>
      <c r="F11" s="14">
        <v>5333.33</v>
      </c>
      <c r="G11" s="14">
        <v>0</v>
      </c>
      <c r="H11" s="14">
        <v>1800</v>
      </c>
      <c r="I11" s="14">
        <f>ROUND(F11+H11,2)</f>
        <v>7133.33</v>
      </c>
      <c r="J11" s="16"/>
      <c r="K11" s="1"/>
    </row>
    <row r="12" spans="1:11" s="4" customFormat="1" x14ac:dyDescent="0.95">
      <c r="A12" s="17"/>
      <c r="B12" s="13" t="s">
        <v>21</v>
      </c>
      <c r="C12" s="18"/>
      <c r="D12" s="19"/>
      <c r="E12" s="18"/>
      <c r="F12" s="18">
        <f>ROUND(SUM(F8,F9,F10,F11),2)</f>
        <v>63000</v>
      </c>
      <c r="G12" s="18"/>
      <c r="H12" s="18">
        <f>ROUND(SUM(H8,H9,H10,H11),2)</f>
        <v>10800</v>
      </c>
      <c r="I12" s="18">
        <f>ROUND(F12+H12,2)</f>
        <v>73800</v>
      </c>
      <c r="J12" s="13"/>
      <c r="K12" s="5"/>
    </row>
    <row r="13" spans="1:11" s="4" customFormat="1" x14ac:dyDescent="0.95">
      <c r="A13" s="17"/>
      <c r="B13" s="13" t="s">
        <v>22</v>
      </c>
      <c r="C13" s="18"/>
      <c r="D13" s="19"/>
      <c r="E13" s="18"/>
      <c r="F13" s="18"/>
      <c r="G13" s="18"/>
      <c r="H13" s="18"/>
      <c r="I13" s="18"/>
      <c r="J13" s="13"/>
      <c r="K13" s="5"/>
    </row>
    <row r="14" spans="1:11" x14ac:dyDescent="0.95">
      <c r="A14" s="12"/>
      <c r="B14" s="16" t="s">
        <v>23</v>
      </c>
      <c r="C14" s="14">
        <v>60</v>
      </c>
      <c r="D14" s="15" t="s">
        <v>24</v>
      </c>
      <c r="E14" s="14">
        <v>2080</v>
      </c>
      <c r="F14" s="14">
        <f>E14*C14</f>
        <v>124800</v>
      </c>
      <c r="G14" s="14">
        <v>750</v>
      </c>
      <c r="H14" s="14">
        <v>53000</v>
      </c>
      <c r="I14" s="14">
        <f>ROUND(F14+H14,2)</f>
        <v>177800</v>
      </c>
      <c r="J14" s="16"/>
      <c r="K14" s="1"/>
    </row>
    <row r="15" spans="1:11" x14ac:dyDescent="0.95">
      <c r="A15" s="12"/>
      <c r="B15" s="16" t="s">
        <v>25</v>
      </c>
      <c r="C15" s="14">
        <v>0</v>
      </c>
      <c r="D15" s="15" t="s">
        <v>24</v>
      </c>
      <c r="E15" s="14">
        <v>0</v>
      </c>
      <c r="F15" s="14">
        <v>0</v>
      </c>
      <c r="G15" s="14">
        <v>0</v>
      </c>
      <c r="H15" s="14">
        <v>0</v>
      </c>
      <c r="I15" s="14">
        <f>ROUND(F15+H15,2)</f>
        <v>0</v>
      </c>
      <c r="J15" s="16"/>
      <c r="K15" s="1"/>
    </row>
    <row r="16" spans="1:11" s="4" customFormat="1" x14ac:dyDescent="0.95">
      <c r="A16" s="17"/>
      <c r="B16" s="13" t="s">
        <v>26</v>
      </c>
      <c r="C16" s="18"/>
      <c r="D16" s="19"/>
      <c r="E16" s="18"/>
      <c r="F16" s="18">
        <f>ROUND(SUM(F14,F15),2)</f>
        <v>124800</v>
      </c>
      <c r="G16" s="18"/>
      <c r="H16" s="18">
        <f>ROUND(SUM(H14,H15),2)</f>
        <v>53000</v>
      </c>
      <c r="I16" s="18">
        <f>ROUND(F16+H16,2)</f>
        <v>177800</v>
      </c>
      <c r="J16" s="13"/>
      <c r="K16" s="5"/>
    </row>
    <row r="17" spans="1:11" s="4" customFormat="1" x14ac:dyDescent="0.95">
      <c r="A17" s="17"/>
      <c r="B17" s="13" t="s">
        <v>27</v>
      </c>
      <c r="C17" s="18"/>
      <c r="D17" s="19"/>
      <c r="E17" s="18"/>
      <c r="F17" s="18"/>
      <c r="G17" s="18"/>
      <c r="H17" s="18"/>
      <c r="I17" s="18"/>
      <c r="J17" s="13"/>
      <c r="K17" s="5"/>
    </row>
    <row r="18" spans="1:11" x14ac:dyDescent="0.95">
      <c r="A18" s="12"/>
      <c r="B18" s="16" t="s">
        <v>28</v>
      </c>
      <c r="C18" s="14">
        <v>26.67</v>
      </c>
      <c r="D18" s="15" t="s">
        <v>29</v>
      </c>
      <c r="E18" s="14">
        <v>590</v>
      </c>
      <c r="F18" s="14">
        <v>15733.33</v>
      </c>
      <c r="G18" s="14">
        <v>0</v>
      </c>
      <c r="H18" s="14">
        <v>0</v>
      </c>
      <c r="I18" s="14">
        <f t="shared" ref="I18:I23" si="0">ROUND(F18+H18,2)</f>
        <v>15733.33</v>
      </c>
      <c r="J18" s="16"/>
      <c r="K18" s="1"/>
    </row>
    <row r="19" spans="1:11" x14ac:dyDescent="0.95">
      <c r="A19" s="12"/>
      <c r="B19" s="16" t="s">
        <v>30</v>
      </c>
      <c r="C19" s="14">
        <v>0</v>
      </c>
      <c r="D19" s="15" t="s">
        <v>31</v>
      </c>
      <c r="E19" s="14">
        <v>0</v>
      </c>
      <c r="F19" s="14">
        <v>0</v>
      </c>
      <c r="G19" s="14">
        <v>0</v>
      </c>
      <c r="H19" s="14">
        <v>0</v>
      </c>
      <c r="I19" s="14">
        <f t="shared" si="0"/>
        <v>0</v>
      </c>
      <c r="J19" s="16"/>
      <c r="K19" s="1"/>
    </row>
    <row r="20" spans="1:11" x14ac:dyDescent="0.95">
      <c r="A20" s="12"/>
      <c r="B20" s="16" t="s">
        <v>32</v>
      </c>
      <c r="C20" s="14">
        <v>266.67</v>
      </c>
      <c r="D20" s="15" t="s">
        <v>24</v>
      </c>
      <c r="E20" s="14">
        <v>25</v>
      </c>
      <c r="F20" s="14">
        <v>6666.67</v>
      </c>
      <c r="G20" s="14">
        <v>0</v>
      </c>
      <c r="H20" s="14">
        <v>0</v>
      </c>
      <c r="I20" s="14">
        <f t="shared" si="0"/>
        <v>6666.67</v>
      </c>
      <c r="J20" s="16"/>
      <c r="K20" s="1"/>
    </row>
    <row r="21" spans="1:11" x14ac:dyDescent="0.95">
      <c r="A21" s="12"/>
      <c r="B21" s="16" t="s">
        <v>33</v>
      </c>
      <c r="C21" s="14">
        <v>0</v>
      </c>
      <c r="D21" s="15" t="s">
        <v>34</v>
      </c>
      <c r="E21" s="14">
        <v>0</v>
      </c>
      <c r="F21" s="14">
        <v>0</v>
      </c>
      <c r="G21" s="14">
        <v>0</v>
      </c>
      <c r="H21" s="14">
        <v>0</v>
      </c>
      <c r="I21" s="14">
        <f t="shared" si="0"/>
        <v>0</v>
      </c>
      <c r="J21" s="16"/>
      <c r="K21" s="1"/>
    </row>
    <row r="22" spans="1:11" x14ac:dyDescent="0.95">
      <c r="A22" s="12"/>
      <c r="B22" s="16" t="s">
        <v>35</v>
      </c>
      <c r="C22" s="14">
        <v>0</v>
      </c>
      <c r="D22" s="15" t="s">
        <v>36</v>
      </c>
      <c r="E22" s="14">
        <v>0</v>
      </c>
      <c r="F22" s="14">
        <v>0</v>
      </c>
      <c r="G22" s="14">
        <v>0</v>
      </c>
      <c r="H22" s="14">
        <v>0</v>
      </c>
      <c r="I22" s="14">
        <f t="shared" si="0"/>
        <v>0</v>
      </c>
      <c r="J22" s="16"/>
      <c r="K22" s="1"/>
    </row>
    <row r="23" spans="1:11" s="4" customFormat="1" x14ac:dyDescent="0.95">
      <c r="A23" s="17"/>
      <c r="B23" s="13" t="s">
        <v>37</v>
      </c>
      <c r="C23" s="18"/>
      <c r="D23" s="19"/>
      <c r="E23" s="18"/>
      <c r="F23" s="18">
        <f>ROUND(SUM(F18,F19,F20,F21,F22),2)</f>
        <v>22400</v>
      </c>
      <c r="G23" s="18"/>
      <c r="H23" s="18">
        <f>ROUND(SUM(H18,H19,H20,H21,H22),2)</f>
        <v>0</v>
      </c>
      <c r="I23" s="18">
        <f t="shared" si="0"/>
        <v>22400</v>
      </c>
      <c r="J23" s="13"/>
      <c r="K23" s="5"/>
    </row>
    <row r="24" spans="1:11" s="4" customFormat="1" x14ac:dyDescent="0.95">
      <c r="A24" s="17"/>
      <c r="B24" s="13" t="s">
        <v>38</v>
      </c>
      <c r="C24" s="18"/>
      <c r="D24" s="19"/>
      <c r="E24" s="18"/>
      <c r="F24" s="18"/>
      <c r="G24" s="18"/>
      <c r="H24" s="18"/>
      <c r="I24" s="18"/>
      <c r="J24" s="13"/>
      <c r="K24" s="5"/>
    </row>
    <row r="25" spans="1:11" x14ac:dyDescent="0.95">
      <c r="A25" s="12"/>
      <c r="B25" s="16" t="s">
        <v>39</v>
      </c>
      <c r="C25" s="14">
        <v>20</v>
      </c>
      <c r="D25" s="15" t="s">
        <v>18</v>
      </c>
      <c r="E25" s="14">
        <v>1300</v>
      </c>
      <c r="F25" s="14">
        <v>26000</v>
      </c>
      <c r="G25" s="14">
        <v>173.47</v>
      </c>
      <c r="H25" s="14">
        <v>69388</v>
      </c>
      <c r="I25" s="14">
        <f>ROUND(F25+H25,2)</f>
        <v>95388</v>
      </c>
      <c r="J25" s="16"/>
      <c r="K25" s="1"/>
    </row>
    <row r="26" spans="1:11" x14ac:dyDescent="0.95">
      <c r="A26" s="12"/>
      <c r="B26" s="16" t="s">
        <v>17</v>
      </c>
      <c r="C26" s="14">
        <v>73.33</v>
      </c>
      <c r="D26" s="15" t="s">
        <v>18</v>
      </c>
      <c r="E26" s="14">
        <v>1500</v>
      </c>
      <c r="F26" s="14">
        <v>110000</v>
      </c>
      <c r="G26" s="14">
        <v>0</v>
      </c>
      <c r="H26" s="14">
        <v>0</v>
      </c>
      <c r="I26" s="14">
        <f>ROUND(F26+H26,2)</f>
        <v>110000</v>
      </c>
      <c r="J26" s="16"/>
      <c r="K26" s="1"/>
    </row>
    <row r="27" spans="1:11" x14ac:dyDescent="0.95">
      <c r="A27" s="12"/>
      <c r="B27" s="16" t="s">
        <v>40</v>
      </c>
      <c r="C27" s="14">
        <v>0</v>
      </c>
      <c r="D27" s="15" t="s">
        <v>18</v>
      </c>
      <c r="E27" s="14">
        <v>1600</v>
      </c>
      <c r="F27" s="14">
        <v>0</v>
      </c>
      <c r="G27" s="14">
        <v>0</v>
      </c>
      <c r="H27" s="14">
        <v>9600</v>
      </c>
      <c r="I27" s="14">
        <f>ROUND(F27+H27,2)</f>
        <v>9600</v>
      </c>
      <c r="J27" s="16"/>
      <c r="K27" s="1"/>
    </row>
    <row r="28" spans="1:11" x14ac:dyDescent="0.95">
      <c r="A28" s="12"/>
      <c r="B28" s="16" t="s">
        <v>41</v>
      </c>
      <c r="C28" s="14">
        <v>800</v>
      </c>
      <c r="D28" s="15" t="s">
        <v>36</v>
      </c>
      <c r="E28" s="14">
        <v>74.2</v>
      </c>
      <c r="F28" s="14">
        <v>59360</v>
      </c>
      <c r="G28" s="14">
        <v>0</v>
      </c>
      <c r="H28" s="14">
        <v>890.4</v>
      </c>
      <c r="I28" s="14">
        <f>ROUND(F28+H28,2)</f>
        <v>60250.400000000001</v>
      </c>
      <c r="J28" s="16"/>
      <c r="K28" s="1"/>
    </row>
    <row r="29" spans="1:11" s="4" customFormat="1" x14ac:dyDescent="0.95">
      <c r="A29" s="17"/>
      <c r="B29" s="13" t="s">
        <v>42</v>
      </c>
      <c r="C29" s="18"/>
      <c r="D29" s="19"/>
      <c r="E29" s="18"/>
      <c r="F29" s="18">
        <f>ROUND(SUM(F25,F26,F27,F28),2)</f>
        <v>195360</v>
      </c>
      <c r="G29" s="18"/>
      <c r="H29" s="18">
        <f>ROUND(SUM(H25,H26,H27,H28),2)</f>
        <v>79878.399999999994</v>
      </c>
      <c r="I29" s="18">
        <f>ROUND(F29+H29,2)</f>
        <v>275238.40000000002</v>
      </c>
      <c r="J29" s="13"/>
      <c r="K29" s="5"/>
    </row>
    <row r="30" spans="1:11" s="4" customFormat="1" x14ac:dyDescent="0.95">
      <c r="A30" s="17"/>
      <c r="B30" s="13" t="s">
        <v>43</v>
      </c>
      <c r="C30" s="18"/>
      <c r="D30" s="19"/>
      <c r="E30" s="18"/>
      <c r="F30" s="18"/>
      <c r="G30" s="18"/>
      <c r="H30" s="18"/>
      <c r="I30" s="18"/>
      <c r="J30" s="13"/>
      <c r="K30" s="5"/>
    </row>
    <row r="31" spans="1:11" x14ac:dyDescent="0.95">
      <c r="A31" s="12"/>
      <c r="B31" s="16" t="s">
        <v>44</v>
      </c>
      <c r="C31" s="14">
        <v>0.15</v>
      </c>
      <c r="D31" s="15" t="s">
        <v>45</v>
      </c>
      <c r="E31" s="14">
        <v>64</v>
      </c>
      <c r="F31" s="14">
        <v>4266.67</v>
      </c>
      <c r="G31" s="14">
        <v>0</v>
      </c>
      <c r="H31" s="14">
        <v>0</v>
      </c>
      <c r="I31" s="14">
        <f t="shared" ref="I31:I36" si="1">ROUND(F31+H31,2)</f>
        <v>4266.67</v>
      </c>
      <c r="J31" s="16"/>
      <c r="K31" s="1"/>
    </row>
    <row r="32" spans="1:11" x14ac:dyDescent="0.95">
      <c r="A32" s="12"/>
      <c r="B32" s="16" t="s">
        <v>46</v>
      </c>
      <c r="C32" s="14">
        <v>0.43</v>
      </c>
      <c r="D32" s="15" t="s">
        <v>45</v>
      </c>
      <c r="E32" s="14">
        <v>137</v>
      </c>
      <c r="F32" s="14">
        <v>11873.33</v>
      </c>
      <c r="G32" s="14">
        <v>1</v>
      </c>
      <c r="H32" s="14">
        <v>274</v>
      </c>
      <c r="I32" s="14">
        <f t="shared" si="1"/>
        <v>12147.33</v>
      </c>
      <c r="J32" s="16"/>
      <c r="K32" s="1"/>
    </row>
    <row r="33" spans="1:11" x14ac:dyDescent="0.95">
      <c r="A33" s="12"/>
      <c r="B33" s="16" t="s">
        <v>47</v>
      </c>
      <c r="C33" s="14">
        <v>2.5499999999999998</v>
      </c>
      <c r="D33" s="15" t="s">
        <v>45</v>
      </c>
      <c r="E33" s="14">
        <v>240</v>
      </c>
      <c r="F33" s="14">
        <v>68800</v>
      </c>
      <c r="G33" s="14">
        <v>2</v>
      </c>
      <c r="H33" s="14">
        <v>960</v>
      </c>
      <c r="I33" s="14">
        <f t="shared" si="1"/>
        <v>69760</v>
      </c>
      <c r="J33" s="16"/>
      <c r="K33" s="1"/>
    </row>
    <row r="34" spans="1:11" x14ac:dyDescent="0.95">
      <c r="A34" s="12"/>
      <c r="B34" s="16" t="s">
        <v>48</v>
      </c>
      <c r="C34" s="14">
        <v>0</v>
      </c>
      <c r="D34" s="15" t="s">
        <v>45</v>
      </c>
      <c r="E34" s="14">
        <v>425</v>
      </c>
      <c r="F34" s="14">
        <v>0</v>
      </c>
      <c r="G34" s="14">
        <v>3</v>
      </c>
      <c r="H34" s="14">
        <v>2550</v>
      </c>
      <c r="I34" s="14">
        <f t="shared" si="1"/>
        <v>2550</v>
      </c>
      <c r="J34" s="16"/>
      <c r="K34" s="1"/>
    </row>
    <row r="35" spans="1:11" x14ac:dyDescent="0.95">
      <c r="A35" s="12"/>
      <c r="B35" s="16" t="s">
        <v>49</v>
      </c>
      <c r="C35" s="14">
        <v>0</v>
      </c>
      <c r="D35" s="15" t="s">
        <v>34</v>
      </c>
      <c r="E35" s="14">
        <v>0</v>
      </c>
      <c r="F35" s="14">
        <v>0</v>
      </c>
      <c r="G35" s="14">
        <v>4</v>
      </c>
      <c r="H35" s="14">
        <v>0</v>
      </c>
      <c r="I35" s="14">
        <f t="shared" si="1"/>
        <v>0</v>
      </c>
      <c r="J35" s="16"/>
      <c r="K35" s="1"/>
    </row>
    <row r="36" spans="1:11" s="4" customFormat="1" x14ac:dyDescent="0.95">
      <c r="A36" s="17"/>
      <c r="B36" s="13" t="s">
        <v>50</v>
      </c>
      <c r="C36" s="18"/>
      <c r="D36" s="19"/>
      <c r="E36" s="18"/>
      <c r="F36" s="18">
        <f>ROUND(SUM(F31,F32,F33,F34,F35),2)</f>
        <v>84940</v>
      </c>
      <c r="G36" s="18"/>
      <c r="H36" s="18">
        <f>ROUND(SUM(H31,H32,H33,H34,H35),2)</f>
        <v>3784</v>
      </c>
      <c r="I36" s="18">
        <f t="shared" si="1"/>
        <v>88724</v>
      </c>
      <c r="J36" s="13"/>
      <c r="K36" s="5"/>
    </row>
    <row r="37" spans="1:11" s="4" customFormat="1" x14ac:dyDescent="0.95">
      <c r="A37" s="17"/>
      <c r="B37" s="13" t="s">
        <v>51</v>
      </c>
      <c r="C37" s="18"/>
      <c r="D37" s="19"/>
      <c r="E37" s="18"/>
      <c r="F37" s="18"/>
      <c r="G37" s="18"/>
      <c r="H37" s="18"/>
      <c r="I37" s="18"/>
      <c r="J37" s="13"/>
      <c r="K37" s="5"/>
    </row>
    <row r="38" spans="1:11" x14ac:dyDescent="0.95">
      <c r="A38" s="12"/>
      <c r="B38" s="16" t="s">
        <v>46</v>
      </c>
      <c r="C38" s="14">
        <v>0.4</v>
      </c>
      <c r="D38" s="15" t="s">
        <v>45</v>
      </c>
      <c r="E38" s="14">
        <v>137</v>
      </c>
      <c r="F38" s="14">
        <v>10945.36</v>
      </c>
      <c r="G38" s="14">
        <v>115</v>
      </c>
      <c r="H38" s="14">
        <v>92000</v>
      </c>
      <c r="I38" s="14">
        <f>ROUND(F38+H38,2)</f>
        <v>102945.36</v>
      </c>
      <c r="J38" s="16"/>
      <c r="K38" s="1"/>
    </row>
    <row r="39" spans="1:11" x14ac:dyDescent="0.95">
      <c r="A39" s="12"/>
      <c r="B39" s="16" t="s">
        <v>47</v>
      </c>
      <c r="C39" s="14">
        <v>0.71</v>
      </c>
      <c r="D39" s="15" t="s">
        <v>45</v>
      </c>
      <c r="E39" s="14">
        <v>240</v>
      </c>
      <c r="F39" s="14">
        <v>19099.099999999999</v>
      </c>
      <c r="G39" s="14">
        <v>0</v>
      </c>
      <c r="H39" s="14">
        <v>0</v>
      </c>
      <c r="I39" s="14">
        <f>ROUND(F39+H39,2)</f>
        <v>19099.099999999999</v>
      </c>
      <c r="J39" s="16"/>
      <c r="K39" s="1"/>
    </row>
    <row r="40" spans="1:11" x14ac:dyDescent="0.95">
      <c r="A40" s="12"/>
      <c r="B40" s="16" t="s">
        <v>52</v>
      </c>
      <c r="C40" s="14">
        <v>78.67</v>
      </c>
      <c r="D40" s="15" t="s">
        <v>18</v>
      </c>
      <c r="E40" s="14">
        <v>1600</v>
      </c>
      <c r="F40" s="14">
        <v>125866.67</v>
      </c>
      <c r="G40" s="14">
        <v>1</v>
      </c>
      <c r="H40" s="14">
        <v>3200</v>
      </c>
      <c r="I40" s="14">
        <f>ROUND(F40+H40,2)</f>
        <v>129066.67</v>
      </c>
      <c r="J40" s="16"/>
      <c r="K40" s="1"/>
    </row>
    <row r="41" spans="1:11" x14ac:dyDescent="0.95">
      <c r="A41" s="12"/>
      <c r="B41" s="16" t="s">
        <v>53</v>
      </c>
      <c r="C41" s="14">
        <v>800</v>
      </c>
      <c r="D41" s="15" t="s">
        <v>36</v>
      </c>
      <c r="E41" s="14">
        <v>74.2</v>
      </c>
      <c r="F41" s="14">
        <v>59360</v>
      </c>
      <c r="G41" s="14">
        <v>2</v>
      </c>
      <c r="H41" s="14">
        <v>296.8</v>
      </c>
      <c r="I41" s="14">
        <f>ROUND(F41+H41,2)</f>
        <v>59656.800000000003</v>
      </c>
      <c r="J41" s="16"/>
      <c r="K41" s="1"/>
    </row>
    <row r="42" spans="1:11" s="4" customFormat="1" x14ac:dyDescent="0.95">
      <c r="A42" s="17"/>
      <c r="B42" s="13" t="s">
        <v>54</v>
      </c>
      <c r="C42" s="18"/>
      <c r="D42" s="19"/>
      <c r="E42" s="18"/>
      <c r="F42" s="18">
        <f>ROUND(SUM(F38,F39,F40,F41),2)</f>
        <v>215271.13</v>
      </c>
      <c r="G42" s="18"/>
      <c r="H42" s="18">
        <f>ROUND(SUM(H38,H39,H40,H41),2)</f>
        <v>95496.8</v>
      </c>
      <c r="I42" s="18">
        <f>ROUND(F42+H42,2)</f>
        <v>310767.93</v>
      </c>
      <c r="J42" s="13"/>
      <c r="K42" s="5"/>
    </row>
    <row r="43" spans="1:11" s="4" customFormat="1" x14ac:dyDescent="0.95">
      <c r="A43" s="17"/>
      <c r="B43" s="13" t="s">
        <v>55</v>
      </c>
      <c r="C43" s="18"/>
      <c r="D43" s="19"/>
      <c r="E43" s="18"/>
      <c r="F43" s="18"/>
      <c r="G43" s="18"/>
      <c r="H43" s="18"/>
      <c r="I43" s="18"/>
      <c r="J43" s="13"/>
      <c r="K43" s="5"/>
    </row>
    <row r="44" spans="1:11" x14ac:dyDescent="0.95">
      <c r="A44" s="12"/>
      <c r="B44" s="16" t="s">
        <v>56</v>
      </c>
      <c r="C44" s="14">
        <v>16</v>
      </c>
      <c r="D44" s="15" t="s">
        <v>57</v>
      </c>
      <c r="E44" s="14">
        <v>225</v>
      </c>
      <c r="F44" s="14">
        <v>3600</v>
      </c>
      <c r="G44" s="14">
        <v>0</v>
      </c>
      <c r="H44" s="14">
        <v>0</v>
      </c>
      <c r="I44" s="14">
        <f t="shared" ref="I44:I64" si="2">ROUND(F44+H44,2)</f>
        <v>3600</v>
      </c>
      <c r="J44" s="16"/>
      <c r="K44" s="1"/>
    </row>
    <row r="45" spans="1:11" x14ac:dyDescent="0.95">
      <c r="A45" s="12"/>
      <c r="B45" s="16" t="s">
        <v>58</v>
      </c>
      <c r="C45" s="14">
        <v>97.33</v>
      </c>
      <c r="D45" s="15" t="s">
        <v>57</v>
      </c>
      <c r="E45" s="14">
        <v>500</v>
      </c>
      <c r="F45" s="14">
        <v>48666.67</v>
      </c>
      <c r="G45" s="14">
        <v>0</v>
      </c>
      <c r="H45" s="14">
        <v>0</v>
      </c>
      <c r="I45" s="14">
        <f t="shared" si="2"/>
        <v>48666.67</v>
      </c>
      <c r="J45" s="16"/>
      <c r="K45" s="1"/>
    </row>
    <row r="46" spans="1:11" x14ac:dyDescent="0.95">
      <c r="A46" s="12"/>
      <c r="B46" s="16" t="s">
        <v>59</v>
      </c>
      <c r="C46" s="14">
        <v>61.33</v>
      </c>
      <c r="D46" s="15" t="s">
        <v>57</v>
      </c>
      <c r="E46" s="14">
        <v>650</v>
      </c>
      <c r="F46" s="14">
        <v>39866.67</v>
      </c>
      <c r="G46" s="14">
        <v>0</v>
      </c>
      <c r="H46" s="14">
        <v>0</v>
      </c>
      <c r="I46" s="14">
        <f t="shared" si="2"/>
        <v>39866.67</v>
      </c>
      <c r="J46" s="16"/>
      <c r="K46" s="1"/>
    </row>
    <row r="47" spans="1:11" x14ac:dyDescent="0.95">
      <c r="A47" s="12"/>
      <c r="B47" s="16" t="s">
        <v>60</v>
      </c>
      <c r="C47" s="14">
        <v>37.33</v>
      </c>
      <c r="D47" s="15" t="s">
        <v>57</v>
      </c>
      <c r="E47" s="14">
        <v>740</v>
      </c>
      <c r="F47" s="14">
        <v>27626.67</v>
      </c>
      <c r="G47" s="14">
        <v>0</v>
      </c>
      <c r="H47" s="14">
        <v>0</v>
      </c>
      <c r="I47" s="14">
        <f t="shared" si="2"/>
        <v>27626.67</v>
      </c>
      <c r="J47" s="16"/>
      <c r="K47" s="1"/>
    </row>
    <row r="48" spans="1:11" x14ac:dyDescent="0.95">
      <c r="A48" s="12"/>
      <c r="B48" s="16" t="s">
        <v>61</v>
      </c>
      <c r="C48" s="14">
        <v>2.67</v>
      </c>
      <c r="D48" s="15" t="s">
        <v>57</v>
      </c>
      <c r="E48" s="14">
        <v>1900</v>
      </c>
      <c r="F48" s="14">
        <v>5066.67</v>
      </c>
      <c r="G48" s="14">
        <v>0</v>
      </c>
      <c r="H48" s="14">
        <v>0</v>
      </c>
      <c r="I48" s="14">
        <f t="shared" si="2"/>
        <v>5066.67</v>
      </c>
      <c r="J48" s="16"/>
      <c r="K48" s="1"/>
    </row>
    <row r="49" spans="1:11" x14ac:dyDescent="0.95">
      <c r="A49" s="12"/>
      <c r="B49" s="16" t="s">
        <v>62</v>
      </c>
      <c r="C49" s="14">
        <v>1.33</v>
      </c>
      <c r="D49" s="15" t="s">
        <v>57</v>
      </c>
      <c r="E49" s="14">
        <v>905</v>
      </c>
      <c r="F49" s="14">
        <v>1206.67</v>
      </c>
      <c r="G49" s="14">
        <v>0</v>
      </c>
      <c r="H49" s="14">
        <v>0</v>
      </c>
      <c r="I49" s="14">
        <f t="shared" si="2"/>
        <v>1206.67</v>
      </c>
      <c r="J49" s="16"/>
      <c r="K49" s="1"/>
    </row>
    <row r="50" spans="1:11" x14ac:dyDescent="0.95">
      <c r="A50" s="12"/>
      <c r="B50" s="16" t="s">
        <v>63</v>
      </c>
      <c r="C50" s="14">
        <v>10.67</v>
      </c>
      <c r="D50" s="15" t="s">
        <v>57</v>
      </c>
      <c r="E50" s="14">
        <v>1040</v>
      </c>
      <c r="F50" s="14">
        <v>11093.33</v>
      </c>
      <c r="G50" s="14">
        <v>0</v>
      </c>
      <c r="H50" s="14">
        <v>0</v>
      </c>
      <c r="I50" s="14">
        <f t="shared" si="2"/>
        <v>11093.33</v>
      </c>
      <c r="J50" s="16"/>
      <c r="K50" s="1"/>
    </row>
    <row r="51" spans="1:11" x14ac:dyDescent="0.95">
      <c r="A51" s="12"/>
      <c r="B51" s="16" t="s">
        <v>64</v>
      </c>
      <c r="C51" s="14">
        <v>8</v>
      </c>
      <c r="D51" s="15" t="s">
        <v>29</v>
      </c>
      <c r="E51" s="14">
        <v>109</v>
      </c>
      <c r="F51" s="14">
        <v>872</v>
      </c>
      <c r="G51" s="14">
        <v>0</v>
      </c>
      <c r="H51" s="14">
        <v>0</v>
      </c>
      <c r="I51" s="14">
        <f t="shared" si="2"/>
        <v>872</v>
      </c>
      <c r="J51" s="16"/>
      <c r="K51" s="1"/>
    </row>
    <row r="52" spans="1:11" x14ac:dyDescent="0.95">
      <c r="A52" s="12"/>
      <c r="B52" s="16" t="s">
        <v>65</v>
      </c>
      <c r="C52" s="14">
        <v>18.670000000000002</v>
      </c>
      <c r="D52" s="15" t="s">
        <v>29</v>
      </c>
      <c r="E52" s="14">
        <v>53</v>
      </c>
      <c r="F52" s="14">
        <v>989.33</v>
      </c>
      <c r="G52" s="14">
        <v>0</v>
      </c>
      <c r="H52" s="14">
        <v>0</v>
      </c>
      <c r="I52" s="14">
        <f t="shared" si="2"/>
        <v>989.33</v>
      </c>
      <c r="J52" s="16"/>
      <c r="K52" s="1"/>
    </row>
    <row r="53" spans="1:11" x14ac:dyDescent="0.95">
      <c r="A53" s="12"/>
      <c r="B53" s="16" t="s">
        <v>66</v>
      </c>
      <c r="C53" s="14">
        <v>1.33</v>
      </c>
      <c r="D53" s="15" t="s">
        <v>29</v>
      </c>
      <c r="E53" s="14">
        <v>670</v>
      </c>
      <c r="F53" s="14">
        <v>893.33</v>
      </c>
      <c r="G53" s="14">
        <v>0</v>
      </c>
      <c r="H53" s="14">
        <v>0</v>
      </c>
      <c r="I53" s="14">
        <f t="shared" si="2"/>
        <v>893.33</v>
      </c>
      <c r="J53" s="16"/>
      <c r="K53" s="1"/>
    </row>
    <row r="54" spans="1:11" x14ac:dyDescent="0.95">
      <c r="A54" s="12"/>
      <c r="B54" s="16" t="s">
        <v>67</v>
      </c>
      <c r="C54" s="14">
        <v>1.33</v>
      </c>
      <c r="D54" s="15" t="s">
        <v>68</v>
      </c>
      <c r="E54" s="14">
        <v>1500</v>
      </c>
      <c r="F54" s="14">
        <v>2000</v>
      </c>
      <c r="G54" s="14">
        <v>0</v>
      </c>
      <c r="H54" s="14">
        <v>0</v>
      </c>
      <c r="I54" s="14">
        <f t="shared" si="2"/>
        <v>2000</v>
      </c>
      <c r="J54" s="16"/>
      <c r="K54" s="1"/>
    </row>
    <row r="55" spans="1:11" x14ac:dyDescent="0.95">
      <c r="A55" s="12"/>
      <c r="B55" s="16" t="s">
        <v>69</v>
      </c>
      <c r="C55" s="14">
        <v>8</v>
      </c>
      <c r="D55" s="15" t="s">
        <v>70</v>
      </c>
      <c r="E55" s="14">
        <v>1189</v>
      </c>
      <c r="F55" s="14">
        <v>9512</v>
      </c>
      <c r="G55" s="14">
        <v>0</v>
      </c>
      <c r="H55" s="14">
        <v>0</v>
      </c>
      <c r="I55" s="14">
        <f t="shared" si="2"/>
        <v>9512</v>
      </c>
      <c r="J55" s="16"/>
      <c r="K55" s="1"/>
    </row>
    <row r="56" spans="1:11" x14ac:dyDescent="0.95">
      <c r="A56" s="12"/>
      <c r="B56" s="16" t="s">
        <v>71</v>
      </c>
      <c r="C56" s="14">
        <v>13.33</v>
      </c>
      <c r="D56" s="15" t="s">
        <v>70</v>
      </c>
      <c r="E56" s="14">
        <v>499</v>
      </c>
      <c r="F56" s="14">
        <v>6653.33</v>
      </c>
      <c r="G56" s="14">
        <v>0</v>
      </c>
      <c r="H56" s="14">
        <v>0</v>
      </c>
      <c r="I56" s="14">
        <f t="shared" si="2"/>
        <v>6653.33</v>
      </c>
      <c r="J56" s="16"/>
      <c r="K56" s="1"/>
    </row>
    <row r="57" spans="1:11" x14ac:dyDescent="0.95">
      <c r="A57" s="12"/>
      <c r="B57" s="16" t="s">
        <v>72</v>
      </c>
      <c r="C57" s="14">
        <v>13.33</v>
      </c>
      <c r="D57" s="15" t="s">
        <v>73</v>
      </c>
      <c r="E57" s="14">
        <v>98</v>
      </c>
      <c r="F57" s="14">
        <v>1306.67</v>
      </c>
      <c r="G57" s="14">
        <v>0</v>
      </c>
      <c r="H57" s="14">
        <v>0</v>
      </c>
      <c r="I57" s="14">
        <f t="shared" si="2"/>
        <v>1306.67</v>
      </c>
      <c r="J57" s="16"/>
      <c r="K57" s="1"/>
    </row>
    <row r="58" spans="1:11" x14ac:dyDescent="0.95">
      <c r="A58" s="12"/>
      <c r="B58" s="16" t="s">
        <v>74</v>
      </c>
      <c r="C58" s="14">
        <v>595.24</v>
      </c>
      <c r="D58" s="15" t="s">
        <v>75</v>
      </c>
      <c r="E58" s="14">
        <v>0</v>
      </c>
      <c r="F58" s="14">
        <v>0</v>
      </c>
      <c r="G58" s="14">
        <v>0</v>
      </c>
      <c r="H58" s="14">
        <v>60268.05</v>
      </c>
      <c r="I58" s="14">
        <f t="shared" si="2"/>
        <v>60268.05</v>
      </c>
      <c r="J58" s="16"/>
      <c r="K58" s="1"/>
    </row>
    <row r="59" spans="1:11" x14ac:dyDescent="0.95">
      <c r="A59" s="12"/>
      <c r="B59" s="16" t="s">
        <v>76</v>
      </c>
      <c r="C59" s="14">
        <v>2</v>
      </c>
      <c r="D59" s="15" t="s">
        <v>77</v>
      </c>
      <c r="E59" s="14">
        <v>0</v>
      </c>
      <c r="F59" s="14">
        <v>0</v>
      </c>
      <c r="G59" s="14">
        <v>1000</v>
      </c>
      <c r="H59" s="14">
        <v>2000</v>
      </c>
      <c r="I59" s="14">
        <f t="shared" si="2"/>
        <v>2000</v>
      </c>
      <c r="J59" s="16"/>
      <c r="K59" s="1"/>
    </row>
    <row r="60" spans="1:11" x14ac:dyDescent="0.95">
      <c r="A60" s="12"/>
      <c r="B60" s="16" t="s">
        <v>78</v>
      </c>
      <c r="C60" s="14">
        <v>14.67</v>
      </c>
      <c r="D60" s="15" t="s">
        <v>24</v>
      </c>
      <c r="E60" s="14">
        <v>0</v>
      </c>
      <c r="F60" s="14">
        <v>0</v>
      </c>
      <c r="G60" s="14">
        <v>300</v>
      </c>
      <c r="H60" s="14">
        <v>4400</v>
      </c>
      <c r="I60" s="14">
        <f t="shared" si="2"/>
        <v>4400</v>
      </c>
      <c r="J60" s="16"/>
      <c r="K60" s="1"/>
    </row>
    <row r="61" spans="1:11" x14ac:dyDescent="0.95">
      <c r="A61" s="12"/>
      <c r="B61" s="16" t="s">
        <v>79</v>
      </c>
      <c r="C61" s="14">
        <v>10.67</v>
      </c>
      <c r="D61" s="15" t="s">
        <v>24</v>
      </c>
      <c r="E61" s="14">
        <v>0</v>
      </c>
      <c r="F61" s="14">
        <v>0</v>
      </c>
      <c r="G61" s="14">
        <v>500</v>
      </c>
      <c r="H61" s="14">
        <v>5333.33</v>
      </c>
      <c r="I61" s="14">
        <f t="shared" si="2"/>
        <v>5333.33</v>
      </c>
      <c r="J61" s="16"/>
      <c r="K61" s="1"/>
    </row>
    <row r="62" spans="1:11" x14ac:dyDescent="0.95">
      <c r="A62" s="12"/>
      <c r="B62" s="16" t="s">
        <v>80</v>
      </c>
      <c r="C62" s="14">
        <v>32</v>
      </c>
      <c r="D62" s="15" t="s">
        <v>81</v>
      </c>
      <c r="E62" s="14">
        <v>0</v>
      </c>
      <c r="F62" s="14">
        <v>0</v>
      </c>
      <c r="G62" s="14">
        <v>80</v>
      </c>
      <c r="H62" s="14">
        <v>2560</v>
      </c>
      <c r="I62" s="14">
        <f t="shared" si="2"/>
        <v>2560</v>
      </c>
      <c r="J62" s="16"/>
      <c r="K62" s="1"/>
    </row>
    <row r="63" spans="1:11" s="4" customFormat="1" x14ac:dyDescent="0.95">
      <c r="A63" s="17"/>
      <c r="B63" s="13" t="s">
        <v>82</v>
      </c>
      <c r="C63" s="18"/>
      <c r="D63" s="19"/>
      <c r="E63" s="18"/>
      <c r="F63" s="18">
        <f>ROUND(SUM(F44,F45,F46,F47,F48,F49,F50,F51,F52,F53,F54,F55,F56,F57,F58,F59,F60,F61,F62),2)</f>
        <v>159353.34</v>
      </c>
      <c r="G63" s="18"/>
      <c r="H63" s="18">
        <f>ROUND(SUM(H44,H45,H46,H47,H48,H49,H50,H51,H52,H53,H54,H55,H56,H57,H58,H59,H60,H61,H62),2)</f>
        <v>74561.38</v>
      </c>
      <c r="I63" s="18">
        <f t="shared" si="2"/>
        <v>233914.72</v>
      </c>
      <c r="J63" s="13"/>
      <c r="K63" s="5"/>
    </row>
    <row r="64" spans="1:11" s="4" customFormat="1" x14ac:dyDescent="0.95">
      <c r="A64" s="8">
        <v>1</v>
      </c>
      <c r="B64" s="9" t="s">
        <v>83</v>
      </c>
      <c r="C64" s="10"/>
      <c r="D64" s="11" t="s">
        <v>84</v>
      </c>
      <c r="E64" s="10"/>
      <c r="F64" s="10">
        <f>ROUND(SUM(F8,F9,F10,F11,F14,F15,F18,F19,F20,F21,F22,F25,F26,F27,F28,F31,F32,F33,F34,F35,F38,F39,F40,F41,F44,F45,F46,F47,F48,F49,F50,F51,F52,F53,F54,F55,F56,F57,F58,F59,F60,F61,F62),2)</f>
        <v>865124.47</v>
      </c>
      <c r="G64" s="10"/>
      <c r="H64" s="10">
        <f>ROUND(SUM(H8,H9,H10,H11,H14,H15,H18,H19,H20,H21,H22,H25,H26,H27,H28,H31,H32,H33,H34,H35,H38,H39,H40,H41,H44,H45,H46,H47,H48,H49,H50,H51,H52,H53,H54,H55,H56,H57,H58,H59,H60,H61,H62),2)</f>
        <v>317520.58</v>
      </c>
      <c r="I64" s="10">
        <f t="shared" si="2"/>
        <v>1182645.05</v>
      </c>
      <c r="J64" s="9"/>
      <c r="K64" s="5"/>
    </row>
    <row r="65" spans="1:11" x14ac:dyDescent="0.95">
      <c r="A65" s="25"/>
      <c r="B65" s="26"/>
      <c r="C65" s="26"/>
      <c r="D65" s="26"/>
      <c r="E65" s="26"/>
      <c r="F65" s="26"/>
      <c r="G65" s="26"/>
      <c r="H65" s="26"/>
      <c r="I65" s="26"/>
      <c r="J65" s="27"/>
      <c r="K65" s="1"/>
    </row>
    <row r="66" spans="1:11" s="4" customFormat="1" x14ac:dyDescent="0.95">
      <c r="A66" s="8">
        <v>2</v>
      </c>
      <c r="B66" s="9" t="s">
        <v>85</v>
      </c>
      <c r="C66" s="10"/>
      <c r="D66" s="11"/>
      <c r="E66" s="10"/>
      <c r="F66" s="10"/>
      <c r="G66" s="10"/>
      <c r="H66" s="10"/>
      <c r="I66" s="10"/>
      <c r="J66" s="9"/>
      <c r="K66" s="5"/>
    </row>
    <row r="67" spans="1:11" s="4" customFormat="1" x14ac:dyDescent="0.95">
      <c r="A67" s="17"/>
      <c r="B67" s="13" t="s">
        <v>86</v>
      </c>
      <c r="C67" s="18"/>
      <c r="D67" s="19"/>
      <c r="E67" s="18"/>
      <c r="F67" s="18"/>
      <c r="G67" s="18"/>
      <c r="H67" s="18"/>
      <c r="I67" s="18"/>
      <c r="J67" s="13"/>
      <c r="K67" s="5"/>
    </row>
    <row r="68" spans="1:11" x14ac:dyDescent="0.95">
      <c r="A68" s="12"/>
      <c r="B68" s="16" t="s">
        <v>87</v>
      </c>
      <c r="C68" s="14">
        <v>40</v>
      </c>
      <c r="D68" s="15" t="s">
        <v>57</v>
      </c>
      <c r="E68" s="14">
        <v>1090</v>
      </c>
      <c r="F68" s="14">
        <v>43600</v>
      </c>
      <c r="G68" s="14">
        <v>0</v>
      </c>
      <c r="H68" s="14">
        <v>0</v>
      </c>
      <c r="I68" s="14">
        <f t="shared" ref="I68:I94" si="3">ROUND(F68+H68,2)</f>
        <v>43600</v>
      </c>
      <c r="J68" s="16"/>
      <c r="K68" s="1"/>
    </row>
    <row r="69" spans="1:11" x14ac:dyDescent="0.95">
      <c r="A69" s="12"/>
      <c r="B69" s="16" t="s">
        <v>88</v>
      </c>
      <c r="C69" s="14">
        <v>16</v>
      </c>
      <c r="D69" s="15" t="s">
        <v>57</v>
      </c>
      <c r="E69" s="14">
        <v>510</v>
      </c>
      <c r="F69" s="14">
        <v>8160</v>
      </c>
      <c r="G69" s="14">
        <v>0</v>
      </c>
      <c r="H69" s="14">
        <v>0</v>
      </c>
      <c r="I69" s="14">
        <f t="shared" si="3"/>
        <v>8160</v>
      </c>
      <c r="J69" s="16"/>
      <c r="K69" s="1"/>
    </row>
    <row r="70" spans="1:11" x14ac:dyDescent="0.95">
      <c r="A70" s="12"/>
      <c r="B70" s="16" t="s">
        <v>89</v>
      </c>
      <c r="C70" s="14">
        <v>8</v>
      </c>
      <c r="D70" s="15" t="s">
        <v>57</v>
      </c>
      <c r="E70" s="14">
        <v>234</v>
      </c>
      <c r="F70" s="14">
        <v>1872</v>
      </c>
      <c r="G70" s="14">
        <v>0</v>
      </c>
      <c r="H70" s="14">
        <v>0</v>
      </c>
      <c r="I70" s="14">
        <f t="shared" si="3"/>
        <v>1872</v>
      </c>
      <c r="J70" s="16"/>
      <c r="K70" s="1"/>
    </row>
    <row r="71" spans="1:11" x14ac:dyDescent="0.95">
      <c r="A71" s="12"/>
      <c r="B71" s="16" t="s">
        <v>90</v>
      </c>
      <c r="C71" s="14">
        <v>16</v>
      </c>
      <c r="D71" s="15" t="s">
        <v>57</v>
      </c>
      <c r="E71" s="14">
        <v>144</v>
      </c>
      <c r="F71" s="14">
        <v>2304</v>
      </c>
      <c r="G71" s="14">
        <v>0</v>
      </c>
      <c r="H71" s="14">
        <v>0</v>
      </c>
      <c r="I71" s="14">
        <f t="shared" si="3"/>
        <v>2304</v>
      </c>
      <c r="J71" s="16"/>
      <c r="K71" s="1"/>
    </row>
    <row r="72" spans="1:11" x14ac:dyDescent="0.95">
      <c r="A72" s="12"/>
      <c r="B72" s="16" t="s">
        <v>91</v>
      </c>
      <c r="C72" s="14">
        <v>8</v>
      </c>
      <c r="D72" s="15" t="s">
        <v>57</v>
      </c>
      <c r="E72" s="14">
        <v>53</v>
      </c>
      <c r="F72" s="14">
        <v>424</v>
      </c>
      <c r="G72" s="14">
        <v>0</v>
      </c>
      <c r="H72" s="14">
        <v>0</v>
      </c>
      <c r="I72" s="14">
        <f t="shared" si="3"/>
        <v>424</v>
      </c>
      <c r="J72" s="16"/>
      <c r="K72" s="1"/>
    </row>
    <row r="73" spans="1:11" x14ac:dyDescent="0.95">
      <c r="A73" s="12"/>
      <c r="B73" s="16" t="s">
        <v>92</v>
      </c>
      <c r="C73" s="14">
        <v>8</v>
      </c>
      <c r="D73" s="15" t="s">
        <v>57</v>
      </c>
      <c r="E73" s="14">
        <v>48</v>
      </c>
      <c r="F73" s="14">
        <v>384</v>
      </c>
      <c r="G73" s="14">
        <v>0</v>
      </c>
      <c r="H73" s="14">
        <v>0</v>
      </c>
      <c r="I73" s="14">
        <f t="shared" si="3"/>
        <v>384</v>
      </c>
      <c r="J73" s="16"/>
      <c r="K73" s="1"/>
    </row>
    <row r="74" spans="1:11" x14ac:dyDescent="0.95">
      <c r="A74" s="12"/>
      <c r="B74" s="16" t="s">
        <v>93</v>
      </c>
      <c r="C74" s="14">
        <v>8</v>
      </c>
      <c r="D74" s="15" t="s">
        <v>57</v>
      </c>
      <c r="E74" s="14">
        <v>64</v>
      </c>
      <c r="F74" s="14">
        <v>512</v>
      </c>
      <c r="G74" s="14">
        <v>0</v>
      </c>
      <c r="H74" s="14">
        <v>0</v>
      </c>
      <c r="I74" s="14">
        <f t="shared" si="3"/>
        <v>512</v>
      </c>
      <c r="J74" s="16"/>
      <c r="K74" s="1"/>
    </row>
    <row r="75" spans="1:11" x14ac:dyDescent="0.95">
      <c r="A75" s="12"/>
      <c r="B75" s="16" t="s">
        <v>94</v>
      </c>
      <c r="C75" s="14">
        <v>8</v>
      </c>
      <c r="D75" s="15" t="s">
        <v>95</v>
      </c>
      <c r="E75" s="14">
        <v>84.6</v>
      </c>
      <c r="F75" s="14">
        <v>676.8</v>
      </c>
      <c r="G75" s="14">
        <v>0</v>
      </c>
      <c r="H75" s="14">
        <v>0</v>
      </c>
      <c r="I75" s="14">
        <f t="shared" si="3"/>
        <v>676.8</v>
      </c>
      <c r="J75" s="16"/>
      <c r="K75" s="1"/>
    </row>
    <row r="76" spans="1:11" x14ac:dyDescent="0.95">
      <c r="A76" s="12"/>
      <c r="B76" s="16" t="s">
        <v>96</v>
      </c>
      <c r="C76" s="14">
        <v>24</v>
      </c>
      <c r="D76" s="15" t="s">
        <v>95</v>
      </c>
      <c r="E76" s="14">
        <v>84.6</v>
      </c>
      <c r="F76" s="14">
        <v>2030.4</v>
      </c>
      <c r="G76" s="14">
        <v>0</v>
      </c>
      <c r="H76" s="14">
        <v>0</v>
      </c>
      <c r="I76" s="14">
        <f t="shared" si="3"/>
        <v>2030.4</v>
      </c>
      <c r="J76" s="16"/>
      <c r="K76" s="1"/>
    </row>
    <row r="77" spans="1:11" x14ac:dyDescent="0.95">
      <c r="A77" s="12"/>
      <c r="B77" s="16" t="s">
        <v>97</v>
      </c>
      <c r="C77" s="14">
        <v>32</v>
      </c>
      <c r="D77" s="15" t="s">
        <v>95</v>
      </c>
      <c r="E77" s="14">
        <v>22.8</v>
      </c>
      <c r="F77" s="14">
        <v>729.6</v>
      </c>
      <c r="G77" s="14">
        <v>0</v>
      </c>
      <c r="H77" s="14">
        <v>0</v>
      </c>
      <c r="I77" s="14">
        <f t="shared" si="3"/>
        <v>729.6</v>
      </c>
      <c r="J77" s="16"/>
      <c r="K77" s="1"/>
    </row>
    <row r="78" spans="1:11" x14ac:dyDescent="0.95">
      <c r="A78" s="12"/>
      <c r="B78" s="16" t="s">
        <v>98</v>
      </c>
      <c r="C78" s="14">
        <v>16</v>
      </c>
      <c r="D78" s="15" t="s">
        <v>95</v>
      </c>
      <c r="E78" s="14">
        <v>31.3</v>
      </c>
      <c r="F78" s="14">
        <v>500.8</v>
      </c>
      <c r="G78" s="14">
        <v>0</v>
      </c>
      <c r="H78" s="14">
        <v>0</v>
      </c>
      <c r="I78" s="14">
        <f t="shared" si="3"/>
        <v>500.8</v>
      </c>
      <c r="J78" s="16"/>
      <c r="K78" s="1"/>
    </row>
    <row r="79" spans="1:11" x14ac:dyDescent="0.95">
      <c r="A79" s="12"/>
      <c r="B79" s="16" t="s">
        <v>99</v>
      </c>
      <c r="C79" s="14">
        <v>32</v>
      </c>
      <c r="D79" s="15" t="s">
        <v>95</v>
      </c>
      <c r="E79" s="14">
        <v>13.9</v>
      </c>
      <c r="F79" s="14">
        <v>444.8</v>
      </c>
      <c r="G79" s="14">
        <v>0</v>
      </c>
      <c r="H79" s="14">
        <v>0</v>
      </c>
      <c r="I79" s="14">
        <f t="shared" si="3"/>
        <v>444.8</v>
      </c>
      <c r="J79" s="16"/>
      <c r="K79" s="1"/>
    </row>
    <row r="80" spans="1:11" x14ac:dyDescent="0.95">
      <c r="A80" s="12"/>
      <c r="B80" s="16" t="s">
        <v>100</v>
      </c>
      <c r="C80" s="14">
        <v>8</v>
      </c>
      <c r="D80" s="15" t="s">
        <v>95</v>
      </c>
      <c r="E80" s="14">
        <v>8.0500000000000007</v>
      </c>
      <c r="F80" s="14">
        <v>64.400000000000006</v>
      </c>
      <c r="G80" s="14">
        <v>0</v>
      </c>
      <c r="H80" s="14">
        <v>0</v>
      </c>
      <c r="I80" s="14">
        <f t="shared" si="3"/>
        <v>64.400000000000006</v>
      </c>
      <c r="J80" s="16"/>
      <c r="K80" s="1"/>
    </row>
    <row r="81" spans="1:11" x14ac:dyDescent="0.95">
      <c r="A81" s="12"/>
      <c r="B81" s="16" t="s">
        <v>101</v>
      </c>
      <c r="C81" s="14">
        <v>16</v>
      </c>
      <c r="D81" s="15" t="s">
        <v>95</v>
      </c>
      <c r="E81" s="14">
        <v>18.600000000000001</v>
      </c>
      <c r="F81" s="14">
        <v>297.60000000000002</v>
      </c>
      <c r="G81" s="14">
        <v>0</v>
      </c>
      <c r="H81" s="14">
        <v>0</v>
      </c>
      <c r="I81" s="14">
        <f t="shared" si="3"/>
        <v>297.60000000000002</v>
      </c>
      <c r="J81" s="16"/>
      <c r="K81" s="1"/>
    </row>
    <row r="82" spans="1:11" x14ac:dyDescent="0.95">
      <c r="A82" s="12"/>
      <c r="B82" s="16" t="s">
        <v>102</v>
      </c>
      <c r="C82" s="14">
        <v>8</v>
      </c>
      <c r="D82" s="15" t="s">
        <v>95</v>
      </c>
      <c r="E82" s="14">
        <v>13.8</v>
      </c>
      <c r="F82" s="14">
        <v>110.4</v>
      </c>
      <c r="G82" s="14">
        <v>0</v>
      </c>
      <c r="H82" s="14">
        <v>0</v>
      </c>
      <c r="I82" s="14">
        <f t="shared" si="3"/>
        <v>110.4</v>
      </c>
      <c r="J82" s="16"/>
      <c r="K82" s="1"/>
    </row>
    <row r="83" spans="1:11" x14ac:dyDescent="0.95">
      <c r="A83" s="12"/>
      <c r="B83" s="16" t="s">
        <v>103</v>
      </c>
      <c r="C83" s="14">
        <v>8</v>
      </c>
      <c r="D83" s="15" t="s">
        <v>95</v>
      </c>
      <c r="E83" s="14">
        <v>15</v>
      </c>
      <c r="F83" s="14">
        <v>120</v>
      </c>
      <c r="G83" s="14">
        <v>0</v>
      </c>
      <c r="H83" s="14">
        <v>0</v>
      </c>
      <c r="I83" s="14">
        <f t="shared" si="3"/>
        <v>120</v>
      </c>
      <c r="J83" s="16"/>
      <c r="K83" s="1"/>
    </row>
    <row r="84" spans="1:11" x14ac:dyDescent="0.95">
      <c r="A84" s="12"/>
      <c r="B84" s="16" t="s">
        <v>104</v>
      </c>
      <c r="C84" s="14">
        <v>8</v>
      </c>
      <c r="D84" s="15" t="s">
        <v>95</v>
      </c>
      <c r="E84" s="14">
        <v>13</v>
      </c>
      <c r="F84" s="14">
        <v>104</v>
      </c>
      <c r="G84" s="14">
        <v>0</v>
      </c>
      <c r="H84" s="14">
        <v>0</v>
      </c>
      <c r="I84" s="14">
        <f t="shared" si="3"/>
        <v>104</v>
      </c>
      <c r="J84" s="16"/>
      <c r="K84" s="1"/>
    </row>
    <row r="85" spans="1:11" x14ac:dyDescent="0.95">
      <c r="A85" s="12"/>
      <c r="B85" s="16" t="s">
        <v>105</v>
      </c>
      <c r="C85" s="14">
        <v>8</v>
      </c>
      <c r="D85" s="15" t="s">
        <v>95</v>
      </c>
      <c r="E85" s="14">
        <v>12</v>
      </c>
      <c r="F85" s="14">
        <v>96</v>
      </c>
      <c r="G85" s="14">
        <v>0</v>
      </c>
      <c r="H85" s="14">
        <v>0</v>
      </c>
      <c r="I85" s="14">
        <f t="shared" si="3"/>
        <v>96</v>
      </c>
      <c r="J85" s="16"/>
      <c r="K85" s="1"/>
    </row>
    <row r="86" spans="1:11" x14ac:dyDescent="0.95">
      <c r="A86" s="12"/>
      <c r="B86" s="16" t="s">
        <v>106</v>
      </c>
      <c r="C86" s="14">
        <v>8</v>
      </c>
      <c r="D86" s="15" t="s">
        <v>95</v>
      </c>
      <c r="E86" s="14">
        <v>4.7</v>
      </c>
      <c r="F86" s="14">
        <v>37.6</v>
      </c>
      <c r="G86" s="14">
        <v>0</v>
      </c>
      <c r="H86" s="14">
        <v>0</v>
      </c>
      <c r="I86" s="14">
        <f t="shared" si="3"/>
        <v>37.6</v>
      </c>
      <c r="J86" s="16"/>
      <c r="K86" s="1"/>
    </row>
    <row r="87" spans="1:11" x14ac:dyDescent="0.95">
      <c r="A87" s="12"/>
      <c r="B87" s="16" t="s">
        <v>107</v>
      </c>
      <c r="C87" s="14">
        <v>10</v>
      </c>
      <c r="D87" s="15" t="s">
        <v>108</v>
      </c>
      <c r="E87" s="14">
        <v>434</v>
      </c>
      <c r="F87" s="14">
        <v>4340</v>
      </c>
      <c r="G87" s="14">
        <v>0</v>
      </c>
      <c r="H87" s="14">
        <v>0</v>
      </c>
      <c r="I87" s="14">
        <f t="shared" si="3"/>
        <v>4340</v>
      </c>
      <c r="J87" s="16"/>
      <c r="K87" s="1"/>
    </row>
    <row r="88" spans="1:11" x14ac:dyDescent="0.95">
      <c r="A88" s="12"/>
      <c r="B88" s="16" t="s">
        <v>109</v>
      </c>
      <c r="C88" s="14">
        <v>8</v>
      </c>
      <c r="D88" s="15" t="s">
        <v>70</v>
      </c>
      <c r="E88" s="14">
        <v>3600</v>
      </c>
      <c r="F88" s="14">
        <v>28800</v>
      </c>
      <c r="G88" s="14">
        <v>0</v>
      </c>
      <c r="H88" s="14">
        <v>0</v>
      </c>
      <c r="I88" s="14">
        <f t="shared" si="3"/>
        <v>28800</v>
      </c>
      <c r="J88" s="16"/>
      <c r="K88" s="1"/>
    </row>
    <row r="89" spans="1:11" x14ac:dyDescent="0.95">
      <c r="A89" s="12"/>
      <c r="B89" s="16" t="s">
        <v>110</v>
      </c>
      <c r="C89" s="14">
        <v>2.67</v>
      </c>
      <c r="D89" s="15" t="s">
        <v>111</v>
      </c>
      <c r="E89" s="14">
        <v>600</v>
      </c>
      <c r="F89" s="14">
        <v>1600</v>
      </c>
      <c r="G89" s="14">
        <v>0</v>
      </c>
      <c r="H89" s="14">
        <v>0</v>
      </c>
      <c r="I89" s="14">
        <f t="shared" si="3"/>
        <v>1600</v>
      </c>
      <c r="J89" s="16"/>
      <c r="K89" s="1"/>
    </row>
    <row r="90" spans="1:11" x14ac:dyDescent="0.95">
      <c r="A90" s="12"/>
      <c r="B90" s="16" t="s">
        <v>112</v>
      </c>
      <c r="C90" s="14">
        <v>8</v>
      </c>
      <c r="D90" s="15" t="s">
        <v>70</v>
      </c>
      <c r="E90" s="14">
        <v>1100</v>
      </c>
      <c r="F90" s="14">
        <v>8800</v>
      </c>
      <c r="G90" s="14">
        <v>0</v>
      </c>
      <c r="H90" s="14">
        <v>0</v>
      </c>
      <c r="I90" s="14">
        <f t="shared" si="3"/>
        <v>8800</v>
      </c>
      <c r="J90" s="16"/>
      <c r="K90" s="1"/>
    </row>
    <row r="91" spans="1:11" x14ac:dyDescent="0.95">
      <c r="A91" s="12"/>
      <c r="B91" s="16" t="s">
        <v>113</v>
      </c>
      <c r="C91" s="14">
        <v>4.67</v>
      </c>
      <c r="D91" s="15" t="s">
        <v>111</v>
      </c>
      <c r="E91" s="14">
        <v>160</v>
      </c>
      <c r="F91" s="14">
        <v>746.67</v>
      </c>
      <c r="G91" s="14">
        <v>0</v>
      </c>
      <c r="H91" s="14">
        <v>0</v>
      </c>
      <c r="I91" s="14">
        <f t="shared" si="3"/>
        <v>746.67</v>
      </c>
      <c r="J91" s="16"/>
      <c r="K91" s="1"/>
    </row>
    <row r="92" spans="1:11" x14ac:dyDescent="0.95">
      <c r="A92" s="12"/>
      <c r="B92" s="16" t="s">
        <v>114</v>
      </c>
      <c r="C92" s="14">
        <v>16</v>
      </c>
      <c r="D92" s="15" t="s">
        <v>115</v>
      </c>
      <c r="E92" s="14">
        <v>108</v>
      </c>
      <c r="F92" s="14">
        <v>1728</v>
      </c>
      <c r="G92" s="14">
        <v>0</v>
      </c>
      <c r="H92" s="14">
        <v>0</v>
      </c>
      <c r="I92" s="14">
        <f t="shared" si="3"/>
        <v>1728</v>
      </c>
      <c r="J92" s="16"/>
      <c r="K92" s="1"/>
    </row>
    <row r="93" spans="1:11" x14ac:dyDescent="0.95">
      <c r="A93" s="12"/>
      <c r="B93" s="16" t="s">
        <v>116</v>
      </c>
      <c r="C93" s="14">
        <v>16</v>
      </c>
      <c r="D93" s="15" t="s">
        <v>117</v>
      </c>
      <c r="E93" s="14">
        <v>42</v>
      </c>
      <c r="F93" s="14">
        <v>672</v>
      </c>
      <c r="G93" s="14">
        <v>0</v>
      </c>
      <c r="H93" s="14">
        <v>0</v>
      </c>
      <c r="I93" s="14">
        <f t="shared" si="3"/>
        <v>672</v>
      </c>
      <c r="J93" s="16"/>
      <c r="K93" s="1"/>
    </row>
    <row r="94" spans="1:11" s="4" customFormat="1" x14ac:dyDescent="0.95">
      <c r="A94" s="17"/>
      <c r="B94" s="13" t="s">
        <v>118</v>
      </c>
      <c r="C94" s="18"/>
      <c r="D94" s="19"/>
      <c r="E94" s="18"/>
      <c r="F94" s="18">
        <f>ROUND(SUM(F68,F69,F70,F71,F72,F73,F74,F75,F76,F77,F78,F79,F80,F81,F82,F83,F84,F85,F86,F87,F88,F89,F90,F91,F92,F93),2)</f>
        <v>109155.07</v>
      </c>
      <c r="G94" s="18"/>
      <c r="H94" s="18">
        <f>ROUND(SUM(H68,H69,H70,H71,H72,H73,H74,H75,H76,H77,H78,H79,H80,H81,H82,H83,H84,H85,H86,H87,H88,H89,H90,H91,H92,H93),2)</f>
        <v>0</v>
      </c>
      <c r="I94" s="18">
        <f t="shared" si="3"/>
        <v>109155.07</v>
      </c>
      <c r="J94" s="13"/>
      <c r="K94" s="5"/>
    </row>
    <row r="95" spans="1:11" s="4" customFormat="1" x14ac:dyDescent="0.95">
      <c r="A95" s="17"/>
      <c r="B95" s="13" t="s">
        <v>119</v>
      </c>
      <c r="C95" s="18"/>
      <c r="D95" s="19"/>
      <c r="E95" s="18"/>
      <c r="F95" s="18"/>
      <c r="G95" s="18"/>
      <c r="H95" s="18"/>
      <c r="I95" s="18"/>
      <c r="J95" s="13"/>
      <c r="K95" s="5"/>
    </row>
    <row r="96" spans="1:11" x14ac:dyDescent="0.95">
      <c r="A96" s="12"/>
      <c r="B96" s="16" t="s">
        <v>120</v>
      </c>
      <c r="C96" s="14">
        <v>8</v>
      </c>
      <c r="D96" s="15" t="s">
        <v>121</v>
      </c>
      <c r="E96" s="14">
        <v>109</v>
      </c>
      <c r="F96" s="14">
        <v>872</v>
      </c>
      <c r="G96" s="14">
        <v>6000</v>
      </c>
      <c r="H96" s="14">
        <v>48000</v>
      </c>
      <c r="I96" s="14">
        <f>ROUND(F96+H96,2)</f>
        <v>48872</v>
      </c>
      <c r="J96" s="16"/>
      <c r="K96" s="1"/>
    </row>
    <row r="97" spans="1:11" x14ac:dyDescent="0.95">
      <c r="A97" s="12"/>
      <c r="B97" s="16" t="s">
        <v>122</v>
      </c>
      <c r="C97" s="14">
        <v>26.67</v>
      </c>
      <c r="D97" s="15" t="s">
        <v>121</v>
      </c>
      <c r="E97" s="14">
        <v>75</v>
      </c>
      <c r="F97" s="14">
        <v>2000</v>
      </c>
      <c r="G97" s="14">
        <v>0</v>
      </c>
      <c r="H97" s="14">
        <v>0</v>
      </c>
      <c r="I97" s="14">
        <f>ROUND(F97+H97,2)</f>
        <v>2000</v>
      </c>
      <c r="J97" s="16"/>
      <c r="K97" s="1"/>
    </row>
    <row r="98" spans="1:11" s="4" customFormat="1" x14ac:dyDescent="0.95">
      <c r="A98" s="17"/>
      <c r="B98" s="13" t="s">
        <v>123</v>
      </c>
      <c r="C98" s="18"/>
      <c r="D98" s="19"/>
      <c r="E98" s="18"/>
      <c r="F98" s="18">
        <f>ROUND(SUM(F96,F97),2)</f>
        <v>2872</v>
      </c>
      <c r="G98" s="18"/>
      <c r="H98" s="18">
        <f>ROUND(SUM(H96,H97),2)</f>
        <v>48000</v>
      </c>
      <c r="I98" s="18">
        <f>ROUND(F98+H98,2)</f>
        <v>50872</v>
      </c>
      <c r="J98" s="13"/>
      <c r="K98" s="5"/>
    </row>
    <row r="99" spans="1:11" s="4" customFormat="1" x14ac:dyDescent="0.95">
      <c r="A99" s="17"/>
      <c r="B99" s="13" t="s">
        <v>124</v>
      </c>
      <c r="C99" s="18"/>
      <c r="D99" s="19"/>
      <c r="E99" s="18"/>
      <c r="F99" s="18"/>
      <c r="G99" s="18"/>
      <c r="H99" s="18"/>
      <c r="I99" s="18"/>
      <c r="J99" s="13"/>
      <c r="K99" s="5"/>
    </row>
    <row r="100" spans="1:11" x14ac:dyDescent="0.95">
      <c r="A100" s="12"/>
      <c r="B100" s="16" t="s">
        <v>125</v>
      </c>
      <c r="C100" s="14">
        <v>700</v>
      </c>
      <c r="D100" s="15" t="s">
        <v>126</v>
      </c>
      <c r="E100" s="14">
        <v>5.5</v>
      </c>
      <c r="F100" s="14">
        <v>3850</v>
      </c>
      <c r="G100" s="14">
        <v>0</v>
      </c>
      <c r="H100" s="14">
        <v>0</v>
      </c>
      <c r="I100" s="14">
        <f t="shared" ref="I100:I109" si="4">ROUND(F100+H100,2)</f>
        <v>3850</v>
      </c>
      <c r="J100" s="16"/>
      <c r="K100" s="1"/>
    </row>
    <row r="101" spans="1:11" x14ac:dyDescent="0.95">
      <c r="A101" s="12"/>
      <c r="B101" s="16" t="s">
        <v>127</v>
      </c>
      <c r="C101" s="14">
        <v>2.67</v>
      </c>
      <c r="D101" s="15" t="s">
        <v>128</v>
      </c>
      <c r="E101" s="14">
        <v>500</v>
      </c>
      <c r="F101" s="14">
        <v>1333.33</v>
      </c>
      <c r="G101" s="14">
        <v>0</v>
      </c>
      <c r="H101" s="14">
        <v>0</v>
      </c>
      <c r="I101" s="14">
        <f t="shared" si="4"/>
        <v>1333.33</v>
      </c>
      <c r="J101" s="16"/>
      <c r="K101" s="1"/>
    </row>
    <row r="102" spans="1:11" x14ac:dyDescent="0.95">
      <c r="A102" s="12"/>
      <c r="B102" s="16" t="s">
        <v>129</v>
      </c>
      <c r="C102" s="14">
        <v>2.67</v>
      </c>
      <c r="D102" s="15" t="s">
        <v>128</v>
      </c>
      <c r="E102" s="14">
        <v>400</v>
      </c>
      <c r="F102" s="14">
        <v>1066.67</v>
      </c>
      <c r="G102" s="14">
        <v>0</v>
      </c>
      <c r="H102" s="14">
        <v>0</v>
      </c>
      <c r="I102" s="14">
        <f t="shared" si="4"/>
        <v>1066.67</v>
      </c>
      <c r="J102" s="16"/>
      <c r="K102" s="1"/>
    </row>
    <row r="103" spans="1:11" x14ac:dyDescent="0.95">
      <c r="A103" s="12"/>
      <c r="B103" s="16" t="s">
        <v>130</v>
      </c>
      <c r="C103" s="14">
        <v>26.67</v>
      </c>
      <c r="D103" s="15" t="s">
        <v>121</v>
      </c>
      <c r="E103" s="14">
        <v>92</v>
      </c>
      <c r="F103" s="14">
        <v>2453.33</v>
      </c>
      <c r="G103" s="14">
        <v>0</v>
      </c>
      <c r="H103" s="14">
        <v>0</v>
      </c>
      <c r="I103" s="14">
        <f t="shared" si="4"/>
        <v>2453.33</v>
      </c>
      <c r="J103" s="16"/>
      <c r="K103" s="1"/>
    </row>
    <row r="104" spans="1:11" x14ac:dyDescent="0.95">
      <c r="A104" s="12"/>
      <c r="B104" s="16" t="s">
        <v>131</v>
      </c>
      <c r="C104" s="14">
        <v>80</v>
      </c>
      <c r="D104" s="15" t="s">
        <v>121</v>
      </c>
      <c r="E104" s="14">
        <v>61</v>
      </c>
      <c r="F104" s="14">
        <v>4880</v>
      </c>
      <c r="G104" s="14">
        <v>0</v>
      </c>
      <c r="H104" s="14">
        <v>0</v>
      </c>
      <c r="I104" s="14">
        <f t="shared" si="4"/>
        <v>4880</v>
      </c>
      <c r="J104" s="16"/>
      <c r="K104" s="1"/>
    </row>
    <row r="105" spans="1:11" x14ac:dyDescent="0.95">
      <c r="A105" s="12"/>
      <c r="B105" s="16" t="s">
        <v>132</v>
      </c>
      <c r="C105" s="14">
        <v>13.33</v>
      </c>
      <c r="D105" s="15" t="s">
        <v>57</v>
      </c>
      <c r="E105" s="14">
        <v>110</v>
      </c>
      <c r="F105" s="14">
        <v>1466.67</v>
      </c>
      <c r="G105" s="14">
        <v>0</v>
      </c>
      <c r="H105" s="14">
        <v>0</v>
      </c>
      <c r="I105" s="14">
        <f t="shared" si="4"/>
        <v>1466.67</v>
      </c>
      <c r="J105" s="16"/>
      <c r="K105" s="1"/>
    </row>
    <row r="106" spans="1:11" x14ac:dyDescent="0.95">
      <c r="A106" s="12"/>
      <c r="B106" s="16" t="s">
        <v>44</v>
      </c>
      <c r="C106" s="14">
        <v>13.33</v>
      </c>
      <c r="D106" s="15" t="s">
        <v>57</v>
      </c>
      <c r="E106" s="14">
        <v>64</v>
      </c>
      <c r="F106" s="14">
        <v>853.33</v>
      </c>
      <c r="G106" s="14">
        <v>0</v>
      </c>
      <c r="H106" s="14">
        <v>0</v>
      </c>
      <c r="I106" s="14">
        <f t="shared" si="4"/>
        <v>853.33</v>
      </c>
      <c r="J106" s="16"/>
      <c r="K106" s="1"/>
    </row>
    <row r="107" spans="1:11" x14ac:dyDescent="0.95">
      <c r="A107" s="12"/>
      <c r="B107" s="16" t="s">
        <v>133</v>
      </c>
      <c r="C107" s="14">
        <v>1.33</v>
      </c>
      <c r="D107" s="15" t="s">
        <v>111</v>
      </c>
      <c r="E107" s="14">
        <v>0</v>
      </c>
      <c r="F107" s="14">
        <v>0</v>
      </c>
      <c r="G107" s="14">
        <v>0</v>
      </c>
      <c r="H107" s="14">
        <v>0</v>
      </c>
      <c r="I107" s="14">
        <f t="shared" si="4"/>
        <v>0</v>
      </c>
      <c r="J107" s="16"/>
      <c r="K107" s="1"/>
    </row>
    <row r="108" spans="1:11" x14ac:dyDescent="0.95">
      <c r="A108" s="12"/>
      <c r="B108" s="16" t="s">
        <v>134</v>
      </c>
      <c r="C108" s="14">
        <v>8</v>
      </c>
      <c r="D108" s="15" t="s">
        <v>77</v>
      </c>
      <c r="E108" s="14">
        <v>0</v>
      </c>
      <c r="F108" s="14">
        <v>0</v>
      </c>
      <c r="G108" s="14">
        <v>1012</v>
      </c>
      <c r="H108" s="14">
        <v>56672</v>
      </c>
      <c r="I108" s="14">
        <f t="shared" si="4"/>
        <v>56672</v>
      </c>
      <c r="J108" s="16"/>
      <c r="K108" s="1"/>
    </row>
    <row r="109" spans="1:11" s="4" customFormat="1" x14ac:dyDescent="0.95">
      <c r="A109" s="17"/>
      <c r="B109" s="13" t="s">
        <v>135</v>
      </c>
      <c r="C109" s="18"/>
      <c r="D109" s="19"/>
      <c r="E109" s="18"/>
      <c r="F109" s="18">
        <f>ROUND(SUM(F100,F101,F102,F103,F104,F105,F106,F107,F108),2)</f>
        <v>15903.33</v>
      </c>
      <c r="G109" s="18"/>
      <c r="H109" s="18">
        <f>ROUND(SUM(H100,H101,H102,H103,H104,H105,H106,H107,H108),2)</f>
        <v>56672</v>
      </c>
      <c r="I109" s="18">
        <f t="shared" si="4"/>
        <v>72575.33</v>
      </c>
      <c r="J109" s="13"/>
      <c r="K109" s="5"/>
    </row>
    <row r="110" spans="1:11" s="4" customFormat="1" x14ac:dyDescent="0.95">
      <c r="A110" s="17"/>
      <c r="B110" s="13" t="s">
        <v>136</v>
      </c>
      <c r="C110" s="18"/>
      <c r="D110" s="19"/>
      <c r="E110" s="18"/>
      <c r="F110" s="18"/>
      <c r="G110" s="18"/>
      <c r="H110" s="18"/>
      <c r="I110" s="18"/>
      <c r="J110" s="13"/>
      <c r="K110" s="5"/>
    </row>
    <row r="111" spans="1:11" x14ac:dyDescent="0.95">
      <c r="A111" s="12"/>
      <c r="B111" s="16" t="s">
        <v>137</v>
      </c>
      <c r="C111" s="14">
        <v>192</v>
      </c>
      <c r="D111" s="15" t="s">
        <v>36</v>
      </c>
      <c r="E111" s="14">
        <v>45</v>
      </c>
      <c r="F111" s="14">
        <v>8640</v>
      </c>
      <c r="G111" s="14">
        <v>80</v>
      </c>
      <c r="H111" s="14">
        <v>15360</v>
      </c>
      <c r="I111" s="14">
        <f>ROUND(F111+H111,2)</f>
        <v>24000</v>
      </c>
      <c r="J111" s="16"/>
      <c r="K111" s="1"/>
    </row>
    <row r="112" spans="1:11" x14ac:dyDescent="0.95">
      <c r="A112" s="12"/>
      <c r="B112" s="16" t="s">
        <v>17</v>
      </c>
      <c r="C112" s="14">
        <v>22.67</v>
      </c>
      <c r="D112" s="15" t="s">
        <v>18</v>
      </c>
      <c r="E112" s="14">
        <v>1500</v>
      </c>
      <c r="F112" s="14">
        <v>34000</v>
      </c>
      <c r="G112" s="14">
        <v>0</v>
      </c>
      <c r="H112" s="14">
        <v>0</v>
      </c>
      <c r="I112" s="14">
        <f>ROUND(F112+H112,2)</f>
        <v>34000</v>
      </c>
      <c r="J112" s="16"/>
      <c r="K112" s="1"/>
    </row>
    <row r="113" spans="1:11" s="4" customFormat="1" x14ac:dyDescent="0.95">
      <c r="A113" s="17"/>
      <c r="B113" s="13" t="s">
        <v>138</v>
      </c>
      <c r="C113" s="18"/>
      <c r="D113" s="19"/>
      <c r="E113" s="18"/>
      <c r="F113" s="18">
        <f>ROUND(SUM(F111,F112),2)</f>
        <v>42640</v>
      </c>
      <c r="G113" s="18"/>
      <c r="H113" s="18">
        <f>ROUND(SUM(H111,H112),2)</f>
        <v>15360</v>
      </c>
      <c r="I113" s="18">
        <f>ROUND(F113+H113,2)</f>
        <v>58000</v>
      </c>
      <c r="J113" s="13"/>
      <c r="K113" s="5"/>
    </row>
    <row r="114" spans="1:11" s="4" customFormat="1" x14ac:dyDescent="0.95">
      <c r="A114" s="17"/>
      <c r="B114" s="13" t="s">
        <v>139</v>
      </c>
      <c r="C114" s="18"/>
      <c r="D114" s="19"/>
      <c r="E114" s="18"/>
      <c r="F114" s="18"/>
      <c r="G114" s="18"/>
      <c r="H114" s="18"/>
      <c r="I114" s="18"/>
      <c r="J114" s="13"/>
      <c r="K114" s="5"/>
    </row>
    <row r="115" spans="1:11" x14ac:dyDescent="0.95">
      <c r="A115" s="12"/>
      <c r="B115" s="16" t="s">
        <v>46</v>
      </c>
      <c r="C115" s="14">
        <v>7.0000000000000007E-2</v>
      </c>
      <c r="D115" s="15" t="s">
        <v>45</v>
      </c>
      <c r="E115" s="14">
        <v>137</v>
      </c>
      <c r="F115" s="14">
        <v>1830.33</v>
      </c>
      <c r="G115" s="14">
        <v>0</v>
      </c>
      <c r="H115" s="14">
        <v>0</v>
      </c>
      <c r="I115" s="14">
        <f t="shared" ref="I115:I120" si="5">ROUND(F115+H115,2)</f>
        <v>1830.33</v>
      </c>
      <c r="J115" s="16"/>
      <c r="K115" s="1"/>
    </row>
    <row r="116" spans="1:11" x14ac:dyDescent="0.95">
      <c r="A116" s="12"/>
      <c r="B116" s="16" t="s">
        <v>47</v>
      </c>
      <c r="C116" s="14">
        <v>0.05</v>
      </c>
      <c r="D116" s="15" t="s">
        <v>45</v>
      </c>
      <c r="E116" s="14">
        <v>240</v>
      </c>
      <c r="F116" s="14">
        <v>1441.44</v>
      </c>
      <c r="G116" s="14">
        <v>1</v>
      </c>
      <c r="H116" s="14">
        <v>6.01</v>
      </c>
      <c r="I116" s="14">
        <f t="shared" si="5"/>
        <v>1447.45</v>
      </c>
      <c r="J116" s="16"/>
      <c r="K116" s="1"/>
    </row>
    <row r="117" spans="1:11" x14ac:dyDescent="0.95">
      <c r="A117" s="12"/>
      <c r="B117" s="16" t="s">
        <v>52</v>
      </c>
      <c r="C117" s="14">
        <v>17.329999999999998</v>
      </c>
      <c r="D117" s="15" t="s">
        <v>18</v>
      </c>
      <c r="E117" s="14">
        <v>1600</v>
      </c>
      <c r="F117" s="14">
        <v>27733.33</v>
      </c>
      <c r="G117" s="14">
        <v>2</v>
      </c>
      <c r="H117" s="14">
        <v>8.67</v>
      </c>
      <c r="I117" s="14">
        <f t="shared" si="5"/>
        <v>27742</v>
      </c>
      <c r="J117" s="16"/>
      <c r="K117" s="1"/>
    </row>
    <row r="118" spans="1:11" x14ac:dyDescent="0.95">
      <c r="A118" s="12"/>
      <c r="B118" s="16" t="s">
        <v>53</v>
      </c>
      <c r="C118" s="14">
        <v>173.33</v>
      </c>
      <c r="D118" s="15" t="s">
        <v>36</v>
      </c>
      <c r="E118" s="14">
        <v>74.2</v>
      </c>
      <c r="F118" s="14">
        <v>12861.33</v>
      </c>
      <c r="G118" s="14">
        <v>3</v>
      </c>
      <c r="H118" s="14">
        <v>130</v>
      </c>
      <c r="I118" s="14">
        <f t="shared" si="5"/>
        <v>12991.33</v>
      </c>
      <c r="J118" s="16"/>
      <c r="K118" s="1"/>
    </row>
    <row r="119" spans="1:11" x14ac:dyDescent="0.95">
      <c r="A119" s="12"/>
      <c r="B119" s="16" t="s">
        <v>140</v>
      </c>
      <c r="C119" s="14">
        <v>8</v>
      </c>
      <c r="D119" s="15" t="s">
        <v>77</v>
      </c>
      <c r="E119" s="14">
        <v>0</v>
      </c>
      <c r="F119" s="14">
        <v>0</v>
      </c>
      <c r="G119" s="14">
        <v>2500</v>
      </c>
      <c r="H119" s="14">
        <v>20000</v>
      </c>
      <c r="I119" s="14">
        <f t="shared" si="5"/>
        <v>20000</v>
      </c>
      <c r="J119" s="16"/>
      <c r="K119" s="1"/>
    </row>
    <row r="120" spans="1:11" s="4" customFormat="1" x14ac:dyDescent="0.95">
      <c r="A120" s="17"/>
      <c r="B120" s="13" t="s">
        <v>141</v>
      </c>
      <c r="C120" s="18"/>
      <c r="D120" s="19"/>
      <c r="E120" s="18"/>
      <c r="F120" s="18">
        <f>ROUND(SUM(F115,F116,F117,F118,F119),2)</f>
        <v>43866.43</v>
      </c>
      <c r="G120" s="18">
        <f>SUM(G115:G119)</f>
        <v>2506</v>
      </c>
      <c r="H120" s="18">
        <f>ROUND(SUM(H115,H116,H117,H118,H119),2)</f>
        <v>20144.68</v>
      </c>
      <c r="I120" s="18">
        <f t="shared" si="5"/>
        <v>64011.11</v>
      </c>
      <c r="J120" s="13"/>
      <c r="K120" s="5"/>
    </row>
    <row r="121" spans="1:11" s="4" customFormat="1" x14ac:dyDescent="0.95">
      <c r="A121" s="17"/>
      <c r="B121" s="13" t="s">
        <v>142</v>
      </c>
      <c r="C121" s="18"/>
      <c r="D121" s="19"/>
      <c r="E121" s="18"/>
      <c r="F121" s="18"/>
      <c r="G121" s="18"/>
      <c r="H121" s="18"/>
      <c r="I121" s="18"/>
      <c r="J121" s="13"/>
      <c r="K121" s="5"/>
    </row>
    <row r="122" spans="1:11" x14ac:dyDescent="0.95">
      <c r="A122" s="12"/>
      <c r="B122" s="16" t="s">
        <v>143</v>
      </c>
      <c r="C122" s="14">
        <v>832</v>
      </c>
      <c r="D122" s="15" t="s">
        <v>29</v>
      </c>
      <c r="E122" s="14">
        <v>67</v>
      </c>
      <c r="F122" s="14">
        <v>55744</v>
      </c>
      <c r="G122" s="14">
        <v>0</v>
      </c>
      <c r="H122" s="14">
        <v>0</v>
      </c>
      <c r="I122" s="14">
        <f t="shared" ref="I122:I135" si="6">ROUND(F122+H122,2)</f>
        <v>55744</v>
      </c>
      <c r="J122" s="16"/>
      <c r="K122" s="1"/>
    </row>
    <row r="123" spans="1:11" x14ac:dyDescent="0.95">
      <c r="A123" s="12"/>
      <c r="B123" s="16" t="s">
        <v>144</v>
      </c>
      <c r="C123" s="14">
        <v>208</v>
      </c>
      <c r="D123" s="15" t="s">
        <v>29</v>
      </c>
      <c r="E123" s="14">
        <v>82</v>
      </c>
      <c r="F123" s="14">
        <v>17056</v>
      </c>
      <c r="G123" s="14">
        <v>0</v>
      </c>
      <c r="H123" s="14">
        <v>0</v>
      </c>
      <c r="I123" s="14">
        <f t="shared" si="6"/>
        <v>17056</v>
      </c>
      <c r="J123" s="16"/>
      <c r="K123" s="1"/>
    </row>
    <row r="124" spans="1:11" x14ac:dyDescent="0.95">
      <c r="A124" s="12"/>
      <c r="B124" s="16" t="s">
        <v>145</v>
      </c>
      <c r="C124" s="14">
        <v>20</v>
      </c>
      <c r="D124" s="15" t="s">
        <v>146</v>
      </c>
      <c r="E124" s="14">
        <v>870</v>
      </c>
      <c r="F124" s="14">
        <v>17400</v>
      </c>
      <c r="G124" s="14">
        <v>0</v>
      </c>
      <c r="H124" s="14">
        <v>0</v>
      </c>
      <c r="I124" s="14">
        <f t="shared" si="6"/>
        <v>17400</v>
      </c>
      <c r="J124" s="16"/>
      <c r="K124" s="1"/>
    </row>
    <row r="125" spans="1:11" x14ac:dyDescent="0.95">
      <c r="A125" s="12"/>
      <c r="B125" s="16" t="s">
        <v>147</v>
      </c>
      <c r="C125" s="14">
        <v>8</v>
      </c>
      <c r="D125" s="15" t="s">
        <v>29</v>
      </c>
      <c r="E125" s="14">
        <v>53</v>
      </c>
      <c r="F125" s="14">
        <v>424</v>
      </c>
      <c r="G125" s="14">
        <v>0</v>
      </c>
      <c r="H125" s="14">
        <v>0</v>
      </c>
      <c r="I125" s="14">
        <f t="shared" si="6"/>
        <v>424</v>
      </c>
      <c r="J125" s="16"/>
      <c r="K125" s="1"/>
    </row>
    <row r="126" spans="1:11" x14ac:dyDescent="0.95">
      <c r="A126" s="12"/>
      <c r="B126" s="16" t="s">
        <v>148</v>
      </c>
      <c r="C126" s="14">
        <v>16</v>
      </c>
      <c r="D126" s="15" t="s">
        <v>29</v>
      </c>
      <c r="E126" s="14">
        <v>63</v>
      </c>
      <c r="F126" s="14">
        <v>1008</v>
      </c>
      <c r="G126" s="14">
        <v>0</v>
      </c>
      <c r="H126" s="14">
        <v>0</v>
      </c>
      <c r="I126" s="14">
        <f t="shared" si="6"/>
        <v>1008</v>
      </c>
      <c r="J126" s="16"/>
      <c r="K126" s="1"/>
    </row>
    <row r="127" spans="1:11" x14ac:dyDescent="0.95">
      <c r="A127" s="12"/>
      <c r="B127" s="16" t="s">
        <v>149</v>
      </c>
      <c r="C127" s="14">
        <v>32</v>
      </c>
      <c r="D127" s="15" t="s">
        <v>29</v>
      </c>
      <c r="E127" s="14">
        <v>137</v>
      </c>
      <c r="F127" s="14">
        <v>4384</v>
      </c>
      <c r="G127" s="14">
        <v>0</v>
      </c>
      <c r="H127" s="14">
        <v>0</v>
      </c>
      <c r="I127" s="14">
        <f t="shared" si="6"/>
        <v>4384</v>
      </c>
      <c r="J127" s="16"/>
      <c r="K127" s="1"/>
    </row>
    <row r="128" spans="1:11" x14ac:dyDescent="0.95">
      <c r="A128" s="12"/>
      <c r="B128" s="16" t="s">
        <v>150</v>
      </c>
      <c r="C128" s="14">
        <v>141.33000000000001</v>
      </c>
      <c r="D128" s="15" t="s">
        <v>29</v>
      </c>
      <c r="E128" s="14">
        <v>39</v>
      </c>
      <c r="F128" s="14">
        <v>5512</v>
      </c>
      <c r="G128" s="14">
        <v>0</v>
      </c>
      <c r="H128" s="14">
        <v>0</v>
      </c>
      <c r="I128" s="14">
        <f t="shared" si="6"/>
        <v>5512</v>
      </c>
      <c r="J128" s="16"/>
      <c r="K128" s="1"/>
    </row>
    <row r="129" spans="1:11" x14ac:dyDescent="0.95">
      <c r="A129" s="12"/>
      <c r="B129" s="16" t="s">
        <v>151</v>
      </c>
      <c r="C129" s="14">
        <v>88</v>
      </c>
      <c r="D129" s="15" t="s">
        <v>29</v>
      </c>
      <c r="E129" s="14">
        <v>39</v>
      </c>
      <c r="F129" s="14">
        <v>3432</v>
      </c>
      <c r="G129" s="14">
        <v>0</v>
      </c>
      <c r="H129" s="14">
        <v>0</v>
      </c>
      <c r="I129" s="14">
        <f t="shared" si="6"/>
        <v>3432</v>
      </c>
      <c r="J129" s="16"/>
      <c r="K129" s="1"/>
    </row>
    <row r="130" spans="1:11" x14ac:dyDescent="0.95">
      <c r="A130" s="12"/>
      <c r="B130" s="16" t="s">
        <v>152</v>
      </c>
      <c r="C130" s="14">
        <v>2</v>
      </c>
      <c r="D130" s="15" t="s">
        <v>29</v>
      </c>
      <c r="E130" s="14">
        <v>52</v>
      </c>
      <c r="F130" s="14">
        <v>104</v>
      </c>
      <c r="G130" s="14">
        <v>0</v>
      </c>
      <c r="H130" s="14">
        <v>0</v>
      </c>
      <c r="I130" s="14">
        <f t="shared" si="6"/>
        <v>104</v>
      </c>
      <c r="J130" s="16"/>
      <c r="K130" s="1"/>
    </row>
    <row r="131" spans="1:11" x14ac:dyDescent="0.95">
      <c r="A131" s="12"/>
      <c r="B131" s="16" t="s">
        <v>153</v>
      </c>
      <c r="C131" s="14">
        <v>18.670000000000002</v>
      </c>
      <c r="D131" s="15" t="s">
        <v>146</v>
      </c>
      <c r="E131" s="14">
        <v>170</v>
      </c>
      <c r="F131" s="14">
        <v>3173.33</v>
      </c>
      <c r="G131" s="14">
        <v>0</v>
      </c>
      <c r="H131" s="14">
        <v>0</v>
      </c>
      <c r="I131" s="14">
        <f t="shared" si="6"/>
        <v>3173.33</v>
      </c>
      <c r="J131" s="16"/>
      <c r="K131" s="1"/>
    </row>
    <row r="132" spans="1:11" x14ac:dyDescent="0.95">
      <c r="A132" s="12"/>
      <c r="B132" s="16" t="s">
        <v>154</v>
      </c>
      <c r="C132" s="14">
        <v>4</v>
      </c>
      <c r="D132" s="15" t="s">
        <v>111</v>
      </c>
      <c r="E132" s="14">
        <v>1359</v>
      </c>
      <c r="F132" s="14">
        <v>5436</v>
      </c>
      <c r="G132" s="14">
        <v>0</v>
      </c>
      <c r="H132" s="14">
        <v>0</v>
      </c>
      <c r="I132" s="14">
        <f t="shared" si="6"/>
        <v>5436</v>
      </c>
      <c r="J132" s="16"/>
      <c r="K132" s="1"/>
    </row>
    <row r="133" spans="1:11" x14ac:dyDescent="0.95">
      <c r="A133" s="12"/>
      <c r="B133" s="16" t="s">
        <v>155</v>
      </c>
      <c r="C133" s="14">
        <v>19.2</v>
      </c>
      <c r="D133" s="15" t="s">
        <v>81</v>
      </c>
      <c r="E133" s="14"/>
      <c r="F133" s="14">
        <v>0</v>
      </c>
      <c r="G133" s="14">
        <v>400</v>
      </c>
      <c r="H133" s="14">
        <v>7680</v>
      </c>
      <c r="I133" s="14">
        <f t="shared" si="6"/>
        <v>7680</v>
      </c>
      <c r="J133" s="16"/>
      <c r="K133" s="1"/>
    </row>
    <row r="134" spans="1:11" x14ac:dyDescent="0.95">
      <c r="A134" s="12"/>
      <c r="B134" s="16" t="s">
        <v>156</v>
      </c>
      <c r="C134" s="14">
        <v>8</v>
      </c>
      <c r="D134" s="15" t="s">
        <v>77</v>
      </c>
      <c r="E134" s="14">
        <v>0</v>
      </c>
      <c r="F134" s="14">
        <v>0</v>
      </c>
      <c r="G134" s="14">
        <v>70</v>
      </c>
      <c r="H134" s="14">
        <v>32200</v>
      </c>
      <c r="I134" s="14">
        <f t="shared" si="6"/>
        <v>32200</v>
      </c>
      <c r="J134" s="16"/>
      <c r="K134" s="1"/>
    </row>
    <row r="135" spans="1:11" s="4" customFormat="1" x14ac:dyDescent="0.95">
      <c r="A135" s="17"/>
      <c r="B135" s="13" t="s">
        <v>157</v>
      </c>
      <c r="C135" s="18"/>
      <c r="D135" s="19"/>
      <c r="E135" s="18"/>
      <c r="F135" s="18">
        <f>ROUND(SUM(F122,F123,F124,F125,F126,F127,F128,F129,F130,F131,F132,F133,F134),2)</f>
        <v>113673.33</v>
      </c>
      <c r="G135" s="18"/>
      <c r="H135" s="18">
        <f>ROUND(SUM(H122,H123,H124,H125,H126,H127,H128,H129,H130,H131,H132,H133,H134),2)</f>
        <v>39880</v>
      </c>
      <c r="I135" s="18">
        <f t="shared" si="6"/>
        <v>153553.32999999999</v>
      </c>
      <c r="J135" s="13"/>
      <c r="K135" s="5"/>
    </row>
    <row r="136" spans="1:11" s="4" customFormat="1" x14ac:dyDescent="0.95">
      <c r="A136" s="17"/>
      <c r="B136" s="13" t="s">
        <v>158</v>
      </c>
      <c r="C136" s="18"/>
      <c r="D136" s="19"/>
      <c r="E136" s="18"/>
      <c r="F136" s="18"/>
      <c r="G136" s="18"/>
      <c r="H136" s="18"/>
      <c r="I136" s="18"/>
      <c r="J136" s="13"/>
      <c r="K136" s="5"/>
    </row>
    <row r="137" spans="1:11" x14ac:dyDescent="0.95">
      <c r="A137" s="12"/>
      <c r="B137" s="16" t="s">
        <v>159</v>
      </c>
      <c r="C137" s="14">
        <v>56</v>
      </c>
      <c r="D137" s="15" t="s">
        <v>36</v>
      </c>
      <c r="E137" s="14"/>
      <c r="F137" s="14">
        <v>0</v>
      </c>
      <c r="G137" s="14">
        <f>320</f>
        <v>320</v>
      </c>
      <c r="H137" s="14">
        <v>17920</v>
      </c>
      <c r="I137" s="14">
        <f t="shared" ref="I137:I144" si="7">ROUND(F137+H137,2)</f>
        <v>17920</v>
      </c>
      <c r="J137" s="16" t="s">
        <v>160</v>
      </c>
      <c r="K137" s="1"/>
    </row>
    <row r="138" spans="1:11" x14ac:dyDescent="0.95">
      <c r="A138" s="12"/>
      <c r="B138" s="16" t="s">
        <v>161</v>
      </c>
      <c r="C138" s="14">
        <v>144</v>
      </c>
      <c r="D138" s="15" t="s">
        <v>36</v>
      </c>
      <c r="E138" s="14"/>
      <c r="F138" s="14">
        <v>0</v>
      </c>
      <c r="G138" s="14">
        <v>280</v>
      </c>
      <c r="H138" s="14">
        <v>40320</v>
      </c>
      <c r="I138" s="14">
        <f t="shared" si="7"/>
        <v>40320</v>
      </c>
      <c r="J138" s="16" t="s">
        <v>162</v>
      </c>
      <c r="K138" s="1"/>
    </row>
    <row r="139" spans="1:11" x14ac:dyDescent="0.95">
      <c r="A139" s="12"/>
      <c r="B139" s="16" t="s">
        <v>163</v>
      </c>
      <c r="C139" s="14">
        <v>240</v>
      </c>
      <c r="D139" s="15" t="s">
        <v>36</v>
      </c>
      <c r="E139" s="14"/>
      <c r="F139" s="14">
        <v>0</v>
      </c>
      <c r="G139" s="14">
        <v>240</v>
      </c>
      <c r="H139" s="14">
        <v>57600</v>
      </c>
      <c r="I139" s="14">
        <f t="shared" si="7"/>
        <v>57600</v>
      </c>
      <c r="J139" s="16"/>
      <c r="K139" s="1"/>
    </row>
    <row r="140" spans="1:11" x14ac:dyDescent="0.95">
      <c r="A140" s="12"/>
      <c r="B140" s="16" t="s">
        <v>164</v>
      </c>
      <c r="C140" s="14">
        <v>460.8</v>
      </c>
      <c r="D140" s="15" t="s">
        <v>81</v>
      </c>
      <c r="E140" s="14"/>
      <c r="F140" s="14">
        <v>0</v>
      </c>
      <c r="G140" s="14">
        <v>70</v>
      </c>
      <c r="H140" s="14">
        <v>32256</v>
      </c>
      <c r="I140" s="14">
        <f t="shared" si="7"/>
        <v>32256</v>
      </c>
      <c r="J140" s="16"/>
      <c r="K140" s="1"/>
    </row>
    <row r="141" spans="1:11" x14ac:dyDescent="0.95">
      <c r="A141" s="12"/>
      <c r="B141" s="16" t="s">
        <v>165</v>
      </c>
      <c r="C141" s="14">
        <v>8</v>
      </c>
      <c r="D141" s="15" t="s">
        <v>166</v>
      </c>
      <c r="E141" s="14"/>
      <c r="F141" s="14">
        <v>64536</v>
      </c>
      <c r="G141" s="14">
        <v>2000</v>
      </c>
      <c r="H141" s="14">
        <v>16000</v>
      </c>
      <c r="I141" s="14">
        <f t="shared" si="7"/>
        <v>80536</v>
      </c>
      <c r="J141" s="16"/>
      <c r="K141" s="1"/>
    </row>
    <row r="142" spans="1:11" x14ac:dyDescent="0.95">
      <c r="A142" s="12"/>
      <c r="B142" s="16" t="s">
        <v>167</v>
      </c>
      <c r="C142" s="14">
        <v>16</v>
      </c>
      <c r="D142" s="15" t="s">
        <v>36</v>
      </c>
      <c r="E142" s="14"/>
      <c r="F142" s="14">
        <v>0</v>
      </c>
      <c r="G142" s="14">
        <v>280</v>
      </c>
      <c r="H142" s="14">
        <v>4480</v>
      </c>
      <c r="I142" s="14">
        <f t="shared" si="7"/>
        <v>4480</v>
      </c>
      <c r="J142" s="16"/>
      <c r="K142" s="1"/>
    </row>
    <row r="143" spans="1:11" x14ac:dyDescent="0.95">
      <c r="A143" s="12"/>
      <c r="B143" s="16" t="s">
        <v>168</v>
      </c>
      <c r="C143" s="14">
        <v>16</v>
      </c>
      <c r="D143" s="15" t="s">
        <v>36</v>
      </c>
      <c r="E143" s="14"/>
      <c r="F143" s="14">
        <v>0</v>
      </c>
      <c r="G143" s="14">
        <v>965</v>
      </c>
      <c r="H143" s="14">
        <v>15440</v>
      </c>
      <c r="I143" s="14">
        <f t="shared" si="7"/>
        <v>15440</v>
      </c>
      <c r="J143" s="16"/>
      <c r="K143" s="1"/>
    </row>
    <row r="144" spans="1:11" s="4" customFormat="1" x14ac:dyDescent="0.95">
      <c r="A144" s="17"/>
      <c r="B144" s="13" t="s">
        <v>169</v>
      </c>
      <c r="C144" s="18"/>
      <c r="D144" s="19"/>
      <c r="E144" s="18"/>
      <c r="F144" s="18">
        <f>ROUND(SUM(F137,F138,F139,F140,F141,F142,F143),2)</f>
        <v>64536</v>
      </c>
      <c r="G144" s="18"/>
      <c r="H144" s="18">
        <f>ROUND(SUM(H137,H138,H139,H140,H141,H142,H143),2)</f>
        <v>184016</v>
      </c>
      <c r="I144" s="18">
        <f t="shared" si="7"/>
        <v>248552</v>
      </c>
      <c r="J144" s="13"/>
      <c r="K144" s="5"/>
    </row>
    <row r="145" spans="1:11" s="4" customFormat="1" x14ac:dyDescent="0.95">
      <c r="A145" s="17"/>
      <c r="B145" s="13" t="s">
        <v>170</v>
      </c>
      <c r="C145" s="18"/>
      <c r="D145" s="19"/>
      <c r="E145" s="18"/>
      <c r="F145" s="18"/>
      <c r="G145" s="18"/>
      <c r="H145" s="18"/>
      <c r="I145" s="18"/>
      <c r="J145" s="13"/>
      <c r="K145" s="5"/>
    </row>
    <row r="146" spans="1:11" x14ac:dyDescent="0.95">
      <c r="A146" s="12"/>
      <c r="B146" s="16" t="s">
        <v>171</v>
      </c>
      <c r="C146" s="14">
        <v>8</v>
      </c>
      <c r="D146" s="15" t="s">
        <v>172</v>
      </c>
      <c r="E146" s="14">
        <v>1869</v>
      </c>
      <c r="F146" s="14">
        <v>14952</v>
      </c>
      <c r="G146" s="14">
        <v>0</v>
      </c>
      <c r="H146" s="14">
        <v>0</v>
      </c>
      <c r="I146" s="14">
        <f t="shared" ref="I146:I164" si="8">ROUND(F146+H146,2)</f>
        <v>14952</v>
      </c>
      <c r="J146" s="16"/>
      <c r="K146" s="1"/>
    </row>
    <row r="147" spans="1:11" x14ac:dyDescent="0.95">
      <c r="A147" s="12"/>
      <c r="B147" s="16" t="s">
        <v>173</v>
      </c>
      <c r="C147" s="14">
        <v>8</v>
      </c>
      <c r="D147" s="15" t="s">
        <v>172</v>
      </c>
      <c r="E147" s="14">
        <v>640</v>
      </c>
      <c r="F147" s="14">
        <v>5120</v>
      </c>
      <c r="G147" s="14">
        <v>0</v>
      </c>
      <c r="H147" s="14">
        <v>0</v>
      </c>
      <c r="I147" s="14">
        <f t="shared" si="8"/>
        <v>5120</v>
      </c>
      <c r="J147" s="16"/>
      <c r="K147" s="1"/>
    </row>
    <row r="148" spans="1:11" x14ac:dyDescent="0.95">
      <c r="A148" s="12"/>
      <c r="B148" s="16" t="s">
        <v>174</v>
      </c>
      <c r="C148" s="14">
        <v>8</v>
      </c>
      <c r="D148" s="15" t="s">
        <v>172</v>
      </c>
      <c r="E148" s="14">
        <v>664</v>
      </c>
      <c r="F148" s="14">
        <v>5312</v>
      </c>
      <c r="G148" s="14">
        <v>0</v>
      </c>
      <c r="H148" s="14">
        <v>0</v>
      </c>
      <c r="I148" s="14">
        <f t="shared" si="8"/>
        <v>5312</v>
      </c>
      <c r="J148" s="16"/>
      <c r="K148" s="1"/>
    </row>
    <row r="149" spans="1:11" x14ac:dyDescent="0.95">
      <c r="A149" s="12"/>
      <c r="B149" s="16" t="s">
        <v>175</v>
      </c>
      <c r="C149" s="14">
        <v>8</v>
      </c>
      <c r="D149" s="15" t="s">
        <v>172</v>
      </c>
      <c r="E149" s="14">
        <v>159</v>
      </c>
      <c r="F149" s="14">
        <v>1272</v>
      </c>
      <c r="G149" s="14">
        <v>0</v>
      </c>
      <c r="H149" s="14">
        <v>0</v>
      </c>
      <c r="I149" s="14">
        <f t="shared" si="8"/>
        <v>1272</v>
      </c>
      <c r="J149" s="16"/>
      <c r="K149" s="1"/>
    </row>
    <row r="150" spans="1:11" x14ac:dyDescent="0.95">
      <c r="A150" s="12"/>
      <c r="B150" s="16" t="s">
        <v>176</v>
      </c>
      <c r="C150" s="14">
        <v>8</v>
      </c>
      <c r="D150" s="15" t="s">
        <v>172</v>
      </c>
      <c r="E150" s="14">
        <v>425</v>
      </c>
      <c r="F150" s="14">
        <v>3400</v>
      </c>
      <c r="G150" s="14">
        <v>0</v>
      </c>
      <c r="H150" s="14">
        <v>0</v>
      </c>
      <c r="I150" s="14">
        <f t="shared" si="8"/>
        <v>3400</v>
      </c>
      <c r="J150" s="16"/>
      <c r="K150" s="1"/>
    </row>
    <row r="151" spans="1:11" x14ac:dyDescent="0.95">
      <c r="A151" s="12"/>
      <c r="B151" s="16" t="s">
        <v>177</v>
      </c>
      <c r="C151" s="14">
        <v>8</v>
      </c>
      <c r="D151" s="15" t="s">
        <v>172</v>
      </c>
      <c r="E151" s="14">
        <v>183</v>
      </c>
      <c r="F151" s="14">
        <v>1464</v>
      </c>
      <c r="G151" s="14">
        <v>0</v>
      </c>
      <c r="H151" s="14">
        <v>0</v>
      </c>
      <c r="I151" s="14">
        <f t="shared" si="8"/>
        <v>1464</v>
      </c>
      <c r="J151" s="16"/>
      <c r="K151" s="1"/>
    </row>
    <row r="152" spans="1:11" x14ac:dyDescent="0.95">
      <c r="A152" s="12"/>
      <c r="B152" s="16" t="s">
        <v>178</v>
      </c>
      <c r="C152" s="14">
        <v>8</v>
      </c>
      <c r="D152" s="15" t="s">
        <v>115</v>
      </c>
      <c r="E152" s="14">
        <v>151</v>
      </c>
      <c r="F152" s="14">
        <v>1208</v>
      </c>
      <c r="G152" s="14">
        <v>0</v>
      </c>
      <c r="H152" s="14">
        <v>0</v>
      </c>
      <c r="I152" s="14">
        <f t="shared" si="8"/>
        <v>1208</v>
      </c>
      <c r="J152" s="16"/>
      <c r="K152" s="1"/>
    </row>
    <row r="153" spans="1:11" x14ac:dyDescent="0.95">
      <c r="A153" s="12"/>
      <c r="B153" s="16" t="s">
        <v>179</v>
      </c>
      <c r="C153" s="14">
        <v>8</v>
      </c>
      <c r="D153" s="15" t="s">
        <v>180</v>
      </c>
      <c r="E153" s="14">
        <v>0</v>
      </c>
      <c r="F153" s="14">
        <v>0</v>
      </c>
      <c r="G153" s="14">
        <v>0</v>
      </c>
      <c r="H153" s="14">
        <v>0</v>
      </c>
      <c r="I153" s="14">
        <f t="shared" si="8"/>
        <v>0</v>
      </c>
      <c r="J153" s="16"/>
      <c r="K153" s="1"/>
    </row>
    <row r="154" spans="1:11" x14ac:dyDescent="0.95">
      <c r="A154" s="12"/>
      <c r="B154" s="16" t="s">
        <v>181</v>
      </c>
      <c r="C154" s="14">
        <v>8</v>
      </c>
      <c r="D154" s="15" t="s">
        <v>115</v>
      </c>
      <c r="E154" s="14">
        <v>77</v>
      </c>
      <c r="F154" s="14">
        <v>616</v>
      </c>
      <c r="G154" s="14">
        <v>0</v>
      </c>
      <c r="H154" s="14">
        <v>0</v>
      </c>
      <c r="I154" s="14">
        <f t="shared" si="8"/>
        <v>616</v>
      </c>
      <c r="J154" s="16"/>
      <c r="K154" s="1"/>
    </row>
    <row r="155" spans="1:11" x14ac:dyDescent="0.95">
      <c r="A155" s="12"/>
      <c r="B155" s="16" t="s">
        <v>182</v>
      </c>
      <c r="C155" s="14">
        <v>8</v>
      </c>
      <c r="D155" s="15" t="s">
        <v>115</v>
      </c>
      <c r="E155" s="14">
        <v>234</v>
      </c>
      <c r="F155" s="14">
        <v>1872</v>
      </c>
      <c r="G155" s="14">
        <v>0</v>
      </c>
      <c r="H155" s="14">
        <v>0</v>
      </c>
      <c r="I155" s="14">
        <f t="shared" si="8"/>
        <v>1872</v>
      </c>
      <c r="J155" s="16"/>
      <c r="K155" s="1"/>
    </row>
    <row r="156" spans="1:11" x14ac:dyDescent="0.95">
      <c r="A156" s="12"/>
      <c r="B156" s="16" t="s">
        <v>183</v>
      </c>
      <c r="C156" s="14">
        <v>8</v>
      </c>
      <c r="D156" s="15" t="s">
        <v>115</v>
      </c>
      <c r="E156" s="14">
        <v>151</v>
      </c>
      <c r="F156" s="14">
        <v>1208</v>
      </c>
      <c r="G156" s="14">
        <v>0</v>
      </c>
      <c r="H156" s="14">
        <v>0</v>
      </c>
      <c r="I156" s="14">
        <f t="shared" si="8"/>
        <v>1208</v>
      </c>
      <c r="J156" s="16"/>
      <c r="K156" s="1"/>
    </row>
    <row r="157" spans="1:11" x14ac:dyDescent="0.95">
      <c r="A157" s="12"/>
      <c r="B157" s="16" t="s">
        <v>184</v>
      </c>
      <c r="C157" s="14">
        <v>8</v>
      </c>
      <c r="D157" s="15" t="s">
        <v>115</v>
      </c>
      <c r="E157" s="14">
        <v>584</v>
      </c>
      <c r="F157" s="14">
        <v>4672</v>
      </c>
      <c r="G157" s="14">
        <v>0</v>
      </c>
      <c r="H157" s="14">
        <v>0</v>
      </c>
      <c r="I157" s="14">
        <f t="shared" si="8"/>
        <v>4672</v>
      </c>
      <c r="J157" s="16"/>
      <c r="K157" s="1"/>
    </row>
    <row r="158" spans="1:11" x14ac:dyDescent="0.95">
      <c r="A158" s="12"/>
      <c r="B158" s="16" t="s">
        <v>185</v>
      </c>
      <c r="C158" s="14">
        <v>16</v>
      </c>
      <c r="D158" s="15" t="s">
        <v>115</v>
      </c>
      <c r="E158" s="14">
        <v>140</v>
      </c>
      <c r="F158" s="14">
        <v>2240</v>
      </c>
      <c r="G158" s="14">
        <v>0</v>
      </c>
      <c r="H158" s="14">
        <v>0</v>
      </c>
      <c r="I158" s="14">
        <f t="shared" si="8"/>
        <v>2240</v>
      </c>
      <c r="J158" s="16"/>
      <c r="K158" s="1"/>
    </row>
    <row r="159" spans="1:11" x14ac:dyDescent="0.95">
      <c r="A159" s="12"/>
      <c r="B159" s="16" t="s">
        <v>186</v>
      </c>
      <c r="C159" s="14">
        <v>8</v>
      </c>
      <c r="D159" s="15" t="s">
        <v>115</v>
      </c>
      <c r="E159" s="14">
        <v>45</v>
      </c>
      <c r="F159" s="14">
        <v>360</v>
      </c>
      <c r="G159" s="14">
        <v>0</v>
      </c>
      <c r="H159" s="14">
        <v>12</v>
      </c>
      <c r="I159" s="14">
        <f t="shared" si="8"/>
        <v>372</v>
      </c>
      <c r="J159" s="16"/>
      <c r="K159" s="1"/>
    </row>
    <row r="160" spans="1:11" x14ac:dyDescent="0.95">
      <c r="A160" s="12"/>
      <c r="B160" s="16" t="s">
        <v>187</v>
      </c>
      <c r="C160" s="14">
        <v>8</v>
      </c>
      <c r="D160" s="15" t="s">
        <v>115</v>
      </c>
      <c r="E160" s="14">
        <v>215</v>
      </c>
      <c r="F160" s="14">
        <v>1720</v>
      </c>
      <c r="G160" s="14">
        <v>0</v>
      </c>
      <c r="H160" s="14">
        <v>0</v>
      </c>
      <c r="I160" s="14">
        <f t="shared" si="8"/>
        <v>1720</v>
      </c>
      <c r="J160" s="16"/>
      <c r="K160" s="1"/>
    </row>
    <row r="161" spans="1:11" x14ac:dyDescent="0.95">
      <c r="A161" s="12"/>
      <c r="B161" s="16" t="s">
        <v>188</v>
      </c>
      <c r="C161" s="14">
        <v>8</v>
      </c>
      <c r="D161" s="15" t="s">
        <v>115</v>
      </c>
      <c r="E161" s="14">
        <v>0</v>
      </c>
      <c r="F161" s="14">
        <v>0</v>
      </c>
      <c r="G161" s="14">
        <v>0</v>
      </c>
      <c r="H161" s="14">
        <v>0</v>
      </c>
      <c r="I161" s="14">
        <f t="shared" si="8"/>
        <v>0</v>
      </c>
      <c r="J161" s="16"/>
      <c r="K161" s="1"/>
    </row>
    <row r="162" spans="1:11" x14ac:dyDescent="0.95">
      <c r="A162" s="12"/>
      <c r="B162" s="16" t="s">
        <v>189</v>
      </c>
      <c r="C162" s="14">
        <v>16</v>
      </c>
      <c r="D162" s="15" t="s">
        <v>115</v>
      </c>
      <c r="E162" s="14">
        <v>110</v>
      </c>
      <c r="F162" s="14">
        <v>1760</v>
      </c>
      <c r="G162" s="14">
        <v>0</v>
      </c>
      <c r="H162" s="14">
        <v>24</v>
      </c>
      <c r="I162" s="14">
        <f t="shared" si="8"/>
        <v>1784</v>
      </c>
      <c r="J162" s="16"/>
      <c r="K162" s="1"/>
    </row>
    <row r="163" spans="1:11" x14ac:dyDescent="0.95">
      <c r="A163" s="12"/>
      <c r="B163" s="16" t="s">
        <v>190</v>
      </c>
      <c r="C163" s="14">
        <v>8</v>
      </c>
      <c r="D163" s="15" t="s">
        <v>77</v>
      </c>
      <c r="E163" s="14">
        <v>0</v>
      </c>
      <c r="F163" s="14">
        <v>0</v>
      </c>
      <c r="G163" s="14">
        <v>810</v>
      </c>
      <c r="H163" s="14">
        <v>6480</v>
      </c>
      <c r="I163" s="14">
        <f t="shared" si="8"/>
        <v>6480</v>
      </c>
      <c r="J163" s="16"/>
      <c r="K163" s="1"/>
    </row>
    <row r="164" spans="1:11" s="4" customFormat="1" x14ac:dyDescent="0.95">
      <c r="A164" s="17"/>
      <c r="B164" s="13" t="s">
        <v>191</v>
      </c>
      <c r="C164" s="18"/>
      <c r="D164" s="19"/>
      <c r="E164" s="18"/>
      <c r="F164" s="18">
        <f>ROUND(SUM(F146,F147,F148,F149,F150,F151,F152,F153,F154,F155,F156,F157,F158,F159,F160,F161,F162,F163),2)</f>
        <v>47176</v>
      </c>
      <c r="G164" s="18"/>
      <c r="H164" s="18">
        <f>ROUND(SUM(H146,H147,H148,H149,H150,H151,H152,H153,H154,H155,H156,H157,H158,H159,H160,H161,H162,H163),2)</f>
        <v>6516</v>
      </c>
      <c r="I164" s="18">
        <f t="shared" si="8"/>
        <v>53692</v>
      </c>
      <c r="J164" s="13"/>
      <c r="K164" s="5"/>
    </row>
    <row r="165" spans="1:11" s="4" customFormat="1" x14ac:dyDescent="0.95">
      <c r="A165" s="17"/>
      <c r="B165" s="13" t="s">
        <v>192</v>
      </c>
      <c r="C165" s="18"/>
      <c r="D165" s="19"/>
      <c r="E165" s="18"/>
      <c r="F165" s="18"/>
      <c r="G165" s="18"/>
      <c r="H165" s="18"/>
      <c r="I165" s="18"/>
      <c r="J165" s="13"/>
      <c r="K165" s="5"/>
    </row>
    <row r="166" spans="1:11" x14ac:dyDescent="0.95">
      <c r="A166" s="12"/>
      <c r="B166" s="16" t="s">
        <v>193</v>
      </c>
      <c r="C166" s="14">
        <v>8</v>
      </c>
      <c r="D166" s="15" t="s">
        <v>172</v>
      </c>
      <c r="E166" s="14">
        <v>0</v>
      </c>
      <c r="F166" s="14">
        <v>0</v>
      </c>
      <c r="G166" s="14">
        <v>8000</v>
      </c>
      <c r="H166" s="14">
        <v>64000</v>
      </c>
      <c r="I166" s="14">
        <f t="shared" ref="I166:I175" si="9">ROUND(F166+H166,2)</f>
        <v>64000</v>
      </c>
      <c r="J166" s="16" t="s">
        <v>194</v>
      </c>
      <c r="K166" s="1"/>
    </row>
    <row r="167" spans="1:11" x14ac:dyDescent="0.95">
      <c r="A167" s="12"/>
      <c r="B167" s="16" t="s">
        <v>195</v>
      </c>
      <c r="C167" s="14">
        <v>8</v>
      </c>
      <c r="D167" s="15" t="s">
        <v>172</v>
      </c>
      <c r="E167" s="14">
        <v>2670</v>
      </c>
      <c r="F167" s="14">
        <v>21360</v>
      </c>
      <c r="G167" s="14">
        <v>400</v>
      </c>
      <c r="H167" s="14">
        <v>3200</v>
      </c>
      <c r="I167" s="14">
        <f t="shared" si="9"/>
        <v>24560</v>
      </c>
      <c r="J167" s="16"/>
      <c r="K167" s="1"/>
    </row>
    <row r="168" spans="1:11" x14ac:dyDescent="0.95">
      <c r="A168" s="12"/>
      <c r="B168" s="16" t="s">
        <v>196</v>
      </c>
      <c r="C168" s="14">
        <v>8</v>
      </c>
      <c r="D168" s="15" t="s">
        <v>172</v>
      </c>
      <c r="E168" s="14">
        <v>2670</v>
      </c>
      <c r="F168" s="14">
        <v>21360</v>
      </c>
      <c r="G168" s="14">
        <v>400</v>
      </c>
      <c r="H168" s="14">
        <v>3200</v>
      </c>
      <c r="I168" s="14">
        <f t="shared" si="9"/>
        <v>24560</v>
      </c>
      <c r="J168" s="16"/>
      <c r="K168" s="1"/>
    </row>
    <row r="169" spans="1:11" x14ac:dyDescent="0.95">
      <c r="A169" s="12"/>
      <c r="B169" s="16" t="s">
        <v>197</v>
      </c>
      <c r="C169" s="14">
        <v>16</v>
      </c>
      <c r="D169" s="15" t="s">
        <v>172</v>
      </c>
      <c r="E169" s="14">
        <v>1458</v>
      </c>
      <c r="F169" s="14">
        <v>23328</v>
      </c>
      <c r="G169" s="14">
        <v>400</v>
      </c>
      <c r="H169" s="14">
        <v>6400</v>
      </c>
      <c r="I169" s="14">
        <f t="shared" si="9"/>
        <v>29728</v>
      </c>
      <c r="J169" s="16"/>
      <c r="K169" s="1"/>
    </row>
    <row r="170" spans="1:11" x14ac:dyDescent="0.95">
      <c r="A170" s="12"/>
      <c r="B170" s="16" t="s">
        <v>198</v>
      </c>
      <c r="C170" s="14">
        <v>2</v>
      </c>
      <c r="D170" s="15" t="s">
        <v>172</v>
      </c>
      <c r="E170" s="14">
        <v>0</v>
      </c>
      <c r="F170" s="14">
        <v>0</v>
      </c>
      <c r="G170" s="14">
        <v>3300</v>
      </c>
      <c r="H170" s="14">
        <v>6600</v>
      </c>
      <c r="I170" s="14">
        <f t="shared" si="9"/>
        <v>6600</v>
      </c>
      <c r="J170" s="16" t="s">
        <v>194</v>
      </c>
      <c r="K170" s="1"/>
    </row>
    <row r="171" spans="1:11" x14ac:dyDescent="0.95">
      <c r="A171" s="12"/>
      <c r="B171" s="16" t="s">
        <v>199</v>
      </c>
      <c r="C171" s="14">
        <v>8</v>
      </c>
      <c r="D171" s="15" t="s">
        <v>172</v>
      </c>
      <c r="E171" s="14">
        <v>0</v>
      </c>
      <c r="F171" s="14">
        <v>0</v>
      </c>
      <c r="G171" s="14">
        <v>2500</v>
      </c>
      <c r="H171" s="14">
        <v>20000</v>
      </c>
      <c r="I171" s="14">
        <f t="shared" si="9"/>
        <v>20000</v>
      </c>
      <c r="J171" s="16" t="s">
        <v>194</v>
      </c>
      <c r="K171" s="1"/>
    </row>
    <row r="172" spans="1:11" x14ac:dyDescent="0.95">
      <c r="A172" s="12"/>
      <c r="B172" s="16" t="s">
        <v>200</v>
      </c>
      <c r="C172" s="14">
        <v>8</v>
      </c>
      <c r="D172" s="15" t="s">
        <v>172</v>
      </c>
      <c r="E172" s="14">
        <v>0</v>
      </c>
      <c r="F172" s="14">
        <v>0</v>
      </c>
      <c r="G172" s="14">
        <v>1200</v>
      </c>
      <c r="H172" s="14">
        <v>9600</v>
      </c>
      <c r="I172" s="14">
        <f t="shared" si="9"/>
        <v>9600</v>
      </c>
      <c r="J172" s="16" t="s">
        <v>194</v>
      </c>
      <c r="K172" s="1"/>
    </row>
    <row r="173" spans="1:11" x14ac:dyDescent="0.95">
      <c r="A173" s="12"/>
      <c r="B173" s="16" t="s">
        <v>201</v>
      </c>
      <c r="C173" s="14">
        <v>2</v>
      </c>
      <c r="D173" s="15" t="s">
        <v>172</v>
      </c>
      <c r="E173" s="14">
        <v>0</v>
      </c>
      <c r="F173" s="14">
        <v>0</v>
      </c>
      <c r="G173" s="14">
        <v>4400</v>
      </c>
      <c r="H173" s="14">
        <v>8800</v>
      </c>
      <c r="I173" s="14">
        <f t="shared" si="9"/>
        <v>8800</v>
      </c>
      <c r="J173" s="16" t="s">
        <v>194</v>
      </c>
      <c r="K173" s="1"/>
    </row>
    <row r="174" spans="1:11" x14ac:dyDescent="0.95">
      <c r="A174" s="12"/>
      <c r="B174" s="16" t="s">
        <v>202</v>
      </c>
      <c r="C174" s="14">
        <v>2</v>
      </c>
      <c r="D174" s="15" t="s">
        <v>172</v>
      </c>
      <c r="E174" s="14">
        <v>0</v>
      </c>
      <c r="F174" s="14">
        <v>0</v>
      </c>
      <c r="G174" s="14">
        <v>5300</v>
      </c>
      <c r="H174" s="14">
        <v>10600</v>
      </c>
      <c r="I174" s="14">
        <f t="shared" si="9"/>
        <v>10600</v>
      </c>
      <c r="J174" s="16" t="s">
        <v>194</v>
      </c>
      <c r="K174" s="1"/>
    </row>
    <row r="175" spans="1:11" s="4" customFormat="1" x14ac:dyDescent="0.95">
      <c r="A175" s="17"/>
      <c r="B175" s="13" t="s">
        <v>203</v>
      </c>
      <c r="C175" s="18"/>
      <c r="D175" s="19"/>
      <c r="E175" s="18"/>
      <c r="F175" s="18">
        <f>ROUND(SUM(F166,F167,F168,F169,F170,F171,F172,F173,F174),2)</f>
        <v>66048</v>
      </c>
      <c r="G175" s="18"/>
      <c r="H175" s="18">
        <f>ROUND(SUM(H166,H167,H168,H169,H170,H171,H172,H173,H174),2)</f>
        <v>132400</v>
      </c>
      <c r="I175" s="18">
        <f t="shared" si="9"/>
        <v>198448</v>
      </c>
      <c r="J175" s="13"/>
      <c r="K175" s="5"/>
    </row>
    <row r="176" spans="1:11" s="4" customFormat="1" x14ac:dyDescent="0.95">
      <c r="A176" s="17"/>
      <c r="B176" s="13" t="s">
        <v>204</v>
      </c>
      <c r="C176" s="18"/>
      <c r="D176" s="19"/>
      <c r="E176" s="18"/>
      <c r="F176" s="18"/>
      <c r="G176" s="18"/>
      <c r="H176" s="18"/>
      <c r="I176" s="18"/>
      <c r="J176" s="13"/>
      <c r="K176" s="5"/>
    </row>
    <row r="177" spans="1:11" x14ac:dyDescent="0.95">
      <c r="A177" s="12"/>
      <c r="B177" s="16" t="s">
        <v>205</v>
      </c>
      <c r="C177" s="14">
        <v>256</v>
      </c>
      <c r="D177" s="15" t="s">
        <v>36</v>
      </c>
      <c r="E177" s="14">
        <v>250</v>
      </c>
      <c r="F177" s="14">
        <v>64000</v>
      </c>
      <c r="G177" s="14">
        <v>150</v>
      </c>
      <c r="H177" s="14">
        <v>38400</v>
      </c>
      <c r="I177" s="14">
        <f t="shared" ref="I177:I182" si="10">ROUND(F177+H177,2)</f>
        <v>102400</v>
      </c>
      <c r="J177" s="16"/>
      <c r="K177" s="1"/>
    </row>
    <row r="178" spans="1:11" x14ac:dyDescent="0.95">
      <c r="A178" s="12"/>
      <c r="B178" s="16" t="s">
        <v>206</v>
      </c>
      <c r="C178" s="14">
        <v>32</v>
      </c>
      <c r="D178" s="15" t="s">
        <v>36</v>
      </c>
      <c r="E178" s="14">
        <v>250</v>
      </c>
      <c r="F178" s="14">
        <v>8000</v>
      </c>
      <c r="G178" s="14">
        <v>150</v>
      </c>
      <c r="H178" s="14">
        <v>4800</v>
      </c>
      <c r="I178" s="14">
        <f t="shared" si="10"/>
        <v>12800</v>
      </c>
      <c r="J178" s="16"/>
      <c r="K178" s="1"/>
    </row>
    <row r="179" spans="1:11" x14ac:dyDescent="0.95">
      <c r="A179" s="12"/>
      <c r="B179" s="16" t="s">
        <v>207</v>
      </c>
      <c r="C179" s="14">
        <v>48</v>
      </c>
      <c r="D179" s="15" t="s">
        <v>36</v>
      </c>
      <c r="E179" s="14">
        <v>300</v>
      </c>
      <c r="F179" s="14">
        <v>14400</v>
      </c>
      <c r="G179" s="14">
        <v>150</v>
      </c>
      <c r="H179" s="14">
        <v>7200</v>
      </c>
      <c r="I179" s="14">
        <f t="shared" si="10"/>
        <v>21600</v>
      </c>
      <c r="J179" s="16"/>
      <c r="K179" s="1"/>
    </row>
    <row r="180" spans="1:11" x14ac:dyDescent="0.95">
      <c r="A180" s="12"/>
      <c r="B180" s="16" t="s">
        <v>208</v>
      </c>
      <c r="C180" s="14">
        <v>192</v>
      </c>
      <c r="D180" s="15" t="s">
        <v>36</v>
      </c>
      <c r="E180" s="14">
        <v>250</v>
      </c>
      <c r="F180" s="14">
        <v>48000</v>
      </c>
      <c r="G180" s="14">
        <v>170</v>
      </c>
      <c r="H180" s="14">
        <v>32640</v>
      </c>
      <c r="I180" s="14">
        <f t="shared" si="10"/>
        <v>80640</v>
      </c>
      <c r="J180" s="16"/>
      <c r="K180" s="1"/>
    </row>
    <row r="181" spans="1:11" x14ac:dyDescent="0.95">
      <c r="A181" s="12"/>
      <c r="B181" s="16" t="s">
        <v>209</v>
      </c>
      <c r="C181" s="14">
        <v>192</v>
      </c>
      <c r="D181" s="15" t="s">
        <v>36</v>
      </c>
      <c r="E181" s="14">
        <v>38</v>
      </c>
      <c r="F181" s="14">
        <v>7296</v>
      </c>
      <c r="G181" s="14">
        <v>1000</v>
      </c>
      <c r="H181" s="14">
        <v>48000</v>
      </c>
      <c r="I181" s="14">
        <f t="shared" si="10"/>
        <v>55296</v>
      </c>
      <c r="J181" s="16"/>
      <c r="K181" s="1"/>
    </row>
    <row r="182" spans="1:11" s="4" customFormat="1" x14ac:dyDescent="0.95">
      <c r="A182" s="17"/>
      <c r="B182" s="13" t="s">
        <v>210</v>
      </c>
      <c r="C182" s="18"/>
      <c r="D182" s="19"/>
      <c r="E182" s="18"/>
      <c r="F182" s="18">
        <f>ROUND(SUM(F177,F178,F179,F180,F181),2)</f>
        <v>141696</v>
      </c>
      <c r="G182" s="18"/>
      <c r="H182" s="18">
        <f>ROUND(SUM(H177,H178,H179,H180,H181),2)</f>
        <v>131040</v>
      </c>
      <c r="I182" s="18">
        <f t="shared" si="10"/>
        <v>272736</v>
      </c>
      <c r="J182" s="13"/>
      <c r="K182" s="5"/>
    </row>
    <row r="183" spans="1:11" s="4" customFormat="1" x14ac:dyDescent="0.95">
      <c r="A183" s="17"/>
      <c r="B183" s="13" t="s">
        <v>211</v>
      </c>
      <c r="C183" s="18"/>
      <c r="D183" s="19"/>
      <c r="E183" s="18"/>
      <c r="F183" s="18"/>
      <c r="G183" s="18"/>
      <c r="H183" s="18"/>
      <c r="I183" s="18"/>
      <c r="J183" s="13"/>
      <c r="K183" s="5"/>
    </row>
    <row r="184" spans="1:11" x14ac:dyDescent="0.95">
      <c r="A184" s="12"/>
      <c r="B184" s="16" t="s">
        <v>212</v>
      </c>
      <c r="C184" s="14">
        <v>366.32</v>
      </c>
      <c r="D184" s="15" t="s">
        <v>36</v>
      </c>
      <c r="E184" s="14">
        <v>60</v>
      </c>
      <c r="F184" s="14">
        <v>21979.200000000001</v>
      </c>
      <c r="G184" s="14">
        <v>25</v>
      </c>
      <c r="H184" s="14">
        <v>9158</v>
      </c>
      <c r="I184" s="14">
        <f t="shared" ref="I184:I198" si="11">ROUND(F184+H184,2)</f>
        <v>31137.200000000001</v>
      </c>
      <c r="J184" s="16"/>
      <c r="K184" s="1"/>
    </row>
    <row r="185" spans="1:11" x14ac:dyDescent="0.95">
      <c r="A185" s="12"/>
      <c r="B185" s="16" t="s">
        <v>213</v>
      </c>
      <c r="C185" s="14">
        <v>888</v>
      </c>
      <c r="D185" s="15" t="s">
        <v>36</v>
      </c>
      <c r="E185" s="14">
        <v>60</v>
      </c>
      <c r="F185" s="14">
        <v>53280</v>
      </c>
      <c r="G185" s="14">
        <v>25</v>
      </c>
      <c r="H185" s="14">
        <v>22200</v>
      </c>
      <c r="I185" s="14">
        <f t="shared" si="11"/>
        <v>75480</v>
      </c>
      <c r="J185" s="16"/>
      <c r="K185" s="1"/>
    </row>
    <row r="186" spans="1:11" x14ac:dyDescent="0.95">
      <c r="A186" s="12"/>
      <c r="B186" s="16" t="s">
        <v>214</v>
      </c>
      <c r="C186" s="14">
        <v>370.24</v>
      </c>
      <c r="D186" s="15" t="s">
        <v>36</v>
      </c>
      <c r="E186" s="14">
        <v>45</v>
      </c>
      <c r="F186" s="14">
        <v>16660.8</v>
      </c>
      <c r="G186" s="14">
        <v>25</v>
      </c>
      <c r="H186" s="14">
        <v>9256</v>
      </c>
      <c r="I186" s="14">
        <f t="shared" si="11"/>
        <v>25916.799999999999</v>
      </c>
      <c r="J186" s="16"/>
      <c r="K186" s="1"/>
    </row>
    <row r="187" spans="1:11" x14ac:dyDescent="0.95">
      <c r="A187" s="12"/>
      <c r="B187" s="16" t="s">
        <v>215</v>
      </c>
      <c r="C187" s="14">
        <v>60</v>
      </c>
      <c r="D187" s="15" t="s">
        <v>36</v>
      </c>
      <c r="E187" s="14">
        <v>45</v>
      </c>
      <c r="F187" s="14">
        <v>2700</v>
      </c>
      <c r="G187" s="14">
        <v>25</v>
      </c>
      <c r="H187" s="14">
        <v>1500</v>
      </c>
      <c r="I187" s="14">
        <f t="shared" si="11"/>
        <v>4200</v>
      </c>
      <c r="J187" s="16"/>
      <c r="K187" s="1"/>
    </row>
    <row r="188" spans="1:11" x14ac:dyDescent="0.95">
      <c r="A188" s="12"/>
      <c r="B188" s="16" t="s">
        <v>216</v>
      </c>
      <c r="C188" s="14">
        <v>216</v>
      </c>
      <c r="D188" s="15" t="s">
        <v>36</v>
      </c>
      <c r="E188" s="14">
        <v>45</v>
      </c>
      <c r="F188" s="14">
        <v>9720</v>
      </c>
      <c r="G188" s="14">
        <v>25</v>
      </c>
      <c r="H188" s="14">
        <v>5400</v>
      </c>
      <c r="I188" s="14">
        <f t="shared" si="11"/>
        <v>15120</v>
      </c>
      <c r="J188" s="16"/>
      <c r="K188" s="1"/>
    </row>
    <row r="189" spans="1:11" x14ac:dyDescent="0.95">
      <c r="A189" s="12"/>
      <c r="B189" s="16" t="s">
        <v>217</v>
      </c>
      <c r="C189" s="14">
        <v>204.96</v>
      </c>
      <c r="D189" s="15" t="s">
        <v>36</v>
      </c>
      <c r="E189" s="14">
        <v>45</v>
      </c>
      <c r="F189" s="14">
        <v>9223.2000000000007</v>
      </c>
      <c r="G189" s="14">
        <v>25</v>
      </c>
      <c r="H189" s="14">
        <v>5124</v>
      </c>
      <c r="I189" s="14">
        <f t="shared" si="11"/>
        <v>14347.2</v>
      </c>
      <c r="J189" s="16"/>
      <c r="K189" s="1"/>
    </row>
    <row r="190" spans="1:11" x14ac:dyDescent="0.95">
      <c r="A190" s="12"/>
      <c r="B190" s="16" t="s">
        <v>218</v>
      </c>
      <c r="C190" s="14">
        <v>40</v>
      </c>
      <c r="D190" s="15" t="s">
        <v>36</v>
      </c>
      <c r="E190" s="14">
        <v>45</v>
      </c>
      <c r="F190" s="14">
        <v>1800</v>
      </c>
      <c r="G190" s="14">
        <v>25</v>
      </c>
      <c r="H190" s="14">
        <v>1000</v>
      </c>
      <c r="I190" s="14">
        <f t="shared" si="11"/>
        <v>2800</v>
      </c>
      <c r="J190" s="16"/>
      <c r="K190" s="1"/>
    </row>
    <row r="191" spans="1:11" x14ac:dyDescent="0.95">
      <c r="A191" s="12"/>
      <c r="B191" s="16" t="s">
        <v>219</v>
      </c>
      <c r="C191" s="14">
        <v>8.94</v>
      </c>
      <c r="D191" s="15" t="s">
        <v>36</v>
      </c>
      <c r="E191" s="14">
        <v>45</v>
      </c>
      <c r="F191" s="14">
        <v>402.3</v>
      </c>
      <c r="G191" s="14">
        <v>25</v>
      </c>
      <c r="H191" s="14">
        <v>223.5</v>
      </c>
      <c r="I191" s="14">
        <f t="shared" si="11"/>
        <v>625.79999999999995</v>
      </c>
      <c r="J191" s="16"/>
      <c r="K191" s="1"/>
    </row>
    <row r="192" spans="1:11" x14ac:dyDescent="0.95">
      <c r="A192" s="12"/>
      <c r="B192" s="16" t="s">
        <v>220</v>
      </c>
      <c r="C192" s="14">
        <v>16</v>
      </c>
      <c r="D192" s="15" t="s">
        <v>36</v>
      </c>
      <c r="E192" s="14">
        <v>45</v>
      </c>
      <c r="F192" s="14">
        <v>720</v>
      </c>
      <c r="G192" s="14">
        <v>25</v>
      </c>
      <c r="H192" s="14">
        <v>400</v>
      </c>
      <c r="I192" s="14">
        <f t="shared" si="11"/>
        <v>1120</v>
      </c>
      <c r="J192" s="16"/>
      <c r="K192" s="1"/>
    </row>
    <row r="193" spans="1:11" x14ac:dyDescent="0.95">
      <c r="A193" s="12"/>
      <c r="B193" s="16" t="s">
        <v>221</v>
      </c>
      <c r="C193" s="14">
        <v>40</v>
      </c>
      <c r="D193" s="15" t="s">
        <v>36</v>
      </c>
      <c r="E193" s="14">
        <v>45</v>
      </c>
      <c r="F193" s="14">
        <v>1800</v>
      </c>
      <c r="G193" s="14">
        <v>25</v>
      </c>
      <c r="H193" s="14">
        <v>1000</v>
      </c>
      <c r="I193" s="14">
        <f t="shared" si="11"/>
        <v>2800</v>
      </c>
      <c r="J193" s="16"/>
      <c r="K193" s="1"/>
    </row>
    <row r="194" spans="1:11" x14ac:dyDescent="0.95">
      <c r="A194" s="12"/>
      <c r="B194" s="16" t="s">
        <v>222</v>
      </c>
      <c r="C194" s="14">
        <v>49.92</v>
      </c>
      <c r="D194" s="15" t="s">
        <v>36</v>
      </c>
      <c r="E194" s="14">
        <v>45</v>
      </c>
      <c r="F194" s="14">
        <v>2246.4</v>
      </c>
      <c r="G194" s="14">
        <v>25</v>
      </c>
      <c r="H194" s="14">
        <v>1248</v>
      </c>
      <c r="I194" s="14">
        <f t="shared" si="11"/>
        <v>3494.4</v>
      </c>
      <c r="J194" s="16"/>
      <c r="K194" s="1"/>
    </row>
    <row r="195" spans="1:11" x14ac:dyDescent="0.95">
      <c r="A195" s="12"/>
      <c r="B195" s="16" t="s">
        <v>223</v>
      </c>
      <c r="C195" s="14">
        <v>8</v>
      </c>
      <c r="D195" s="15" t="s">
        <v>224</v>
      </c>
      <c r="E195" s="14"/>
      <c r="F195" s="14">
        <v>0</v>
      </c>
      <c r="G195" s="14">
        <v>2000</v>
      </c>
      <c r="H195" s="14">
        <v>13000</v>
      </c>
      <c r="I195" s="14">
        <f t="shared" si="11"/>
        <v>13000</v>
      </c>
      <c r="J195" s="16"/>
      <c r="K195" s="1"/>
    </row>
    <row r="196" spans="1:11" x14ac:dyDescent="0.95">
      <c r="A196" s="12"/>
      <c r="B196" s="16" t="s">
        <v>225</v>
      </c>
      <c r="C196" s="14">
        <v>1417.44</v>
      </c>
      <c r="D196" s="15" t="s">
        <v>36</v>
      </c>
      <c r="E196" s="14">
        <v>15</v>
      </c>
      <c r="F196" s="14">
        <v>21261.599999999999</v>
      </c>
      <c r="G196" s="14">
        <v>20</v>
      </c>
      <c r="H196" s="14">
        <v>28348.799999999999</v>
      </c>
      <c r="I196" s="14">
        <f t="shared" si="11"/>
        <v>49610.400000000001</v>
      </c>
      <c r="J196" s="16"/>
      <c r="K196" s="1"/>
    </row>
    <row r="197" spans="1:11" x14ac:dyDescent="0.95">
      <c r="A197" s="12"/>
      <c r="B197" s="16" t="s">
        <v>226</v>
      </c>
      <c r="C197" s="14">
        <v>8</v>
      </c>
      <c r="D197" s="15" t="s">
        <v>166</v>
      </c>
      <c r="E197" s="14">
        <v>0</v>
      </c>
      <c r="F197" s="14">
        <v>0</v>
      </c>
      <c r="G197" s="14">
        <v>100</v>
      </c>
      <c r="H197" s="14">
        <v>800</v>
      </c>
      <c r="I197" s="14">
        <f t="shared" si="11"/>
        <v>800</v>
      </c>
      <c r="J197" s="16"/>
      <c r="K197" s="1"/>
    </row>
    <row r="198" spans="1:11" s="4" customFormat="1" x14ac:dyDescent="0.95">
      <c r="A198" s="17"/>
      <c r="B198" s="13" t="s">
        <v>227</v>
      </c>
      <c r="C198" s="18"/>
      <c r="D198" s="19"/>
      <c r="E198" s="18"/>
      <c r="F198" s="18">
        <f>ROUND(SUM(F184,F185,F186,F187,F188,F189,F190,F191,F192,F193,F194,F195,F196,F197),2)</f>
        <v>141793.5</v>
      </c>
      <c r="G198" s="18"/>
      <c r="H198" s="18">
        <f>ROUND(SUM(H184,H185,H186,H187,H188,H189,H190,H191,H192,H193,H194,H195,H196,H197),2)</f>
        <v>98658.3</v>
      </c>
      <c r="I198" s="18">
        <f t="shared" si="11"/>
        <v>240451.8</v>
      </c>
      <c r="J198" s="13"/>
      <c r="K198" s="5"/>
    </row>
    <row r="199" spans="1:11" s="4" customFormat="1" x14ac:dyDescent="0.95">
      <c r="A199" s="17"/>
      <c r="B199" s="13" t="s">
        <v>228</v>
      </c>
      <c r="C199" s="18"/>
      <c r="D199" s="19"/>
      <c r="E199" s="18"/>
      <c r="F199" s="18"/>
      <c r="G199" s="18"/>
      <c r="H199" s="18"/>
      <c r="I199" s="18"/>
      <c r="J199" s="13"/>
      <c r="K199" s="5"/>
    </row>
    <row r="200" spans="1:11" x14ac:dyDescent="0.95">
      <c r="A200" s="12"/>
      <c r="B200" s="16" t="s">
        <v>56</v>
      </c>
      <c r="C200" s="14">
        <v>64</v>
      </c>
      <c r="D200" s="15" t="s">
        <v>57</v>
      </c>
      <c r="E200" s="14">
        <v>225</v>
      </c>
      <c r="F200" s="14">
        <v>14400</v>
      </c>
      <c r="G200" s="14">
        <v>0</v>
      </c>
      <c r="H200" s="14">
        <v>0</v>
      </c>
      <c r="I200" s="14">
        <f t="shared" ref="I200:I213" si="12">ROUND(F200+H200,2)</f>
        <v>14400</v>
      </c>
      <c r="J200" s="16"/>
      <c r="K200" s="1"/>
    </row>
    <row r="201" spans="1:11" x14ac:dyDescent="0.95">
      <c r="A201" s="12"/>
      <c r="B201" s="16" t="s">
        <v>229</v>
      </c>
      <c r="C201" s="14">
        <v>64</v>
      </c>
      <c r="D201" s="15" t="s">
        <v>172</v>
      </c>
      <c r="E201" s="14">
        <v>25</v>
      </c>
      <c r="F201" s="14">
        <v>1600</v>
      </c>
      <c r="G201" s="14">
        <v>0</v>
      </c>
      <c r="H201" s="14">
        <v>0</v>
      </c>
      <c r="I201" s="14">
        <f t="shared" si="12"/>
        <v>1600</v>
      </c>
      <c r="J201" s="16"/>
      <c r="K201" s="1"/>
    </row>
    <row r="202" spans="1:11" x14ac:dyDescent="0.95">
      <c r="A202" s="12"/>
      <c r="B202" s="16" t="s">
        <v>230</v>
      </c>
      <c r="C202" s="14">
        <v>16</v>
      </c>
      <c r="D202" s="15" t="s">
        <v>172</v>
      </c>
      <c r="E202" s="14">
        <v>99</v>
      </c>
      <c r="F202" s="14">
        <v>1584</v>
      </c>
      <c r="G202" s="14">
        <v>0</v>
      </c>
      <c r="H202" s="14">
        <v>0</v>
      </c>
      <c r="I202" s="14">
        <f t="shared" si="12"/>
        <v>1584</v>
      </c>
      <c r="J202" s="16"/>
      <c r="K202" s="1"/>
    </row>
    <row r="203" spans="1:11" x14ac:dyDescent="0.95">
      <c r="A203" s="12"/>
      <c r="B203" s="16" t="s">
        <v>231</v>
      </c>
      <c r="C203" s="14">
        <v>16</v>
      </c>
      <c r="D203" s="15" t="s">
        <v>172</v>
      </c>
      <c r="E203" s="14">
        <v>99</v>
      </c>
      <c r="F203" s="14">
        <v>1584</v>
      </c>
      <c r="G203" s="14">
        <v>0</v>
      </c>
      <c r="H203" s="14">
        <v>0</v>
      </c>
      <c r="I203" s="14">
        <f t="shared" si="12"/>
        <v>1584</v>
      </c>
      <c r="J203" s="16"/>
      <c r="K203" s="1"/>
    </row>
    <row r="204" spans="1:11" x14ac:dyDescent="0.95">
      <c r="A204" s="12"/>
      <c r="B204" s="16" t="s">
        <v>232</v>
      </c>
      <c r="C204" s="14">
        <v>1.33</v>
      </c>
      <c r="D204" s="15" t="s">
        <v>57</v>
      </c>
      <c r="E204" s="14">
        <v>335</v>
      </c>
      <c r="F204" s="14">
        <v>446.67</v>
      </c>
      <c r="G204" s="14">
        <v>0</v>
      </c>
      <c r="H204" s="14">
        <v>0</v>
      </c>
      <c r="I204" s="14">
        <f t="shared" si="12"/>
        <v>446.67</v>
      </c>
      <c r="J204" s="16"/>
      <c r="K204" s="1"/>
    </row>
    <row r="205" spans="1:11" x14ac:dyDescent="0.95">
      <c r="A205" s="12"/>
      <c r="B205" s="16" t="s">
        <v>67</v>
      </c>
      <c r="C205" s="14">
        <v>1.33</v>
      </c>
      <c r="D205" s="15" t="s">
        <v>68</v>
      </c>
      <c r="E205" s="14">
        <v>1240</v>
      </c>
      <c r="F205" s="14">
        <v>1653.33</v>
      </c>
      <c r="G205" s="14">
        <v>0</v>
      </c>
      <c r="H205" s="14">
        <v>0</v>
      </c>
      <c r="I205" s="14">
        <f t="shared" si="12"/>
        <v>1653.33</v>
      </c>
      <c r="J205" s="16"/>
      <c r="K205" s="1"/>
    </row>
    <row r="206" spans="1:11" x14ac:dyDescent="0.95">
      <c r="A206" s="12"/>
      <c r="B206" s="16" t="s">
        <v>69</v>
      </c>
      <c r="C206" s="14">
        <v>2.67</v>
      </c>
      <c r="D206" s="15" t="s">
        <v>70</v>
      </c>
      <c r="E206" s="14">
        <v>1089</v>
      </c>
      <c r="F206" s="14">
        <v>2904</v>
      </c>
      <c r="G206" s="14">
        <v>0</v>
      </c>
      <c r="H206" s="14">
        <v>0</v>
      </c>
      <c r="I206" s="14">
        <f t="shared" si="12"/>
        <v>2904</v>
      </c>
      <c r="J206" s="16"/>
      <c r="K206" s="1"/>
    </row>
    <row r="207" spans="1:11" x14ac:dyDescent="0.95">
      <c r="A207" s="12"/>
      <c r="B207" s="16" t="s">
        <v>72</v>
      </c>
      <c r="C207" s="14">
        <v>1.36</v>
      </c>
      <c r="D207" s="15" t="s">
        <v>68</v>
      </c>
      <c r="E207" s="14">
        <v>1595</v>
      </c>
      <c r="F207" s="14">
        <v>2169.1999999999998</v>
      </c>
      <c r="G207" s="14">
        <v>0</v>
      </c>
      <c r="H207" s="14">
        <v>0</v>
      </c>
      <c r="I207" s="14">
        <f t="shared" si="12"/>
        <v>2169.1999999999998</v>
      </c>
      <c r="J207" s="16"/>
      <c r="K207" s="1"/>
    </row>
    <row r="208" spans="1:11" x14ac:dyDescent="0.95">
      <c r="A208" s="12"/>
      <c r="B208" s="16" t="s">
        <v>71</v>
      </c>
      <c r="C208" s="14">
        <v>5.33</v>
      </c>
      <c r="D208" s="15" t="s">
        <v>70</v>
      </c>
      <c r="E208" s="14">
        <v>389</v>
      </c>
      <c r="F208" s="14">
        <v>2074.67</v>
      </c>
      <c r="G208" s="14">
        <v>0</v>
      </c>
      <c r="H208" s="14">
        <v>0</v>
      </c>
      <c r="I208" s="14">
        <f t="shared" si="12"/>
        <v>2074.67</v>
      </c>
      <c r="J208" s="16"/>
      <c r="K208" s="1"/>
    </row>
    <row r="209" spans="1:11" x14ac:dyDescent="0.95">
      <c r="A209" s="12"/>
      <c r="B209" s="16" t="s">
        <v>233</v>
      </c>
      <c r="C209" s="14">
        <v>1.36</v>
      </c>
      <c r="D209" s="15" t="s">
        <v>146</v>
      </c>
      <c r="E209" s="14">
        <v>357</v>
      </c>
      <c r="F209" s="14">
        <v>485.52</v>
      </c>
      <c r="G209" s="14">
        <v>0</v>
      </c>
      <c r="H209" s="14">
        <v>0</v>
      </c>
      <c r="I209" s="14">
        <f t="shared" si="12"/>
        <v>485.52</v>
      </c>
      <c r="J209" s="16"/>
      <c r="K209" s="1"/>
    </row>
    <row r="210" spans="1:11" x14ac:dyDescent="0.95">
      <c r="A210" s="12"/>
      <c r="B210" s="16" t="s">
        <v>234</v>
      </c>
      <c r="C210" s="14">
        <v>1.36</v>
      </c>
      <c r="D210" s="15" t="s">
        <v>146</v>
      </c>
      <c r="E210" s="14">
        <v>329</v>
      </c>
      <c r="F210" s="14">
        <v>447.44</v>
      </c>
      <c r="G210" s="14">
        <v>0</v>
      </c>
      <c r="H210" s="14">
        <v>0</v>
      </c>
      <c r="I210" s="14">
        <f t="shared" si="12"/>
        <v>447.44</v>
      </c>
      <c r="J210" s="16"/>
      <c r="K210" s="1"/>
    </row>
    <row r="211" spans="1:11" x14ac:dyDescent="0.95">
      <c r="A211" s="12"/>
      <c r="B211" s="16" t="s">
        <v>235</v>
      </c>
      <c r="C211" s="14">
        <v>8</v>
      </c>
      <c r="D211" s="15" t="s">
        <v>77</v>
      </c>
      <c r="E211" s="14">
        <v>0</v>
      </c>
      <c r="F211" s="14">
        <v>0</v>
      </c>
      <c r="G211" s="14">
        <v>1600</v>
      </c>
      <c r="H211" s="14">
        <v>12800</v>
      </c>
      <c r="I211" s="14">
        <f t="shared" si="12"/>
        <v>12800</v>
      </c>
      <c r="J211" s="16"/>
      <c r="K211" s="1"/>
    </row>
    <row r="212" spans="1:11" s="4" customFormat="1" x14ac:dyDescent="0.95">
      <c r="A212" s="17"/>
      <c r="B212" s="13" t="s">
        <v>236</v>
      </c>
      <c r="C212" s="18"/>
      <c r="D212" s="19"/>
      <c r="E212" s="18"/>
      <c r="F212" s="18">
        <f>ROUND(SUM(F200,F201,F202,F203,F204,F205,F206,F207,F208,F209,F210,F211),2)</f>
        <v>29348.83</v>
      </c>
      <c r="G212" s="18"/>
      <c r="H212" s="18">
        <f>ROUND(SUM(H200,H201,H202,H203,H204,H205,H206,H207,H208,H209,H210,H211),2)</f>
        <v>12800</v>
      </c>
      <c r="I212" s="18">
        <f t="shared" si="12"/>
        <v>42148.83</v>
      </c>
      <c r="J212" s="13"/>
      <c r="K212" s="5"/>
    </row>
    <row r="213" spans="1:11" s="4" customFormat="1" x14ac:dyDescent="0.95">
      <c r="A213" s="8">
        <v>2</v>
      </c>
      <c r="B213" s="9" t="s">
        <v>237</v>
      </c>
      <c r="C213" s="10"/>
      <c r="D213" s="11" t="s">
        <v>84</v>
      </c>
      <c r="E213" s="10"/>
      <c r="F213" s="10">
        <f>ROUND(SUM(F68,F69,F70,F71,F72,F73,F74,F75,F76,F77,F78,F79,F80,F81,F82,F83,F84,F85,F86,F87,F88,F89,F90,F91,F92,F93,F96,F97,F100,F101,F102,F103,F104,F105,F106,F107,F108,F111,F112,F115,F116,F117,F118,F119,F122,F123,F124,F125,F126,F127,F128,F129,F130,F131,F132,F133,F134,F137,F138,F139,F140,F141,F142,F143,F146,F147,F148,F149,F150,F151,F152,F153,F154,F155,F156,F157,F158,F159,F160,F161,F162,F163,F166,F167,F168,F169,F170,F171,F172,F173,F174,F177,F178,F179,F180,F181,F184,F185,F186,F187,F188,F189,F190,F191,F192,F193,F194,F195,F196,F197,F200,F201,F202,F203,F204,F205,F206,F207,F208,F209,F210,F211),2)</f>
        <v>818708.49</v>
      </c>
      <c r="G213" s="10"/>
      <c r="H213" s="10">
        <f>ROUND(SUM(H68,H69,H70,H71,H72,H73,H74,H75,H76,H77,H78,H79,H80,H81,H82,H83,H84,H85,H86,H87,H88,H89,H90,H91,H92,H93,H96,H97,H100,H101,H102,H103,H104,H105,H106,H107,H108,H111,H112,H115,H116,H117,H118,H119,H122,H123,H124,H125,H126,H127,H128,H129,H130,H131,H132,H133,H134,H137,H138,H139,H140,H141,H142,H143,H146,H147,H148,H149,H150,H151,H152,H153,H154,H155,H156,H157,H158,H159,H160,H161,H162,H163,H166,H167,H168,H169,H170,H171,H172,H173,H174,H177,H178,H179,H180,H181,H184,H185,H186,H187,H188,H189,H190,H191,H192,H193,H194,H195,H196,H197,H200,H201,H202,H203,H204,H205,H206,H207,H208,H209,H210,H211),2)</f>
        <v>745486.98</v>
      </c>
      <c r="I213" s="10">
        <f t="shared" si="12"/>
        <v>1564195.47</v>
      </c>
      <c r="J213" s="9"/>
      <c r="K213" s="5"/>
    </row>
    <row r="214" spans="1:11" x14ac:dyDescent="0.95">
      <c r="A214" s="25"/>
      <c r="B214" s="26"/>
      <c r="C214" s="26"/>
      <c r="D214" s="26"/>
      <c r="E214" s="26"/>
      <c r="F214" s="26"/>
      <c r="G214" s="26"/>
      <c r="H214" s="26"/>
      <c r="I214" s="26"/>
      <c r="J214" s="27"/>
      <c r="K214" s="1"/>
    </row>
    <row r="215" spans="1:11" s="4" customFormat="1" x14ac:dyDescent="0.95">
      <c r="A215" s="8">
        <v>3</v>
      </c>
      <c r="B215" s="9" t="s">
        <v>238</v>
      </c>
      <c r="C215" s="10"/>
      <c r="D215" s="11"/>
      <c r="E215" s="10"/>
      <c r="F215" s="10"/>
      <c r="G215" s="10"/>
      <c r="H215" s="10"/>
      <c r="I215" s="10"/>
      <c r="J215" s="9"/>
      <c r="K215" s="5"/>
    </row>
    <row r="216" spans="1:11" s="4" customFormat="1" x14ac:dyDescent="0.95">
      <c r="A216" s="17"/>
      <c r="B216" s="13" t="s">
        <v>239</v>
      </c>
      <c r="C216" s="18"/>
      <c r="D216" s="19"/>
      <c r="E216" s="18"/>
      <c r="F216" s="18"/>
      <c r="G216" s="18"/>
      <c r="H216" s="18"/>
      <c r="I216" s="18"/>
      <c r="J216" s="13"/>
      <c r="K216" s="5"/>
    </row>
    <row r="217" spans="1:11" x14ac:dyDescent="0.95">
      <c r="A217" s="12"/>
      <c r="B217" s="16" t="s">
        <v>240</v>
      </c>
      <c r="C217" s="14">
        <v>120</v>
      </c>
      <c r="D217" s="15" t="s">
        <v>172</v>
      </c>
      <c r="E217" s="14">
        <v>31</v>
      </c>
      <c r="F217" s="14">
        <v>3720</v>
      </c>
      <c r="G217" s="14">
        <v>0</v>
      </c>
      <c r="H217" s="14">
        <v>0</v>
      </c>
      <c r="I217" s="14">
        <f t="shared" ref="I217:I222" si="13">ROUND(F217+H217,2)</f>
        <v>3720</v>
      </c>
      <c r="J217" s="16"/>
      <c r="K217" s="1"/>
    </row>
    <row r="218" spans="1:11" x14ac:dyDescent="0.95">
      <c r="A218" s="12"/>
      <c r="B218" s="16" t="s">
        <v>241</v>
      </c>
      <c r="C218" s="14">
        <v>128</v>
      </c>
      <c r="D218" s="15" t="s">
        <v>172</v>
      </c>
      <c r="E218" s="14">
        <v>65</v>
      </c>
      <c r="F218" s="14">
        <v>8320</v>
      </c>
      <c r="G218" s="14">
        <v>0</v>
      </c>
      <c r="H218" s="14">
        <v>0</v>
      </c>
      <c r="I218" s="14">
        <f t="shared" si="13"/>
        <v>8320</v>
      </c>
      <c r="J218" s="16"/>
      <c r="K218" s="1"/>
    </row>
    <row r="219" spans="1:11" x14ac:dyDescent="0.95">
      <c r="A219" s="12"/>
      <c r="B219" s="16" t="s">
        <v>242</v>
      </c>
      <c r="C219" s="14">
        <v>8</v>
      </c>
      <c r="D219" s="15" t="s">
        <v>172</v>
      </c>
      <c r="E219" s="14">
        <v>109</v>
      </c>
      <c r="F219" s="14">
        <v>872</v>
      </c>
      <c r="G219" s="14">
        <v>0</v>
      </c>
      <c r="H219" s="14">
        <v>0</v>
      </c>
      <c r="I219" s="14">
        <f t="shared" si="13"/>
        <v>872</v>
      </c>
      <c r="J219" s="16"/>
      <c r="K219" s="1"/>
    </row>
    <row r="220" spans="1:11" x14ac:dyDescent="0.95">
      <c r="A220" s="12"/>
      <c r="B220" s="16" t="s">
        <v>243</v>
      </c>
      <c r="C220" s="14">
        <v>8</v>
      </c>
      <c r="D220" s="15" t="s">
        <v>172</v>
      </c>
      <c r="E220" s="14">
        <v>349</v>
      </c>
      <c r="F220" s="14">
        <v>2792</v>
      </c>
      <c r="G220" s="14">
        <v>0</v>
      </c>
      <c r="H220" s="14">
        <v>0</v>
      </c>
      <c r="I220" s="14">
        <f t="shared" si="13"/>
        <v>2792</v>
      </c>
      <c r="J220" s="16"/>
      <c r="K220" s="1"/>
    </row>
    <row r="221" spans="1:11" x14ac:dyDescent="0.95">
      <c r="A221" s="12"/>
      <c r="B221" s="16" t="s">
        <v>244</v>
      </c>
      <c r="C221" s="14">
        <v>8</v>
      </c>
      <c r="D221" s="15" t="s">
        <v>172</v>
      </c>
      <c r="E221" s="14">
        <v>0</v>
      </c>
      <c r="F221" s="14">
        <v>0</v>
      </c>
      <c r="G221" s="14">
        <v>0</v>
      </c>
      <c r="H221" s="14">
        <v>0</v>
      </c>
      <c r="I221" s="14">
        <f t="shared" si="13"/>
        <v>0</v>
      </c>
      <c r="J221" s="16"/>
      <c r="K221" s="1"/>
    </row>
    <row r="222" spans="1:11" s="4" customFormat="1" x14ac:dyDescent="0.95">
      <c r="A222" s="17"/>
      <c r="B222" s="13" t="s">
        <v>245</v>
      </c>
      <c r="C222" s="18"/>
      <c r="D222" s="19"/>
      <c r="E222" s="18"/>
      <c r="F222" s="18">
        <f>ROUND(SUM(F217,F218,F219,F220,F221),2)</f>
        <v>15704</v>
      </c>
      <c r="G222" s="18"/>
      <c r="H222" s="18">
        <f>ROUND(SUM(H217,H218,H219,H220,H221),2)</f>
        <v>0</v>
      </c>
      <c r="I222" s="18">
        <f t="shared" si="13"/>
        <v>15704</v>
      </c>
      <c r="J222" s="13"/>
      <c r="K222" s="5"/>
    </row>
    <row r="223" spans="1:11" s="4" customFormat="1" x14ac:dyDescent="0.95">
      <c r="A223" s="17"/>
      <c r="B223" s="13" t="s">
        <v>246</v>
      </c>
      <c r="C223" s="18"/>
      <c r="D223" s="19"/>
      <c r="E223" s="18">
        <v>0</v>
      </c>
      <c r="F223" s="18">
        <v>0</v>
      </c>
      <c r="G223" s="18">
        <v>0</v>
      </c>
      <c r="H223" s="18">
        <v>0</v>
      </c>
      <c r="I223" s="18">
        <f>H223+F223</f>
        <v>0</v>
      </c>
      <c r="J223" s="13"/>
      <c r="K223" s="5"/>
    </row>
    <row r="224" spans="1:11" x14ac:dyDescent="0.95">
      <c r="A224" s="12"/>
      <c r="B224" s="16" t="s">
        <v>247</v>
      </c>
      <c r="C224" s="14">
        <v>24</v>
      </c>
      <c r="D224" s="15" t="s">
        <v>172</v>
      </c>
      <c r="E224" s="14">
        <v>0</v>
      </c>
      <c r="F224" s="14">
        <v>0</v>
      </c>
      <c r="G224" s="14">
        <v>0</v>
      </c>
      <c r="H224" s="14">
        <v>0</v>
      </c>
      <c r="I224" s="14">
        <f t="shared" ref="I224:I230" si="14">ROUND(F224+H224,2)</f>
        <v>0</v>
      </c>
      <c r="J224" s="16"/>
      <c r="K224" s="1"/>
    </row>
    <row r="225" spans="1:11" x14ac:dyDescent="0.95">
      <c r="A225" s="12"/>
      <c r="B225" s="16" t="s">
        <v>248</v>
      </c>
      <c r="C225" s="14">
        <v>24</v>
      </c>
      <c r="D225" s="15" t="s">
        <v>172</v>
      </c>
      <c r="E225" s="14">
        <v>0</v>
      </c>
      <c r="F225" s="14">
        <v>0</v>
      </c>
      <c r="G225" s="14">
        <v>0</v>
      </c>
      <c r="H225" s="14">
        <v>0</v>
      </c>
      <c r="I225" s="14">
        <f t="shared" si="14"/>
        <v>0</v>
      </c>
      <c r="J225" s="16"/>
      <c r="K225" s="1"/>
    </row>
    <row r="226" spans="1:11" x14ac:dyDescent="0.95">
      <c r="A226" s="12"/>
      <c r="B226" s="16" t="s">
        <v>249</v>
      </c>
      <c r="C226" s="14">
        <v>16</v>
      </c>
      <c r="D226" s="15" t="s">
        <v>172</v>
      </c>
      <c r="E226" s="14">
        <v>0</v>
      </c>
      <c r="F226" s="14">
        <v>0</v>
      </c>
      <c r="G226" s="14">
        <v>0</v>
      </c>
      <c r="H226" s="14">
        <v>0</v>
      </c>
      <c r="I226" s="14">
        <f t="shared" si="14"/>
        <v>0</v>
      </c>
      <c r="J226" s="16"/>
      <c r="K226" s="1"/>
    </row>
    <row r="227" spans="1:11" x14ac:dyDescent="0.95">
      <c r="A227" s="12"/>
      <c r="B227" s="16" t="s">
        <v>250</v>
      </c>
      <c r="C227" s="14">
        <v>88</v>
      </c>
      <c r="D227" s="15" t="s">
        <v>172</v>
      </c>
      <c r="E227" s="14">
        <v>0</v>
      </c>
      <c r="F227" s="14">
        <v>0</v>
      </c>
      <c r="G227" s="14">
        <v>0</v>
      </c>
      <c r="H227" s="14">
        <v>0</v>
      </c>
      <c r="I227" s="14">
        <f t="shared" si="14"/>
        <v>0</v>
      </c>
      <c r="J227" s="16"/>
      <c r="K227" s="1"/>
    </row>
    <row r="228" spans="1:11" x14ac:dyDescent="0.95">
      <c r="A228" s="12"/>
      <c r="B228" s="16" t="s">
        <v>251</v>
      </c>
      <c r="C228" s="14">
        <v>24</v>
      </c>
      <c r="D228" s="15" t="s">
        <v>172</v>
      </c>
      <c r="E228" s="14">
        <v>0</v>
      </c>
      <c r="F228" s="14">
        <v>0</v>
      </c>
      <c r="G228" s="14">
        <v>0</v>
      </c>
      <c r="H228" s="14">
        <v>0</v>
      </c>
      <c r="I228" s="14">
        <f t="shared" si="14"/>
        <v>0</v>
      </c>
      <c r="J228" s="16"/>
      <c r="K228" s="1"/>
    </row>
    <row r="229" spans="1:11" x14ac:dyDescent="0.95">
      <c r="A229" s="12"/>
      <c r="B229" s="16" t="s">
        <v>252</v>
      </c>
      <c r="C229" s="14">
        <v>8</v>
      </c>
      <c r="D229" s="15" t="s">
        <v>172</v>
      </c>
      <c r="E229" s="14">
        <v>0</v>
      </c>
      <c r="F229" s="14">
        <v>0</v>
      </c>
      <c r="G229" s="14">
        <v>0</v>
      </c>
      <c r="H229" s="14">
        <v>0</v>
      </c>
      <c r="I229" s="14">
        <f t="shared" si="14"/>
        <v>0</v>
      </c>
      <c r="J229" s="16"/>
      <c r="K229" s="1"/>
    </row>
    <row r="230" spans="1:11" s="4" customFormat="1" x14ac:dyDescent="0.95">
      <c r="A230" s="17"/>
      <c r="B230" s="13" t="s">
        <v>253</v>
      </c>
      <c r="C230" s="18"/>
      <c r="D230" s="19"/>
      <c r="E230" s="18"/>
      <c r="F230" s="18">
        <f>ROUND(SUM(F224,F225,F226,F227,F228,F229),2)</f>
        <v>0</v>
      </c>
      <c r="G230" s="18"/>
      <c r="H230" s="18">
        <f>ROUND(SUM(H224,H225,H226,H227,H228,H229),2)</f>
        <v>0</v>
      </c>
      <c r="I230" s="18">
        <f t="shared" si="14"/>
        <v>0</v>
      </c>
      <c r="J230" s="13"/>
      <c r="K230" s="5"/>
    </row>
    <row r="231" spans="1:11" s="4" customFormat="1" x14ac:dyDescent="0.95">
      <c r="A231" s="17"/>
      <c r="B231" s="13" t="s">
        <v>254</v>
      </c>
      <c r="C231" s="18"/>
      <c r="D231" s="19"/>
      <c r="E231" s="18">
        <v>0</v>
      </c>
      <c r="F231" s="18">
        <v>0</v>
      </c>
      <c r="G231" s="18">
        <v>0</v>
      </c>
      <c r="H231" s="18">
        <v>0</v>
      </c>
      <c r="I231" s="18">
        <v>0</v>
      </c>
      <c r="J231" s="13"/>
      <c r="K231" s="5"/>
    </row>
    <row r="232" spans="1:11" x14ac:dyDescent="0.95">
      <c r="A232" s="12"/>
      <c r="B232" s="16" t="s">
        <v>255</v>
      </c>
      <c r="C232" s="14">
        <v>8</v>
      </c>
      <c r="D232" s="15" t="s">
        <v>166</v>
      </c>
      <c r="E232" s="14">
        <v>0</v>
      </c>
      <c r="F232" s="14">
        <v>0</v>
      </c>
      <c r="G232" s="14">
        <v>0</v>
      </c>
      <c r="H232" s="14">
        <v>179100</v>
      </c>
      <c r="I232" s="14">
        <f>ROUND(F232+H232,2)</f>
        <v>179100</v>
      </c>
      <c r="J232" s="16"/>
      <c r="K232" s="1"/>
    </row>
    <row r="233" spans="1:11" s="4" customFormat="1" x14ac:dyDescent="0.95">
      <c r="A233" s="17"/>
      <c r="B233" s="13" t="s">
        <v>256</v>
      </c>
      <c r="C233" s="18"/>
      <c r="D233" s="19"/>
      <c r="E233" s="18"/>
      <c r="F233" s="18">
        <f>ROUND(SUM(F232),2)</f>
        <v>0</v>
      </c>
      <c r="G233" s="18"/>
      <c r="H233" s="18">
        <f>ROUND(SUM(H232),2)</f>
        <v>179100</v>
      </c>
      <c r="I233" s="18">
        <f>ROUND(F233+H233,2)</f>
        <v>179100</v>
      </c>
      <c r="J233" s="13"/>
      <c r="K233" s="5"/>
    </row>
    <row r="234" spans="1:11" s="4" customFormat="1" x14ac:dyDescent="0.95">
      <c r="A234" s="17"/>
      <c r="B234" s="13" t="s">
        <v>257</v>
      </c>
      <c r="C234" s="18"/>
      <c r="D234" s="19"/>
      <c r="E234" s="18">
        <v>0</v>
      </c>
      <c r="F234" s="18">
        <v>0</v>
      </c>
      <c r="G234" s="18">
        <v>2</v>
      </c>
      <c r="H234" s="18">
        <v>0</v>
      </c>
      <c r="I234" s="18">
        <v>0</v>
      </c>
      <c r="J234" s="13"/>
      <c r="K234" s="5"/>
    </row>
    <row r="235" spans="1:11" x14ac:dyDescent="0.95">
      <c r="A235" s="12"/>
      <c r="B235" s="16" t="s">
        <v>258</v>
      </c>
      <c r="C235" s="14">
        <v>8</v>
      </c>
      <c r="D235" s="15" t="s">
        <v>172</v>
      </c>
      <c r="E235" s="14">
        <v>0</v>
      </c>
      <c r="F235" s="14">
        <v>0</v>
      </c>
      <c r="G235" s="14">
        <v>3</v>
      </c>
      <c r="H235" s="14">
        <v>6</v>
      </c>
      <c r="I235" s="14">
        <f>ROUND(F235+H235,2)</f>
        <v>6</v>
      </c>
      <c r="J235" s="16"/>
      <c r="K235" s="1"/>
    </row>
    <row r="236" spans="1:11" x14ac:dyDescent="0.95">
      <c r="A236" s="12"/>
      <c r="B236" s="16" t="s">
        <v>259</v>
      </c>
      <c r="C236" s="14">
        <v>8</v>
      </c>
      <c r="D236" s="15" t="s">
        <v>172</v>
      </c>
      <c r="E236" s="14">
        <v>0</v>
      </c>
      <c r="F236" s="14">
        <v>0</v>
      </c>
      <c r="G236" s="14">
        <v>4</v>
      </c>
      <c r="H236" s="14">
        <v>8</v>
      </c>
      <c r="I236" s="14">
        <f>ROUND(F236+H236,2)</f>
        <v>8</v>
      </c>
      <c r="J236" s="16"/>
      <c r="K236" s="1"/>
    </row>
    <row r="237" spans="1:11" x14ac:dyDescent="0.95">
      <c r="A237" s="12"/>
      <c r="B237" s="16" t="s">
        <v>260</v>
      </c>
      <c r="C237" s="14">
        <v>2</v>
      </c>
      <c r="D237" s="15" t="s">
        <v>77</v>
      </c>
      <c r="E237" s="14">
        <v>0</v>
      </c>
      <c r="F237" s="14">
        <v>0</v>
      </c>
      <c r="G237" s="14">
        <v>29850</v>
      </c>
      <c r="H237" s="14">
        <v>59700</v>
      </c>
      <c r="I237" s="14">
        <f>ROUND(F237+H237,2)</f>
        <v>59700</v>
      </c>
      <c r="J237" s="16"/>
      <c r="K237" s="1"/>
    </row>
    <row r="238" spans="1:11" s="4" customFormat="1" x14ac:dyDescent="0.95">
      <c r="A238" s="17"/>
      <c r="B238" s="13" t="s">
        <v>261</v>
      </c>
      <c r="C238" s="18"/>
      <c r="D238" s="19"/>
      <c r="E238" s="18"/>
      <c r="F238" s="18">
        <f>ROUND(SUM(F235,F236,F237),2)</f>
        <v>0</v>
      </c>
      <c r="G238" s="18"/>
      <c r="H238" s="18">
        <f>ROUND(SUM(H235,H236,H237),2)</f>
        <v>59714</v>
      </c>
      <c r="I238" s="18">
        <f>ROUND(F238+H238,2)</f>
        <v>59714</v>
      </c>
      <c r="J238" s="13"/>
      <c r="K238" s="5"/>
    </row>
    <row r="239" spans="1:11" s="4" customFormat="1" x14ac:dyDescent="0.95">
      <c r="A239" s="8">
        <v>3</v>
      </c>
      <c r="B239" s="9" t="s">
        <v>262</v>
      </c>
      <c r="C239" s="10"/>
      <c r="D239" s="11" t="s">
        <v>84</v>
      </c>
      <c r="E239" s="10"/>
      <c r="F239" s="10">
        <f>ROUND(SUM(F217,F218,F219,F220,F221,F224,F225,F226,F227,F228,F229,F232,F235,F236,F237),2)</f>
        <v>15704</v>
      </c>
      <c r="G239" s="10"/>
      <c r="H239" s="10">
        <f>ROUND(SUM(H217,H218,H219,H220,H221,H224,H225,H226,H227,H228,H229,H232,H235,H236,H237),2)</f>
        <v>238814</v>
      </c>
      <c r="I239" s="10">
        <f>ROUND(F239+H239,2)</f>
        <v>254518</v>
      </c>
      <c r="J239" s="9"/>
      <c r="K239" s="5"/>
    </row>
    <row r="240" spans="1:11" x14ac:dyDescent="0.95">
      <c r="A240" s="25"/>
      <c r="B240" s="26"/>
      <c r="C240" s="26"/>
      <c r="D240" s="26"/>
      <c r="E240" s="26"/>
      <c r="F240" s="26"/>
      <c r="G240" s="26"/>
      <c r="H240" s="26"/>
      <c r="I240" s="26"/>
      <c r="J240" s="27"/>
      <c r="K240" s="1"/>
    </row>
    <row r="241" spans="1:11" s="4" customFormat="1" x14ac:dyDescent="0.95">
      <c r="A241" s="8">
        <v>4</v>
      </c>
      <c r="B241" s="9" t="s">
        <v>263</v>
      </c>
      <c r="C241" s="10"/>
      <c r="D241" s="11"/>
      <c r="E241" s="10"/>
      <c r="F241" s="10"/>
      <c r="G241" s="10"/>
      <c r="H241" s="10"/>
      <c r="I241" s="10"/>
      <c r="J241" s="9"/>
      <c r="K241" s="5"/>
    </row>
    <row r="242" spans="1:11" x14ac:dyDescent="0.95">
      <c r="A242" s="12"/>
      <c r="B242" s="16" t="s">
        <v>264</v>
      </c>
      <c r="C242" s="14">
        <v>8</v>
      </c>
      <c r="D242" s="15" t="s">
        <v>57</v>
      </c>
      <c r="E242" s="14">
        <v>1105</v>
      </c>
      <c r="F242" s="14">
        <v>8840</v>
      </c>
      <c r="G242" s="14">
        <v>0</v>
      </c>
      <c r="H242" s="14">
        <v>0</v>
      </c>
      <c r="I242" s="14">
        <f t="shared" ref="I242:I264" si="15">ROUND(F242+H242,2)</f>
        <v>8840</v>
      </c>
      <c r="J242" s="16"/>
      <c r="K242" s="1"/>
    </row>
    <row r="243" spans="1:11" x14ac:dyDescent="0.95">
      <c r="A243" s="12"/>
      <c r="B243" s="16" t="s">
        <v>265</v>
      </c>
      <c r="C243" s="14">
        <v>14.67</v>
      </c>
      <c r="D243" s="15" t="s">
        <v>57</v>
      </c>
      <c r="E243" s="14">
        <v>810</v>
      </c>
      <c r="F243" s="14">
        <v>11880</v>
      </c>
      <c r="G243" s="14">
        <v>0</v>
      </c>
      <c r="H243" s="14">
        <v>0</v>
      </c>
      <c r="I243" s="14">
        <f t="shared" si="15"/>
        <v>11880</v>
      </c>
      <c r="J243" s="16"/>
      <c r="K243" s="1"/>
    </row>
    <row r="244" spans="1:11" x14ac:dyDescent="0.95">
      <c r="A244" s="12"/>
      <c r="B244" s="16" t="s">
        <v>266</v>
      </c>
      <c r="C244" s="14">
        <v>16</v>
      </c>
      <c r="D244" s="15" t="s">
        <v>57</v>
      </c>
      <c r="E244" s="14">
        <v>610</v>
      </c>
      <c r="F244" s="14">
        <v>9760</v>
      </c>
      <c r="G244" s="14">
        <v>0</v>
      </c>
      <c r="H244" s="14">
        <v>0</v>
      </c>
      <c r="I244" s="14">
        <f t="shared" si="15"/>
        <v>9760</v>
      </c>
      <c r="J244" s="16"/>
      <c r="K244" s="1"/>
    </row>
    <row r="245" spans="1:11" x14ac:dyDescent="0.95">
      <c r="A245" s="12"/>
      <c r="B245" s="16" t="s">
        <v>267</v>
      </c>
      <c r="C245" s="14">
        <v>48</v>
      </c>
      <c r="D245" s="15" t="s">
        <v>57</v>
      </c>
      <c r="E245" s="14">
        <v>395</v>
      </c>
      <c r="F245" s="14">
        <v>18960</v>
      </c>
      <c r="G245" s="14">
        <v>0</v>
      </c>
      <c r="H245" s="14">
        <v>0</v>
      </c>
      <c r="I245" s="14">
        <f t="shared" si="15"/>
        <v>18960</v>
      </c>
      <c r="J245" s="16"/>
      <c r="K245" s="1"/>
    </row>
    <row r="246" spans="1:11" x14ac:dyDescent="0.95">
      <c r="A246" s="12"/>
      <c r="B246" s="16" t="s">
        <v>268</v>
      </c>
      <c r="C246" s="14">
        <v>9.33</v>
      </c>
      <c r="D246" s="15" t="s">
        <v>29</v>
      </c>
      <c r="E246" s="14">
        <v>49</v>
      </c>
      <c r="F246" s="14">
        <v>457.33</v>
      </c>
      <c r="G246" s="14">
        <v>0</v>
      </c>
      <c r="H246" s="14">
        <v>0</v>
      </c>
      <c r="I246" s="14">
        <f t="shared" si="15"/>
        <v>457.33</v>
      </c>
      <c r="J246" s="16"/>
      <c r="K246" s="1"/>
    </row>
    <row r="247" spans="1:11" x14ac:dyDescent="0.95">
      <c r="A247" s="12"/>
      <c r="B247" s="16" t="s">
        <v>269</v>
      </c>
      <c r="C247" s="14">
        <v>9.33</v>
      </c>
      <c r="D247" s="15" t="s">
        <v>29</v>
      </c>
      <c r="E247" s="14">
        <v>39</v>
      </c>
      <c r="F247" s="14">
        <v>364</v>
      </c>
      <c r="G247" s="14">
        <v>0</v>
      </c>
      <c r="H247" s="14">
        <v>0</v>
      </c>
      <c r="I247" s="14">
        <f t="shared" si="15"/>
        <v>364</v>
      </c>
      <c r="J247" s="16"/>
      <c r="K247" s="1"/>
    </row>
    <row r="248" spans="1:11" x14ac:dyDescent="0.95">
      <c r="A248" s="12"/>
      <c r="B248" s="16" t="s">
        <v>270</v>
      </c>
      <c r="C248" s="14">
        <v>2.67</v>
      </c>
      <c r="D248" s="15" t="s">
        <v>57</v>
      </c>
      <c r="E248" s="14">
        <v>285</v>
      </c>
      <c r="F248" s="14">
        <v>760</v>
      </c>
      <c r="G248" s="14">
        <v>0</v>
      </c>
      <c r="H248" s="14">
        <v>0</v>
      </c>
      <c r="I248" s="14">
        <f t="shared" si="15"/>
        <v>760</v>
      </c>
      <c r="J248" s="16"/>
      <c r="K248" s="1"/>
    </row>
    <row r="249" spans="1:11" x14ac:dyDescent="0.95">
      <c r="A249" s="12"/>
      <c r="B249" s="16" t="s">
        <v>271</v>
      </c>
      <c r="C249" s="14">
        <v>17.329999999999998</v>
      </c>
      <c r="D249" s="15" t="s">
        <v>57</v>
      </c>
      <c r="E249" s="14">
        <v>250</v>
      </c>
      <c r="F249" s="14">
        <v>4333.33</v>
      </c>
      <c r="G249" s="14">
        <v>0</v>
      </c>
      <c r="H249" s="14">
        <v>0</v>
      </c>
      <c r="I249" s="14">
        <f t="shared" si="15"/>
        <v>4333.33</v>
      </c>
      <c r="J249" s="16"/>
      <c r="K249" s="1"/>
    </row>
    <row r="250" spans="1:11" x14ac:dyDescent="0.95">
      <c r="A250" s="12"/>
      <c r="B250" s="16" t="s">
        <v>272</v>
      </c>
      <c r="C250" s="14">
        <v>68</v>
      </c>
      <c r="D250" s="15" t="s">
        <v>81</v>
      </c>
      <c r="E250" s="14">
        <v>212</v>
      </c>
      <c r="F250" s="14">
        <v>14416</v>
      </c>
      <c r="G250" s="14">
        <v>0</v>
      </c>
      <c r="H250" s="14">
        <v>0</v>
      </c>
      <c r="I250" s="14">
        <f t="shared" si="15"/>
        <v>14416</v>
      </c>
      <c r="J250" s="16"/>
      <c r="K250" s="1"/>
    </row>
    <row r="251" spans="1:11" x14ac:dyDescent="0.95">
      <c r="A251" s="12"/>
      <c r="B251" s="16" t="s">
        <v>273</v>
      </c>
      <c r="C251" s="14">
        <v>266.67</v>
      </c>
      <c r="D251" s="15" t="s">
        <v>95</v>
      </c>
      <c r="E251" s="14">
        <v>2.7</v>
      </c>
      <c r="F251" s="14">
        <v>720</v>
      </c>
      <c r="G251" s="14">
        <v>0</v>
      </c>
      <c r="H251" s="14">
        <v>0</v>
      </c>
      <c r="I251" s="14">
        <f t="shared" si="15"/>
        <v>720</v>
      </c>
      <c r="J251" s="16"/>
      <c r="K251" s="1"/>
    </row>
    <row r="252" spans="1:11" x14ac:dyDescent="0.95">
      <c r="A252" s="12"/>
      <c r="B252" s="16" t="s">
        <v>67</v>
      </c>
      <c r="C252" s="14">
        <v>1.33</v>
      </c>
      <c r="D252" s="15" t="s">
        <v>68</v>
      </c>
      <c r="E252" s="14">
        <v>1500</v>
      </c>
      <c r="F252" s="14">
        <v>2000</v>
      </c>
      <c r="G252" s="14">
        <v>0</v>
      </c>
      <c r="H252" s="14">
        <v>0</v>
      </c>
      <c r="I252" s="14">
        <f t="shared" si="15"/>
        <v>2000</v>
      </c>
      <c r="J252" s="16"/>
      <c r="K252" s="1"/>
    </row>
    <row r="253" spans="1:11" x14ac:dyDescent="0.95">
      <c r="A253" s="12"/>
      <c r="B253" s="16" t="s">
        <v>69</v>
      </c>
      <c r="C253" s="14">
        <v>4</v>
      </c>
      <c r="D253" s="15" t="s">
        <v>70</v>
      </c>
      <c r="E253" s="14">
        <v>1189</v>
      </c>
      <c r="F253" s="14">
        <v>4756</v>
      </c>
      <c r="G253" s="14">
        <v>0</v>
      </c>
      <c r="H253" s="14">
        <v>0</v>
      </c>
      <c r="I253" s="14">
        <f t="shared" si="15"/>
        <v>4756</v>
      </c>
      <c r="J253" s="16"/>
      <c r="K253" s="1"/>
    </row>
    <row r="254" spans="1:11" x14ac:dyDescent="0.95">
      <c r="A254" s="12"/>
      <c r="B254" s="16" t="s">
        <v>71</v>
      </c>
      <c r="C254" s="14">
        <v>1.33</v>
      </c>
      <c r="D254" s="15" t="s">
        <v>70</v>
      </c>
      <c r="E254" s="14">
        <v>499</v>
      </c>
      <c r="F254" s="14">
        <v>665.33</v>
      </c>
      <c r="G254" s="14">
        <v>0</v>
      </c>
      <c r="H254" s="14">
        <v>0</v>
      </c>
      <c r="I254" s="14">
        <f t="shared" si="15"/>
        <v>665.33</v>
      </c>
      <c r="J254" s="16"/>
      <c r="K254" s="1"/>
    </row>
    <row r="255" spans="1:11" x14ac:dyDescent="0.95">
      <c r="A255" s="12"/>
      <c r="B255" s="16" t="s">
        <v>72</v>
      </c>
      <c r="C255" s="14">
        <v>8</v>
      </c>
      <c r="D255" s="15" t="s">
        <v>73</v>
      </c>
      <c r="E255" s="14">
        <v>98</v>
      </c>
      <c r="F255" s="14">
        <v>784</v>
      </c>
      <c r="G255" s="14">
        <v>0</v>
      </c>
      <c r="H255" s="14">
        <v>0</v>
      </c>
      <c r="I255" s="14">
        <f t="shared" si="15"/>
        <v>784</v>
      </c>
      <c r="J255" s="16"/>
      <c r="K255" s="1"/>
    </row>
    <row r="256" spans="1:11" x14ac:dyDescent="0.95">
      <c r="A256" s="12"/>
      <c r="B256" s="16" t="s">
        <v>74</v>
      </c>
      <c r="C256" s="14">
        <v>640</v>
      </c>
      <c r="D256" s="15" t="s">
        <v>75</v>
      </c>
      <c r="E256" s="14">
        <v>0</v>
      </c>
      <c r="F256" s="14">
        <v>0</v>
      </c>
      <c r="G256" s="14">
        <v>23.291666666666668</v>
      </c>
      <c r="H256" s="14">
        <v>14906.67</v>
      </c>
      <c r="I256" s="14">
        <f t="shared" si="15"/>
        <v>14906.67</v>
      </c>
      <c r="J256" s="16"/>
      <c r="K256" s="1"/>
    </row>
    <row r="257" spans="1:11" x14ac:dyDescent="0.95">
      <c r="A257" s="12"/>
      <c r="B257" s="16" t="s">
        <v>274</v>
      </c>
      <c r="C257" s="14">
        <v>2000</v>
      </c>
      <c r="D257" s="15" t="s">
        <v>81</v>
      </c>
      <c r="E257" s="14">
        <v>0</v>
      </c>
      <c r="F257" s="14">
        <v>0</v>
      </c>
      <c r="G257" s="14">
        <v>6.4533333333333331</v>
      </c>
      <c r="H257" s="14">
        <v>12906.67</v>
      </c>
      <c r="I257" s="14">
        <f t="shared" si="15"/>
        <v>12906.67</v>
      </c>
      <c r="J257" s="16"/>
      <c r="K257" s="1"/>
    </row>
    <row r="258" spans="1:11" x14ac:dyDescent="0.95">
      <c r="A258" s="12"/>
      <c r="B258" s="16" t="s">
        <v>275</v>
      </c>
      <c r="C258" s="14">
        <v>280</v>
      </c>
      <c r="D258" s="15" t="s">
        <v>81</v>
      </c>
      <c r="E258" s="14">
        <v>0</v>
      </c>
      <c r="F258" s="14">
        <v>0</v>
      </c>
      <c r="G258" s="14">
        <v>17.5</v>
      </c>
      <c r="H258" s="14">
        <v>4900</v>
      </c>
      <c r="I258" s="14">
        <f t="shared" si="15"/>
        <v>4900</v>
      </c>
      <c r="J258" s="16"/>
      <c r="K258" s="1"/>
    </row>
    <row r="259" spans="1:11" x14ac:dyDescent="0.95">
      <c r="A259" s="12"/>
      <c r="B259" s="16" t="s">
        <v>78</v>
      </c>
      <c r="C259" s="14">
        <v>4000</v>
      </c>
      <c r="D259" s="15" t="s">
        <v>24</v>
      </c>
      <c r="E259" s="14">
        <v>0</v>
      </c>
      <c r="F259" s="14">
        <v>0</v>
      </c>
      <c r="G259" s="14">
        <v>1.3333333333333333</v>
      </c>
      <c r="H259" s="14">
        <v>5333.33</v>
      </c>
      <c r="I259" s="14">
        <f t="shared" si="15"/>
        <v>5333.33</v>
      </c>
      <c r="J259" s="16"/>
      <c r="K259" s="1"/>
    </row>
    <row r="260" spans="1:11" x14ac:dyDescent="0.95">
      <c r="A260" s="12"/>
      <c r="B260" s="16" t="s">
        <v>276</v>
      </c>
      <c r="C260" s="14">
        <v>280</v>
      </c>
      <c r="D260" s="15" t="s">
        <v>75</v>
      </c>
      <c r="E260" s="14">
        <v>0</v>
      </c>
      <c r="F260" s="14">
        <v>0</v>
      </c>
      <c r="G260" s="14">
        <v>18.900000000000002</v>
      </c>
      <c r="H260" s="14">
        <v>5292</v>
      </c>
      <c r="I260" s="14">
        <f t="shared" si="15"/>
        <v>5292</v>
      </c>
      <c r="J260" s="16"/>
      <c r="K260" s="1"/>
    </row>
    <row r="261" spans="1:11" x14ac:dyDescent="0.95">
      <c r="A261" s="12"/>
      <c r="B261" s="16" t="s">
        <v>277</v>
      </c>
      <c r="C261" s="14">
        <v>200</v>
      </c>
      <c r="D261" s="15" t="s">
        <v>75</v>
      </c>
      <c r="E261" s="14">
        <v>0</v>
      </c>
      <c r="F261" s="14">
        <v>0</v>
      </c>
      <c r="G261" s="14">
        <v>18.900000000000002</v>
      </c>
      <c r="H261" s="14">
        <v>3780</v>
      </c>
      <c r="I261" s="14">
        <f t="shared" si="15"/>
        <v>3780</v>
      </c>
      <c r="J261" s="16"/>
      <c r="K261" s="1"/>
    </row>
    <row r="262" spans="1:11" x14ac:dyDescent="0.95">
      <c r="A262" s="12"/>
      <c r="B262" s="16" t="s">
        <v>278</v>
      </c>
      <c r="C262" s="14">
        <v>2400</v>
      </c>
      <c r="D262" s="15" t="s">
        <v>77</v>
      </c>
      <c r="E262" s="14">
        <v>0</v>
      </c>
      <c r="F262" s="14">
        <v>0</v>
      </c>
      <c r="G262" s="14">
        <v>1</v>
      </c>
      <c r="H262" s="14">
        <v>2400</v>
      </c>
      <c r="I262" s="14">
        <f t="shared" si="15"/>
        <v>2400</v>
      </c>
      <c r="J262" s="16"/>
      <c r="K262" s="1"/>
    </row>
    <row r="263" spans="1:11" x14ac:dyDescent="0.95">
      <c r="A263" s="12"/>
      <c r="B263" s="16" t="s">
        <v>279</v>
      </c>
      <c r="C263" s="14">
        <v>440</v>
      </c>
      <c r="D263" s="15" t="s">
        <v>81</v>
      </c>
      <c r="E263" s="14">
        <v>0</v>
      </c>
      <c r="F263" s="14">
        <v>0</v>
      </c>
      <c r="G263" s="14">
        <v>6.47</v>
      </c>
      <c r="H263" s="14">
        <v>2846.8</v>
      </c>
      <c r="I263" s="14">
        <f t="shared" si="15"/>
        <v>2846.8</v>
      </c>
      <c r="J263" s="16"/>
      <c r="K263" s="1"/>
    </row>
    <row r="264" spans="1:11" s="4" customFormat="1" x14ac:dyDescent="0.95">
      <c r="A264" s="8">
        <v>4</v>
      </c>
      <c r="B264" s="9" t="s">
        <v>280</v>
      </c>
      <c r="C264" s="10"/>
      <c r="D264" s="11" t="s">
        <v>84</v>
      </c>
      <c r="E264" s="10"/>
      <c r="F264" s="10">
        <f>ROUND(SUM(F242,F243,F244,F245,F246,F247,F248,F249,F250,F251,F252,F253,F254,F255,F256,F257,F258,F259,F260,F261,F262,F263),2)</f>
        <v>78695.990000000005</v>
      </c>
      <c r="G264" s="10"/>
      <c r="H264" s="10">
        <f>ROUND(SUM(H242,H243,H244,H245,H246,H247,H248,H249,H250,H251,H252,H253,H254,H255,H256,H257,H258,H259,H260,H261,H262,H263),2)</f>
        <v>52365.47</v>
      </c>
      <c r="I264" s="10">
        <f t="shared" si="15"/>
        <v>131061.46</v>
      </c>
      <c r="J264" s="9"/>
      <c r="K264" s="5"/>
    </row>
    <row r="265" spans="1:11" x14ac:dyDescent="0.95">
      <c r="C265" s="1"/>
      <c r="D265" s="21"/>
      <c r="E265" s="1"/>
      <c r="F265" s="1"/>
      <c r="G265" s="1"/>
      <c r="H265" s="1"/>
      <c r="I265" s="1"/>
      <c r="K265" s="1"/>
    </row>
    <row r="266" spans="1:11" x14ac:dyDescent="0.95">
      <c r="C266" s="1"/>
      <c r="D266" s="21"/>
      <c r="E266" s="1"/>
      <c r="F266" s="1"/>
      <c r="G266" s="1"/>
      <c r="H266" s="1"/>
      <c r="I266" s="1"/>
      <c r="K266" s="1"/>
    </row>
    <row r="267" spans="1:11" x14ac:dyDescent="0.95">
      <c r="C267" s="1"/>
      <c r="D267" s="21"/>
      <c r="E267" s="1"/>
      <c r="F267" s="1"/>
      <c r="G267" s="1"/>
      <c r="H267" s="1"/>
      <c r="I267" s="1"/>
      <c r="K267" s="1"/>
    </row>
    <row r="268" spans="1:11" x14ac:dyDescent="0.95">
      <c r="C268" s="1"/>
      <c r="D268" s="21"/>
      <c r="E268" s="1"/>
      <c r="F268" s="1"/>
      <c r="G268" s="1"/>
      <c r="H268" s="1"/>
      <c r="I268" s="1"/>
      <c r="K268" s="1"/>
    </row>
    <row r="269" spans="1:11" x14ac:dyDescent="0.95">
      <c r="C269" s="1"/>
      <c r="D269" s="21"/>
      <c r="E269" s="1"/>
      <c r="F269" s="1"/>
      <c r="G269" s="1"/>
      <c r="H269" s="1"/>
      <c r="I269" s="1"/>
      <c r="K269" s="1"/>
    </row>
    <row r="270" spans="1:11" x14ac:dyDescent="0.95">
      <c r="C270" s="1"/>
      <c r="D270" s="21"/>
      <c r="E270" s="1"/>
      <c r="F270" s="1"/>
      <c r="G270" s="1"/>
      <c r="H270" s="1"/>
      <c r="I270" s="1"/>
      <c r="K270" s="1"/>
    </row>
    <row r="271" spans="1:11" x14ac:dyDescent="0.95">
      <c r="C271" s="1"/>
      <c r="D271" s="21"/>
      <c r="E271" s="1"/>
      <c r="F271" s="1"/>
      <c r="G271" s="1"/>
      <c r="H271" s="1"/>
      <c r="I271" s="1"/>
      <c r="K271" s="1"/>
    </row>
    <row r="272" spans="1:11" x14ac:dyDescent="0.95">
      <c r="C272" s="1"/>
      <c r="D272" s="21"/>
      <c r="E272" s="1"/>
      <c r="F272" s="1"/>
      <c r="G272" s="1"/>
      <c r="H272" s="1"/>
      <c r="I272" s="1"/>
      <c r="K272" s="1"/>
    </row>
    <row r="273" spans="3:11" x14ac:dyDescent="0.95">
      <c r="C273" s="1"/>
      <c r="D273" s="21"/>
      <c r="E273" s="1"/>
      <c r="F273" s="1"/>
      <c r="G273" s="1"/>
      <c r="H273" s="1"/>
      <c r="I273" s="1"/>
      <c r="K273" s="1"/>
    </row>
  </sheetData>
  <mergeCells count="12">
    <mergeCell ref="A65:J65"/>
    <mergeCell ref="A214:J214"/>
    <mergeCell ref="A240:J240"/>
    <mergeCell ref="A1:J1"/>
    <mergeCell ref="A2:J2"/>
    <mergeCell ref="A4:A5"/>
    <mergeCell ref="B4:B5"/>
    <mergeCell ref="C4:C5"/>
    <mergeCell ref="D4:D5"/>
    <mergeCell ref="E4:F4"/>
    <mergeCell ref="G4:H4"/>
    <mergeCell ref="J4:J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E81B-02A5-42A4-B9B7-8CBD178B4680}">
  <dimension ref="A1:K273"/>
  <sheetViews>
    <sheetView workbookViewId="0">
      <selection activeCell="F14" sqref="F14"/>
    </sheetView>
  </sheetViews>
  <sheetFormatPr defaultRowHeight="23.25" x14ac:dyDescent="0.95"/>
  <cols>
    <col min="1" max="1" width="7.1328125" style="20" customWidth="1"/>
    <col min="2" max="2" width="49.73046875" style="2" customWidth="1"/>
    <col min="3" max="3" width="14.265625" style="2" customWidth="1"/>
    <col min="4" max="4" width="14.265625" style="20" customWidth="1"/>
    <col min="5" max="9" width="14.265625" style="2" customWidth="1"/>
    <col min="10" max="10" width="11.86328125" style="2" customWidth="1"/>
    <col min="11" max="11" width="10.53125" style="2" customWidth="1"/>
    <col min="12" max="16384" width="9.06640625" style="2"/>
  </cols>
  <sheetData>
    <row r="1" spans="1:11" x14ac:dyDescent="0.95">
      <c r="A1" s="24" t="s">
        <v>282</v>
      </c>
      <c r="B1" s="24"/>
      <c r="C1" s="24"/>
      <c r="D1" s="24"/>
      <c r="E1" s="24"/>
      <c r="F1" s="24"/>
      <c r="G1" s="24"/>
      <c r="H1" s="24"/>
      <c r="I1" s="24"/>
      <c r="J1" s="24"/>
      <c r="K1" s="1"/>
    </row>
    <row r="2" spans="1:11" x14ac:dyDescent="0.9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1"/>
    </row>
    <row r="3" spans="1:11" x14ac:dyDescent="0.95">
      <c r="A3" s="22"/>
      <c r="B3" s="4"/>
      <c r="C3" s="5"/>
      <c r="D3" s="6"/>
      <c r="E3" s="5"/>
      <c r="F3" s="5"/>
      <c r="G3" s="5"/>
      <c r="H3" s="5"/>
      <c r="I3" s="4" t="s">
        <v>1</v>
      </c>
      <c r="J3" s="4"/>
      <c r="K3" s="1"/>
    </row>
    <row r="4" spans="1:11" s="4" customFormat="1" x14ac:dyDescent="0.95">
      <c r="A4" s="28" t="s">
        <v>2</v>
      </c>
      <c r="B4" s="28" t="s">
        <v>3</v>
      </c>
      <c r="C4" s="29" t="s">
        <v>4</v>
      </c>
      <c r="D4" s="29" t="s">
        <v>5</v>
      </c>
      <c r="E4" s="29" t="s">
        <v>6</v>
      </c>
      <c r="F4" s="29"/>
      <c r="G4" s="29" t="s">
        <v>7</v>
      </c>
      <c r="H4" s="29"/>
      <c r="I4" s="23" t="s">
        <v>8</v>
      </c>
      <c r="J4" s="28" t="s">
        <v>9</v>
      </c>
      <c r="K4" s="5"/>
    </row>
    <row r="5" spans="1:11" s="4" customFormat="1" x14ac:dyDescent="0.95">
      <c r="A5" s="28"/>
      <c r="B5" s="28"/>
      <c r="C5" s="29"/>
      <c r="D5" s="29"/>
      <c r="E5" s="23" t="s">
        <v>10</v>
      </c>
      <c r="F5" s="23" t="s">
        <v>11</v>
      </c>
      <c r="G5" s="23" t="s">
        <v>10</v>
      </c>
      <c r="H5" s="23" t="s">
        <v>11</v>
      </c>
      <c r="I5" s="23" t="s">
        <v>12</v>
      </c>
      <c r="J5" s="28"/>
      <c r="K5" s="5"/>
    </row>
    <row r="6" spans="1:11" s="4" customFormat="1" x14ac:dyDescent="0.95">
      <c r="A6" s="8">
        <v>1</v>
      </c>
      <c r="B6" s="9" t="s">
        <v>13</v>
      </c>
      <c r="C6" s="10"/>
      <c r="D6" s="11"/>
      <c r="E6" s="10"/>
      <c r="F6" s="10"/>
      <c r="G6" s="10"/>
      <c r="H6" s="10"/>
      <c r="I6" s="10"/>
      <c r="J6" s="9"/>
      <c r="K6" s="5"/>
    </row>
    <row r="7" spans="1:11" s="4" customFormat="1" x14ac:dyDescent="0.95">
      <c r="A7" s="17"/>
      <c r="B7" s="13" t="s">
        <v>14</v>
      </c>
      <c r="C7" s="18"/>
      <c r="D7" s="19"/>
      <c r="E7" s="18"/>
      <c r="F7" s="18"/>
      <c r="G7" s="18"/>
      <c r="H7" s="18"/>
      <c r="I7" s="18"/>
      <c r="J7" s="13"/>
      <c r="K7" s="5"/>
    </row>
    <row r="8" spans="1:11" x14ac:dyDescent="0.95">
      <c r="A8" s="12"/>
      <c r="B8" s="16" t="s">
        <v>15</v>
      </c>
      <c r="C8" s="14">
        <v>13.33</v>
      </c>
      <c r="D8" s="15" t="s">
        <v>16</v>
      </c>
      <c r="E8" s="14">
        <v>3500</v>
      </c>
      <c r="F8" s="14">
        <v>46666.67</v>
      </c>
      <c r="G8" s="14">
        <v>0</v>
      </c>
      <c r="H8" s="14">
        <v>0</v>
      </c>
      <c r="I8" s="14">
        <f>ROUND(F8+H8,2)</f>
        <v>46666.67</v>
      </c>
      <c r="J8" s="16"/>
      <c r="K8" s="1"/>
    </row>
    <row r="9" spans="1:11" x14ac:dyDescent="0.95">
      <c r="A9" s="12"/>
      <c r="B9" s="16" t="s">
        <v>17</v>
      </c>
      <c r="C9" s="14">
        <v>7.33</v>
      </c>
      <c r="D9" s="15" t="s">
        <v>18</v>
      </c>
      <c r="E9" s="14">
        <v>1500</v>
      </c>
      <c r="F9" s="14">
        <v>11000</v>
      </c>
      <c r="G9" s="14">
        <v>0</v>
      </c>
      <c r="H9" s="14">
        <v>9000</v>
      </c>
      <c r="I9" s="14">
        <f>ROUND(F9+H9,2)</f>
        <v>20000</v>
      </c>
      <c r="J9" s="16"/>
      <c r="K9" s="1"/>
    </row>
    <row r="10" spans="1:11" x14ac:dyDescent="0.95">
      <c r="A10" s="12"/>
      <c r="B10" s="16" t="s">
        <v>19</v>
      </c>
      <c r="C10" s="14">
        <v>0</v>
      </c>
      <c r="D10" s="15" t="s">
        <v>18</v>
      </c>
      <c r="E10" s="14">
        <v>0</v>
      </c>
      <c r="F10" s="14">
        <v>0</v>
      </c>
      <c r="G10" s="14">
        <v>0</v>
      </c>
      <c r="H10" s="14">
        <v>0</v>
      </c>
      <c r="I10" s="14">
        <f>ROUND(F10+H10,2)</f>
        <v>0</v>
      </c>
      <c r="J10" s="16"/>
      <c r="K10" s="1"/>
    </row>
    <row r="11" spans="1:11" x14ac:dyDescent="0.95">
      <c r="A11" s="12"/>
      <c r="B11" s="16" t="s">
        <v>20</v>
      </c>
      <c r="C11" s="14">
        <v>53.33</v>
      </c>
      <c r="D11" s="15" t="s">
        <v>18</v>
      </c>
      <c r="E11" s="14">
        <v>100</v>
      </c>
      <c r="F11" s="14">
        <v>5333.33</v>
      </c>
      <c r="G11" s="14">
        <v>0</v>
      </c>
      <c r="H11" s="14">
        <v>1800</v>
      </c>
      <c r="I11" s="14">
        <f>ROUND(F11+H11,2)</f>
        <v>7133.33</v>
      </c>
      <c r="J11" s="16"/>
      <c r="K11" s="1"/>
    </row>
    <row r="12" spans="1:11" s="4" customFormat="1" x14ac:dyDescent="0.95">
      <c r="A12" s="17"/>
      <c r="B12" s="13" t="s">
        <v>21</v>
      </c>
      <c r="C12" s="18"/>
      <c r="D12" s="19"/>
      <c r="E12" s="18"/>
      <c r="F12" s="18">
        <f>ROUND(SUM(F8,F9,F10,F11),2)</f>
        <v>63000</v>
      </c>
      <c r="G12" s="18"/>
      <c r="H12" s="18">
        <f>ROUND(SUM(H8,H9,H10,H11),2)</f>
        <v>10800</v>
      </c>
      <c r="I12" s="18">
        <f>ROUND(F12+H12,2)</f>
        <v>73800</v>
      </c>
      <c r="J12" s="13"/>
      <c r="K12" s="5"/>
    </row>
    <row r="13" spans="1:11" s="4" customFormat="1" x14ac:dyDescent="0.95">
      <c r="A13" s="17"/>
      <c r="B13" s="13" t="s">
        <v>22</v>
      </c>
      <c r="C13" s="18"/>
      <c r="D13" s="19"/>
      <c r="E13" s="18"/>
      <c r="F13" s="18"/>
      <c r="G13" s="18"/>
      <c r="H13" s="18"/>
      <c r="I13" s="18"/>
      <c r="J13" s="13"/>
      <c r="K13" s="5"/>
    </row>
    <row r="14" spans="1:11" x14ac:dyDescent="0.95">
      <c r="A14" s="12"/>
      <c r="B14" s="16" t="s">
        <v>23</v>
      </c>
      <c r="C14" s="14">
        <v>60</v>
      </c>
      <c r="D14" s="15" t="s">
        <v>24</v>
      </c>
      <c r="E14" s="14">
        <v>2080</v>
      </c>
      <c r="F14" s="14">
        <f>E14*C14</f>
        <v>124800</v>
      </c>
      <c r="G14" s="14">
        <v>750</v>
      </c>
      <c r="H14" s="14">
        <v>53000</v>
      </c>
      <c r="I14" s="14">
        <f>ROUND(F14+H14,2)</f>
        <v>177800</v>
      </c>
      <c r="J14" s="16"/>
      <c r="K14" s="1"/>
    </row>
    <row r="15" spans="1:11" x14ac:dyDescent="0.95">
      <c r="A15" s="12"/>
      <c r="B15" s="16" t="s">
        <v>25</v>
      </c>
      <c r="C15" s="14">
        <v>0</v>
      </c>
      <c r="D15" s="15" t="s">
        <v>24</v>
      </c>
      <c r="E15" s="14">
        <v>0</v>
      </c>
      <c r="F15" s="14">
        <v>0</v>
      </c>
      <c r="G15" s="14">
        <v>0</v>
      </c>
      <c r="H15" s="14">
        <v>0</v>
      </c>
      <c r="I15" s="14">
        <f>ROUND(F15+H15,2)</f>
        <v>0</v>
      </c>
      <c r="J15" s="16"/>
      <c r="K15" s="1"/>
    </row>
    <row r="16" spans="1:11" s="4" customFormat="1" x14ac:dyDescent="0.95">
      <c r="A16" s="17"/>
      <c r="B16" s="13" t="s">
        <v>26</v>
      </c>
      <c r="C16" s="18"/>
      <c r="D16" s="19"/>
      <c r="E16" s="18"/>
      <c r="F16" s="18">
        <f>ROUND(SUM(F14,F15),2)</f>
        <v>124800</v>
      </c>
      <c r="G16" s="18"/>
      <c r="H16" s="18">
        <f>ROUND(SUM(H14,H15),2)</f>
        <v>53000</v>
      </c>
      <c r="I16" s="18">
        <f>ROUND(F16+H16,2)</f>
        <v>177800</v>
      </c>
      <c r="J16" s="13"/>
      <c r="K16" s="5"/>
    </row>
    <row r="17" spans="1:11" s="4" customFormat="1" x14ac:dyDescent="0.95">
      <c r="A17" s="17"/>
      <c r="B17" s="13" t="s">
        <v>27</v>
      </c>
      <c r="C17" s="18"/>
      <c r="D17" s="19"/>
      <c r="E17" s="18"/>
      <c r="F17" s="18"/>
      <c r="G17" s="18"/>
      <c r="H17" s="18"/>
      <c r="I17" s="18"/>
      <c r="J17" s="13"/>
      <c r="K17" s="5"/>
    </row>
    <row r="18" spans="1:11" x14ac:dyDescent="0.95">
      <c r="A18" s="12"/>
      <c r="B18" s="16" t="s">
        <v>28</v>
      </c>
      <c r="C18" s="14">
        <v>26.67</v>
      </c>
      <c r="D18" s="15" t="s">
        <v>29</v>
      </c>
      <c r="E18" s="14">
        <v>590</v>
      </c>
      <c r="F18" s="14">
        <v>15733.33</v>
      </c>
      <c r="G18" s="14">
        <v>0</v>
      </c>
      <c r="H18" s="14">
        <v>0</v>
      </c>
      <c r="I18" s="14">
        <f t="shared" ref="I18:I23" si="0">ROUND(F18+H18,2)</f>
        <v>15733.33</v>
      </c>
      <c r="J18" s="16"/>
      <c r="K18" s="1"/>
    </row>
    <row r="19" spans="1:11" x14ac:dyDescent="0.95">
      <c r="A19" s="12"/>
      <c r="B19" s="16" t="s">
        <v>30</v>
      </c>
      <c r="C19" s="14">
        <v>0</v>
      </c>
      <c r="D19" s="15" t="s">
        <v>31</v>
      </c>
      <c r="E19" s="14">
        <v>0</v>
      </c>
      <c r="F19" s="14">
        <v>0</v>
      </c>
      <c r="G19" s="14">
        <v>0</v>
      </c>
      <c r="H19" s="14">
        <v>0</v>
      </c>
      <c r="I19" s="14">
        <f t="shared" si="0"/>
        <v>0</v>
      </c>
      <c r="J19" s="16"/>
      <c r="K19" s="1"/>
    </row>
    <row r="20" spans="1:11" x14ac:dyDescent="0.95">
      <c r="A20" s="12"/>
      <c r="B20" s="16" t="s">
        <v>32</v>
      </c>
      <c r="C20" s="14">
        <v>266.67</v>
      </c>
      <c r="D20" s="15" t="s">
        <v>24</v>
      </c>
      <c r="E20" s="14">
        <v>25</v>
      </c>
      <c r="F20" s="14">
        <v>6666.67</v>
      </c>
      <c r="G20" s="14">
        <v>0</v>
      </c>
      <c r="H20" s="14">
        <v>0</v>
      </c>
      <c r="I20" s="14">
        <f t="shared" si="0"/>
        <v>6666.67</v>
      </c>
      <c r="J20" s="16"/>
      <c r="K20" s="1"/>
    </row>
    <row r="21" spans="1:11" x14ac:dyDescent="0.95">
      <c r="A21" s="12"/>
      <c r="B21" s="16" t="s">
        <v>33</v>
      </c>
      <c r="C21" s="14">
        <v>0</v>
      </c>
      <c r="D21" s="15" t="s">
        <v>34</v>
      </c>
      <c r="E21" s="14">
        <v>0</v>
      </c>
      <c r="F21" s="14">
        <v>0</v>
      </c>
      <c r="G21" s="14">
        <v>0</v>
      </c>
      <c r="H21" s="14">
        <v>0</v>
      </c>
      <c r="I21" s="14">
        <f t="shared" si="0"/>
        <v>0</v>
      </c>
      <c r="J21" s="16"/>
      <c r="K21" s="1"/>
    </row>
    <row r="22" spans="1:11" x14ac:dyDescent="0.95">
      <c r="A22" s="12"/>
      <c r="B22" s="16" t="s">
        <v>35</v>
      </c>
      <c r="C22" s="14">
        <v>0</v>
      </c>
      <c r="D22" s="15" t="s">
        <v>36</v>
      </c>
      <c r="E22" s="14">
        <v>0</v>
      </c>
      <c r="F22" s="14">
        <v>0</v>
      </c>
      <c r="G22" s="14">
        <v>0</v>
      </c>
      <c r="H22" s="14">
        <v>0</v>
      </c>
      <c r="I22" s="14">
        <f t="shared" si="0"/>
        <v>0</v>
      </c>
      <c r="J22" s="16"/>
      <c r="K22" s="1"/>
    </row>
    <row r="23" spans="1:11" s="4" customFormat="1" x14ac:dyDescent="0.95">
      <c r="A23" s="17"/>
      <c r="B23" s="13" t="s">
        <v>37</v>
      </c>
      <c r="C23" s="18"/>
      <c r="D23" s="19"/>
      <c r="E23" s="18"/>
      <c r="F23" s="18">
        <f>ROUND(SUM(F18,F19,F20,F21,F22),2)</f>
        <v>22400</v>
      </c>
      <c r="G23" s="18"/>
      <c r="H23" s="18">
        <f>ROUND(SUM(H18,H19,H20,H21,H22),2)</f>
        <v>0</v>
      </c>
      <c r="I23" s="18">
        <f t="shared" si="0"/>
        <v>22400</v>
      </c>
      <c r="J23" s="13"/>
      <c r="K23" s="5"/>
    </row>
    <row r="24" spans="1:11" s="4" customFormat="1" x14ac:dyDescent="0.95">
      <c r="A24" s="17"/>
      <c r="B24" s="13" t="s">
        <v>38</v>
      </c>
      <c r="C24" s="18"/>
      <c r="D24" s="19"/>
      <c r="E24" s="18"/>
      <c r="F24" s="18"/>
      <c r="G24" s="18"/>
      <c r="H24" s="18"/>
      <c r="I24" s="18"/>
      <c r="J24" s="13"/>
      <c r="K24" s="5"/>
    </row>
    <row r="25" spans="1:11" x14ac:dyDescent="0.95">
      <c r="A25" s="12"/>
      <c r="B25" s="16" t="s">
        <v>39</v>
      </c>
      <c r="C25" s="14">
        <v>20</v>
      </c>
      <c r="D25" s="15" t="s">
        <v>18</v>
      </c>
      <c r="E25" s="14">
        <v>1300</v>
      </c>
      <c r="F25" s="14">
        <v>26000</v>
      </c>
      <c r="G25" s="14">
        <v>173.47</v>
      </c>
      <c r="H25" s="14">
        <v>69388</v>
      </c>
      <c r="I25" s="14">
        <f>ROUND(F25+H25,2)</f>
        <v>95388</v>
      </c>
      <c r="J25" s="16"/>
      <c r="K25" s="1"/>
    </row>
    <row r="26" spans="1:11" x14ac:dyDescent="0.95">
      <c r="A26" s="12"/>
      <c r="B26" s="16" t="s">
        <v>17</v>
      </c>
      <c r="C26" s="14">
        <v>73.33</v>
      </c>
      <c r="D26" s="15" t="s">
        <v>18</v>
      </c>
      <c r="E26" s="14">
        <v>1500</v>
      </c>
      <c r="F26" s="14">
        <v>110000</v>
      </c>
      <c r="G26" s="14">
        <v>0</v>
      </c>
      <c r="H26" s="14">
        <v>0</v>
      </c>
      <c r="I26" s="14">
        <f>ROUND(F26+H26,2)</f>
        <v>110000</v>
      </c>
      <c r="J26" s="16"/>
      <c r="K26" s="1"/>
    </row>
    <row r="27" spans="1:11" x14ac:dyDescent="0.95">
      <c r="A27" s="12"/>
      <c r="B27" s="16" t="s">
        <v>40</v>
      </c>
      <c r="C27" s="14">
        <v>0</v>
      </c>
      <c r="D27" s="15" t="s">
        <v>18</v>
      </c>
      <c r="E27" s="14">
        <v>1600</v>
      </c>
      <c r="F27" s="14">
        <v>0</v>
      </c>
      <c r="G27" s="14">
        <v>0</v>
      </c>
      <c r="H27" s="14">
        <v>9600</v>
      </c>
      <c r="I27" s="14">
        <f>ROUND(F27+H27,2)</f>
        <v>9600</v>
      </c>
      <c r="J27" s="16"/>
      <c r="K27" s="1"/>
    </row>
    <row r="28" spans="1:11" x14ac:dyDescent="0.95">
      <c r="A28" s="12"/>
      <c r="B28" s="16" t="s">
        <v>41</v>
      </c>
      <c r="C28" s="14">
        <v>800</v>
      </c>
      <c r="D28" s="15" t="s">
        <v>36</v>
      </c>
      <c r="E28" s="14">
        <v>74.2</v>
      </c>
      <c r="F28" s="14">
        <v>59360</v>
      </c>
      <c r="G28" s="14">
        <v>0</v>
      </c>
      <c r="H28" s="14">
        <v>890.4</v>
      </c>
      <c r="I28" s="14">
        <f>ROUND(F28+H28,2)</f>
        <v>60250.400000000001</v>
      </c>
      <c r="J28" s="16"/>
      <c r="K28" s="1"/>
    </row>
    <row r="29" spans="1:11" s="4" customFormat="1" x14ac:dyDescent="0.95">
      <c r="A29" s="17"/>
      <c r="B29" s="13" t="s">
        <v>42</v>
      </c>
      <c r="C29" s="18"/>
      <c r="D29" s="19"/>
      <c r="E29" s="18"/>
      <c r="F29" s="18">
        <f>ROUND(SUM(F25,F26,F27,F28),2)</f>
        <v>195360</v>
      </c>
      <c r="G29" s="18"/>
      <c r="H29" s="18">
        <f>ROUND(SUM(H25,H26,H27,H28),2)</f>
        <v>79878.399999999994</v>
      </c>
      <c r="I29" s="18">
        <f>ROUND(F29+H29,2)</f>
        <v>275238.40000000002</v>
      </c>
      <c r="J29" s="13"/>
      <c r="K29" s="5"/>
    </row>
    <row r="30" spans="1:11" s="4" customFormat="1" x14ac:dyDescent="0.95">
      <c r="A30" s="17"/>
      <c r="B30" s="13" t="s">
        <v>43</v>
      </c>
      <c r="C30" s="18"/>
      <c r="D30" s="19"/>
      <c r="E30" s="18"/>
      <c r="F30" s="18"/>
      <c r="G30" s="18"/>
      <c r="H30" s="18"/>
      <c r="I30" s="18"/>
      <c r="J30" s="13"/>
      <c r="K30" s="5"/>
    </row>
    <row r="31" spans="1:11" x14ac:dyDescent="0.95">
      <c r="A31" s="12"/>
      <c r="B31" s="16" t="s">
        <v>44</v>
      </c>
      <c r="C31" s="14">
        <v>0.15</v>
      </c>
      <c r="D31" s="15" t="s">
        <v>45</v>
      </c>
      <c r="E31" s="14">
        <v>64</v>
      </c>
      <c r="F31" s="14">
        <v>4266.67</v>
      </c>
      <c r="G31" s="14">
        <v>0</v>
      </c>
      <c r="H31" s="14">
        <v>0</v>
      </c>
      <c r="I31" s="14">
        <f t="shared" ref="I31:I36" si="1">ROUND(F31+H31,2)</f>
        <v>4266.67</v>
      </c>
      <c r="J31" s="16"/>
      <c r="K31" s="1"/>
    </row>
    <row r="32" spans="1:11" x14ac:dyDescent="0.95">
      <c r="A32" s="12"/>
      <c r="B32" s="16" t="s">
        <v>46</v>
      </c>
      <c r="C32" s="14">
        <v>0.43</v>
      </c>
      <c r="D32" s="15" t="s">
        <v>45</v>
      </c>
      <c r="E32" s="14">
        <v>137</v>
      </c>
      <c r="F32" s="14">
        <v>11873.33</v>
      </c>
      <c r="G32" s="14">
        <v>1</v>
      </c>
      <c r="H32" s="14">
        <v>274</v>
      </c>
      <c r="I32" s="14">
        <f t="shared" si="1"/>
        <v>12147.33</v>
      </c>
      <c r="J32" s="16"/>
      <c r="K32" s="1"/>
    </row>
    <row r="33" spans="1:11" x14ac:dyDescent="0.95">
      <c r="A33" s="12"/>
      <c r="B33" s="16" t="s">
        <v>47</v>
      </c>
      <c r="C33" s="14">
        <v>2.5499999999999998</v>
      </c>
      <c r="D33" s="15" t="s">
        <v>45</v>
      </c>
      <c r="E33" s="14">
        <v>240</v>
      </c>
      <c r="F33" s="14">
        <v>68800</v>
      </c>
      <c r="G33" s="14">
        <v>2</v>
      </c>
      <c r="H33" s="14">
        <v>960</v>
      </c>
      <c r="I33" s="14">
        <f t="shared" si="1"/>
        <v>69760</v>
      </c>
      <c r="J33" s="16"/>
      <c r="K33" s="1"/>
    </row>
    <row r="34" spans="1:11" x14ac:dyDescent="0.95">
      <c r="A34" s="12"/>
      <c r="B34" s="16" t="s">
        <v>48</v>
      </c>
      <c r="C34" s="14">
        <v>0</v>
      </c>
      <c r="D34" s="15" t="s">
        <v>45</v>
      </c>
      <c r="E34" s="14">
        <v>425</v>
      </c>
      <c r="F34" s="14">
        <v>0</v>
      </c>
      <c r="G34" s="14">
        <v>3</v>
      </c>
      <c r="H34" s="14">
        <v>2550</v>
      </c>
      <c r="I34" s="14">
        <f t="shared" si="1"/>
        <v>2550</v>
      </c>
      <c r="J34" s="16"/>
      <c r="K34" s="1"/>
    </row>
    <row r="35" spans="1:11" x14ac:dyDescent="0.95">
      <c r="A35" s="12"/>
      <c r="B35" s="16" t="s">
        <v>49</v>
      </c>
      <c r="C35" s="14">
        <v>0</v>
      </c>
      <c r="D35" s="15" t="s">
        <v>34</v>
      </c>
      <c r="E35" s="14">
        <v>0</v>
      </c>
      <c r="F35" s="14">
        <v>0</v>
      </c>
      <c r="G35" s="14">
        <v>4</v>
      </c>
      <c r="H35" s="14">
        <v>0</v>
      </c>
      <c r="I35" s="14">
        <f t="shared" si="1"/>
        <v>0</v>
      </c>
      <c r="J35" s="16"/>
      <c r="K35" s="1"/>
    </row>
    <row r="36" spans="1:11" s="4" customFormat="1" x14ac:dyDescent="0.95">
      <c r="A36" s="17"/>
      <c r="B36" s="13" t="s">
        <v>50</v>
      </c>
      <c r="C36" s="18"/>
      <c r="D36" s="19"/>
      <c r="E36" s="18"/>
      <c r="F36" s="18">
        <f>ROUND(SUM(F31,F32,F33,F34,F35),2)</f>
        <v>84940</v>
      </c>
      <c r="G36" s="18"/>
      <c r="H36" s="18">
        <f>ROUND(SUM(H31,H32,H33,H34,H35),2)</f>
        <v>3784</v>
      </c>
      <c r="I36" s="18">
        <f t="shared" si="1"/>
        <v>88724</v>
      </c>
      <c r="J36" s="13"/>
      <c r="K36" s="5"/>
    </row>
    <row r="37" spans="1:11" s="4" customFormat="1" x14ac:dyDescent="0.95">
      <c r="A37" s="17"/>
      <c r="B37" s="13" t="s">
        <v>51</v>
      </c>
      <c r="C37" s="18"/>
      <c r="D37" s="19"/>
      <c r="E37" s="18"/>
      <c r="F37" s="18"/>
      <c r="G37" s="18"/>
      <c r="H37" s="18"/>
      <c r="I37" s="18"/>
      <c r="J37" s="13"/>
      <c r="K37" s="5"/>
    </row>
    <row r="38" spans="1:11" x14ac:dyDescent="0.95">
      <c r="A38" s="12"/>
      <c r="B38" s="16" t="s">
        <v>46</v>
      </c>
      <c r="C38" s="14">
        <v>0.4</v>
      </c>
      <c r="D38" s="15" t="s">
        <v>45</v>
      </c>
      <c r="E38" s="14">
        <v>137</v>
      </c>
      <c r="F38" s="14">
        <v>10945.36</v>
      </c>
      <c r="G38" s="14">
        <v>115</v>
      </c>
      <c r="H38" s="14">
        <v>92000</v>
      </c>
      <c r="I38" s="14">
        <f>ROUND(F38+H38,2)</f>
        <v>102945.36</v>
      </c>
      <c r="J38" s="16"/>
      <c r="K38" s="1"/>
    </row>
    <row r="39" spans="1:11" x14ac:dyDescent="0.95">
      <c r="A39" s="12"/>
      <c r="B39" s="16" t="s">
        <v>47</v>
      </c>
      <c r="C39" s="14">
        <v>0.71</v>
      </c>
      <c r="D39" s="15" t="s">
        <v>45</v>
      </c>
      <c r="E39" s="14">
        <v>240</v>
      </c>
      <c r="F39" s="14">
        <v>19099.099999999999</v>
      </c>
      <c r="G39" s="14">
        <v>0</v>
      </c>
      <c r="H39" s="14">
        <v>0</v>
      </c>
      <c r="I39" s="14">
        <f>ROUND(F39+H39,2)</f>
        <v>19099.099999999999</v>
      </c>
      <c r="J39" s="16"/>
      <c r="K39" s="1"/>
    </row>
    <row r="40" spans="1:11" x14ac:dyDescent="0.95">
      <c r="A40" s="12"/>
      <c r="B40" s="16" t="s">
        <v>52</v>
      </c>
      <c r="C40" s="14">
        <v>78.67</v>
      </c>
      <c r="D40" s="15" t="s">
        <v>18</v>
      </c>
      <c r="E40" s="14">
        <v>1600</v>
      </c>
      <c r="F40" s="14">
        <v>125866.67</v>
      </c>
      <c r="G40" s="14">
        <v>1</v>
      </c>
      <c r="H40" s="14">
        <v>3200</v>
      </c>
      <c r="I40" s="14">
        <f>ROUND(F40+H40,2)</f>
        <v>129066.67</v>
      </c>
      <c r="J40" s="16"/>
      <c r="K40" s="1"/>
    </row>
    <row r="41" spans="1:11" x14ac:dyDescent="0.95">
      <c r="A41" s="12"/>
      <c r="B41" s="16" t="s">
        <v>53</v>
      </c>
      <c r="C41" s="14">
        <v>800</v>
      </c>
      <c r="D41" s="15" t="s">
        <v>36</v>
      </c>
      <c r="E41" s="14">
        <v>74.2</v>
      </c>
      <c r="F41" s="14">
        <v>59360</v>
      </c>
      <c r="G41" s="14">
        <v>2</v>
      </c>
      <c r="H41" s="14">
        <v>296.8</v>
      </c>
      <c r="I41" s="14">
        <f>ROUND(F41+H41,2)</f>
        <v>59656.800000000003</v>
      </c>
      <c r="J41" s="16"/>
      <c r="K41" s="1"/>
    </row>
    <row r="42" spans="1:11" s="4" customFormat="1" x14ac:dyDescent="0.95">
      <c r="A42" s="17"/>
      <c r="B42" s="13" t="s">
        <v>54</v>
      </c>
      <c r="C42" s="18"/>
      <c r="D42" s="19"/>
      <c r="E42" s="18"/>
      <c r="F42" s="18">
        <f>ROUND(SUM(F38,F39,F40,F41),2)</f>
        <v>215271.13</v>
      </c>
      <c r="G42" s="18"/>
      <c r="H42" s="18">
        <f>ROUND(SUM(H38,H39,H40,H41),2)</f>
        <v>95496.8</v>
      </c>
      <c r="I42" s="18">
        <f>ROUND(F42+H42,2)</f>
        <v>310767.93</v>
      </c>
      <c r="J42" s="13"/>
      <c r="K42" s="5"/>
    </row>
    <row r="43" spans="1:11" s="4" customFormat="1" x14ac:dyDescent="0.95">
      <c r="A43" s="17"/>
      <c r="B43" s="13" t="s">
        <v>55</v>
      </c>
      <c r="C43" s="18"/>
      <c r="D43" s="19"/>
      <c r="E43" s="18"/>
      <c r="F43" s="18"/>
      <c r="G43" s="18"/>
      <c r="H43" s="18"/>
      <c r="I43" s="18"/>
      <c r="J43" s="13"/>
      <c r="K43" s="5"/>
    </row>
    <row r="44" spans="1:11" x14ac:dyDescent="0.95">
      <c r="A44" s="12"/>
      <c r="B44" s="16" t="s">
        <v>56</v>
      </c>
      <c r="C44" s="14">
        <v>16</v>
      </c>
      <c r="D44" s="15" t="s">
        <v>57</v>
      </c>
      <c r="E44" s="14">
        <v>225</v>
      </c>
      <c r="F44" s="14">
        <v>3600</v>
      </c>
      <c r="G44" s="14">
        <v>0</v>
      </c>
      <c r="H44" s="14">
        <v>0</v>
      </c>
      <c r="I44" s="14">
        <f t="shared" ref="I44:I64" si="2">ROUND(F44+H44,2)</f>
        <v>3600</v>
      </c>
      <c r="J44" s="16"/>
      <c r="K44" s="1"/>
    </row>
    <row r="45" spans="1:11" x14ac:dyDescent="0.95">
      <c r="A45" s="12"/>
      <c r="B45" s="16" t="s">
        <v>58</v>
      </c>
      <c r="C45" s="14">
        <v>97.33</v>
      </c>
      <c r="D45" s="15" t="s">
        <v>57</v>
      </c>
      <c r="E45" s="14">
        <v>500</v>
      </c>
      <c r="F45" s="14">
        <v>48666.67</v>
      </c>
      <c r="G45" s="14">
        <v>0</v>
      </c>
      <c r="H45" s="14">
        <v>0</v>
      </c>
      <c r="I45" s="14">
        <f t="shared" si="2"/>
        <v>48666.67</v>
      </c>
      <c r="J45" s="16"/>
      <c r="K45" s="1"/>
    </row>
    <row r="46" spans="1:11" x14ac:dyDescent="0.95">
      <c r="A46" s="12"/>
      <c r="B46" s="16" t="s">
        <v>59</v>
      </c>
      <c r="C46" s="14">
        <v>61.33</v>
      </c>
      <c r="D46" s="15" t="s">
        <v>57</v>
      </c>
      <c r="E46" s="14">
        <v>650</v>
      </c>
      <c r="F46" s="14">
        <v>39866.67</v>
      </c>
      <c r="G46" s="14">
        <v>0</v>
      </c>
      <c r="H46" s="14">
        <v>0</v>
      </c>
      <c r="I46" s="14">
        <f t="shared" si="2"/>
        <v>39866.67</v>
      </c>
      <c r="J46" s="16"/>
      <c r="K46" s="1"/>
    </row>
    <row r="47" spans="1:11" x14ac:dyDescent="0.95">
      <c r="A47" s="12"/>
      <c r="B47" s="16" t="s">
        <v>60</v>
      </c>
      <c r="C47" s="14">
        <v>37.33</v>
      </c>
      <c r="D47" s="15" t="s">
        <v>57</v>
      </c>
      <c r="E47" s="14">
        <v>740</v>
      </c>
      <c r="F47" s="14">
        <v>27626.67</v>
      </c>
      <c r="G47" s="14">
        <v>0</v>
      </c>
      <c r="H47" s="14">
        <v>0</v>
      </c>
      <c r="I47" s="14">
        <f t="shared" si="2"/>
        <v>27626.67</v>
      </c>
      <c r="J47" s="16"/>
      <c r="K47" s="1"/>
    </row>
    <row r="48" spans="1:11" x14ac:dyDescent="0.95">
      <c r="A48" s="12"/>
      <c r="B48" s="16" t="s">
        <v>61</v>
      </c>
      <c r="C48" s="14">
        <v>2.67</v>
      </c>
      <c r="D48" s="15" t="s">
        <v>57</v>
      </c>
      <c r="E48" s="14">
        <v>1900</v>
      </c>
      <c r="F48" s="14">
        <v>5066.67</v>
      </c>
      <c r="G48" s="14">
        <v>0</v>
      </c>
      <c r="H48" s="14">
        <v>0</v>
      </c>
      <c r="I48" s="14">
        <f t="shared" si="2"/>
        <v>5066.67</v>
      </c>
      <c r="J48" s="16"/>
      <c r="K48" s="1"/>
    </row>
    <row r="49" spans="1:11" x14ac:dyDescent="0.95">
      <c r="A49" s="12"/>
      <c r="B49" s="16" t="s">
        <v>62</v>
      </c>
      <c r="C49" s="14">
        <v>1.33</v>
      </c>
      <c r="D49" s="15" t="s">
        <v>57</v>
      </c>
      <c r="E49" s="14">
        <v>905</v>
      </c>
      <c r="F49" s="14">
        <v>1206.67</v>
      </c>
      <c r="G49" s="14">
        <v>0</v>
      </c>
      <c r="H49" s="14">
        <v>0</v>
      </c>
      <c r="I49" s="14">
        <f t="shared" si="2"/>
        <v>1206.67</v>
      </c>
      <c r="J49" s="16"/>
      <c r="K49" s="1"/>
    </row>
    <row r="50" spans="1:11" x14ac:dyDescent="0.95">
      <c r="A50" s="12"/>
      <c r="B50" s="16" t="s">
        <v>63</v>
      </c>
      <c r="C50" s="14">
        <v>10.67</v>
      </c>
      <c r="D50" s="15" t="s">
        <v>57</v>
      </c>
      <c r="E50" s="14">
        <v>1040</v>
      </c>
      <c r="F50" s="14">
        <v>11093.33</v>
      </c>
      <c r="G50" s="14">
        <v>0</v>
      </c>
      <c r="H50" s="14">
        <v>0</v>
      </c>
      <c r="I50" s="14">
        <f t="shared" si="2"/>
        <v>11093.33</v>
      </c>
      <c r="J50" s="16"/>
      <c r="K50" s="1"/>
    </row>
    <row r="51" spans="1:11" x14ac:dyDescent="0.95">
      <c r="A51" s="12"/>
      <c r="B51" s="16" t="s">
        <v>64</v>
      </c>
      <c r="C51" s="14">
        <v>8</v>
      </c>
      <c r="D51" s="15" t="s">
        <v>29</v>
      </c>
      <c r="E51" s="14">
        <v>109</v>
      </c>
      <c r="F51" s="14">
        <v>872</v>
      </c>
      <c r="G51" s="14">
        <v>0</v>
      </c>
      <c r="H51" s="14">
        <v>0</v>
      </c>
      <c r="I51" s="14">
        <f t="shared" si="2"/>
        <v>872</v>
      </c>
      <c r="J51" s="16"/>
      <c r="K51" s="1"/>
    </row>
    <row r="52" spans="1:11" x14ac:dyDescent="0.95">
      <c r="A52" s="12"/>
      <c r="B52" s="16" t="s">
        <v>65</v>
      </c>
      <c r="C52" s="14">
        <v>18.670000000000002</v>
      </c>
      <c r="D52" s="15" t="s">
        <v>29</v>
      </c>
      <c r="E52" s="14">
        <v>53</v>
      </c>
      <c r="F52" s="14">
        <v>989.33</v>
      </c>
      <c r="G52" s="14">
        <v>0</v>
      </c>
      <c r="H52" s="14">
        <v>0</v>
      </c>
      <c r="I52" s="14">
        <f t="shared" si="2"/>
        <v>989.33</v>
      </c>
      <c r="J52" s="16"/>
      <c r="K52" s="1"/>
    </row>
    <row r="53" spans="1:11" x14ac:dyDescent="0.95">
      <c r="A53" s="12"/>
      <c r="B53" s="16" t="s">
        <v>66</v>
      </c>
      <c r="C53" s="14">
        <v>1.33</v>
      </c>
      <c r="D53" s="15" t="s">
        <v>29</v>
      </c>
      <c r="E53" s="14">
        <v>670</v>
      </c>
      <c r="F53" s="14">
        <v>893.33</v>
      </c>
      <c r="G53" s="14">
        <v>0</v>
      </c>
      <c r="H53" s="14">
        <v>0</v>
      </c>
      <c r="I53" s="14">
        <f t="shared" si="2"/>
        <v>893.33</v>
      </c>
      <c r="J53" s="16"/>
      <c r="K53" s="1"/>
    </row>
    <row r="54" spans="1:11" x14ac:dyDescent="0.95">
      <c r="A54" s="12"/>
      <c r="B54" s="16" t="s">
        <v>67</v>
      </c>
      <c r="C54" s="14">
        <v>1.33</v>
      </c>
      <c r="D54" s="15" t="s">
        <v>68</v>
      </c>
      <c r="E54" s="14">
        <v>1500</v>
      </c>
      <c r="F54" s="14">
        <v>2000</v>
      </c>
      <c r="G54" s="14">
        <v>0</v>
      </c>
      <c r="H54" s="14">
        <v>0</v>
      </c>
      <c r="I54" s="14">
        <f t="shared" si="2"/>
        <v>2000</v>
      </c>
      <c r="J54" s="16"/>
      <c r="K54" s="1"/>
    </row>
    <row r="55" spans="1:11" x14ac:dyDescent="0.95">
      <c r="A55" s="12"/>
      <c r="B55" s="16" t="s">
        <v>69</v>
      </c>
      <c r="C55" s="14">
        <v>8</v>
      </c>
      <c r="D55" s="15" t="s">
        <v>70</v>
      </c>
      <c r="E55" s="14">
        <v>1189</v>
      </c>
      <c r="F55" s="14">
        <v>9512</v>
      </c>
      <c r="G55" s="14">
        <v>0</v>
      </c>
      <c r="H55" s="14">
        <v>0</v>
      </c>
      <c r="I55" s="14">
        <f t="shared" si="2"/>
        <v>9512</v>
      </c>
      <c r="J55" s="16"/>
      <c r="K55" s="1"/>
    </row>
    <row r="56" spans="1:11" x14ac:dyDescent="0.95">
      <c r="A56" s="12"/>
      <c r="B56" s="16" t="s">
        <v>71</v>
      </c>
      <c r="C56" s="14">
        <v>13.33</v>
      </c>
      <c r="D56" s="15" t="s">
        <v>70</v>
      </c>
      <c r="E56" s="14">
        <v>499</v>
      </c>
      <c r="F56" s="14">
        <v>6653.33</v>
      </c>
      <c r="G56" s="14">
        <v>0</v>
      </c>
      <c r="H56" s="14">
        <v>0</v>
      </c>
      <c r="I56" s="14">
        <f t="shared" si="2"/>
        <v>6653.33</v>
      </c>
      <c r="J56" s="16"/>
      <c r="K56" s="1"/>
    </row>
    <row r="57" spans="1:11" x14ac:dyDescent="0.95">
      <c r="A57" s="12"/>
      <c r="B57" s="16" t="s">
        <v>72</v>
      </c>
      <c r="C57" s="14">
        <v>13.33</v>
      </c>
      <c r="D57" s="15" t="s">
        <v>73</v>
      </c>
      <c r="E57" s="14">
        <v>98</v>
      </c>
      <c r="F57" s="14">
        <v>1306.67</v>
      </c>
      <c r="G57" s="14">
        <v>0</v>
      </c>
      <c r="H57" s="14">
        <v>0</v>
      </c>
      <c r="I57" s="14">
        <f t="shared" si="2"/>
        <v>1306.67</v>
      </c>
      <c r="J57" s="16"/>
      <c r="K57" s="1"/>
    </row>
    <row r="58" spans="1:11" x14ac:dyDescent="0.95">
      <c r="A58" s="12"/>
      <c r="B58" s="16" t="s">
        <v>74</v>
      </c>
      <c r="C58" s="14">
        <v>595.24</v>
      </c>
      <c r="D58" s="15" t="s">
        <v>75</v>
      </c>
      <c r="E58" s="14">
        <v>0</v>
      </c>
      <c r="F58" s="14">
        <v>0</v>
      </c>
      <c r="G58" s="14">
        <v>0</v>
      </c>
      <c r="H58" s="14">
        <v>60268.05</v>
      </c>
      <c r="I58" s="14">
        <f t="shared" si="2"/>
        <v>60268.05</v>
      </c>
      <c r="J58" s="16"/>
      <c r="K58" s="1"/>
    </row>
    <row r="59" spans="1:11" x14ac:dyDescent="0.95">
      <c r="A59" s="12"/>
      <c r="B59" s="16" t="s">
        <v>76</v>
      </c>
      <c r="C59" s="14">
        <v>2</v>
      </c>
      <c r="D59" s="15" t="s">
        <v>77</v>
      </c>
      <c r="E59" s="14">
        <v>0</v>
      </c>
      <c r="F59" s="14">
        <v>0</v>
      </c>
      <c r="G59" s="14">
        <v>1000</v>
      </c>
      <c r="H59" s="14">
        <v>2000</v>
      </c>
      <c r="I59" s="14">
        <f t="shared" si="2"/>
        <v>2000</v>
      </c>
      <c r="J59" s="16"/>
      <c r="K59" s="1"/>
    </row>
    <row r="60" spans="1:11" x14ac:dyDescent="0.95">
      <c r="A60" s="12"/>
      <c r="B60" s="16" t="s">
        <v>78</v>
      </c>
      <c r="C60" s="14">
        <v>14.67</v>
      </c>
      <c r="D60" s="15" t="s">
        <v>24</v>
      </c>
      <c r="E60" s="14">
        <v>0</v>
      </c>
      <c r="F60" s="14">
        <v>0</v>
      </c>
      <c r="G60" s="14">
        <v>300</v>
      </c>
      <c r="H60" s="14">
        <v>4400</v>
      </c>
      <c r="I60" s="14">
        <f t="shared" si="2"/>
        <v>4400</v>
      </c>
      <c r="J60" s="16"/>
      <c r="K60" s="1"/>
    </row>
    <row r="61" spans="1:11" x14ac:dyDescent="0.95">
      <c r="A61" s="12"/>
      <c r="B61" s="16" t="s">
        <v>79</v>
      </c>
      <c r="C61" s="14">
        <v>10.67</v>
      </c>
      <c r="D61" s="15" t="s">
        <v>24</v>
      </c>
      <c r="E61" s="14">
        <v>0</v>
      </c>
      <c r="F61" s="14">
        <v>0</v>
      </c>
      <c r="G61" s="14">
        <v>500</v>
      </c>
      <c r="H61" s="14">
        <v>5333.33</v>
      </c>
      <c r="I61" s="14">
        <f t="shared" si="2"/>
        <v>5333.33</v>
      </c>
      <c r="J61" s="16"/>
      <c r="K61" s="1"/>
    </row>
    <row r="62" spans="1:11" x14ac:dyDescent="0.95">
      <c r="A62" s="12"/>
      <c r="B62" s="16" t="s">
        <v>80</v>
      </c>
      <c r="C62" s="14">
        <v>32</v>
      </c>
      <c r="D62" s="15" t="s">
        <v>81</v>
      </c>
      <c r="E62" s="14">
        <v>0</v>
      </c>
      <c r="F62" s="14">
        <v>0</v>
      </c>
      <c r="G62" s="14">
        <v>80</v>
      </c>
      <c r="H62" s="14">
        <v>2560</v>
      </c>
      <c r="I62" s="14">
        <f t="shared" si="2"/>
        <v>2560</v>
      </c>
      <c r="J62" s="16"/>
      <c r="K62" s="1"/>
    </row>
    <row r="63" spans="1:11" s="4" customFormat="1" x14ac:dyDescent="0.95">
      <c r="A63" s="17"/>
      <c r="B63" s="13" t="s">
        <v>82</v>
      </c>
      <c r="C63" s="18"/>
      <c r="D63" s="19"/>
      <c r="E63" s="18"/>
      <c r="F63" s="18">
        <f>ROUND(SUM(F44,F45,F46,F47,F48,F49,F50,F51,F52,F53,F54,F55,F56,F57,F58,F59,F60,F61,F62),2)</f>
        <v>159353.34</v>
      </c>
      <c r="G63" s="18"/>
      <c r="H63" s="18">
        <f>ROUND(SUM(H44,H45,H46,H47,H48,H49,H50,H51,H52,H53,H54,H55,H56,H57,H58,H59,H60,H61,H62),2)</f>
        <v>74561.38</v>
      </c>
      <c r="I63" s="18">
        <f t="shared" si="2"/>
        <v>233914.72</v>
      </c>
      <c r="J63" s="13"/>
      <c r="K63" s="5"/>
    </row>
    <row r="64" spans="1:11" s="4" customFormat="1" x14ac:dyDescent="0.95">
      <c r="A64" s="8">
        <v>1</v>
      </c>
      <c r="B64" s="9" t="s">
        <v>83</v>
      </c>
      <c r="C64" s="10"/>
      <c r="D64" s="11" t="s">
        <v>84</v>
      </c>
      <c r="E64" s="10"/>
      <c r="F64" s="10">
        <f>ROUND(SUM(F8,F9,F10,F11,F14,F15,F18,F19,F20,F21,F22,F25,F26,F27,F28,F31,F32,F33,F34,F35,F38,F39,F40,F41,F44,F45,F46,F47,F48,F49,F50,F51,F52,F53,F54,F55,F56,F57,F58,F59,F60,F61,F62),2)</f>
        <v>865124.47</v>
      </c>
      <c r="G64" s="10"/>
      <c r="H64" s="10">
        <f>ROUND(SUM(H8,H9,H10,H11,H14,H15,H18,H19,H20,H21,H22,H25,H26,H27,H28,H31,H32,H33,H34,H35,H38,H39,H40,H41,H44,H45,H46,H47,H48,H49,H50,H51,H52,H53,H54,H55,H56,H57,H58,H59,H60,H61,H62),2)</f>
        <v>317520.58</v>
      </c>
      <c r="I64" s="10">
        <f t="shared" si="2"/>
        <v>1182645.05</v>
      </c>
      <c r="J64" s="9"/>
      <c r="K64" s="5"/>
    </row>
    <row r="65" spans="1:11" x14ac:dyDescent="0.95">
      <c r="A65" s="25"/>
      <c r="B65" s="26"/>
      <c r="C65" s="26"/>
      <c r="D65" s="26"/>
      <c r="E65" s="26"/>
      <c r="F65" s="26"/>
      <c r="G65" s="26"/>
      <c r="H65" s="26"/>
      <c r="I65" s="26"/>
      <c r="J65" s="27"/>
      <c r="K65" s="1"/>
    </row>
    <row r="66" spans="1:11" s="4" customFormat="1" x14ac:dyDescent="0.95">
      <c r="A66" s="8">
        <v>2</v>
      </c>
      <c r="B66" s="9" t="s">
        <v>85</v>
      </c>
      <c r="C66" s="10"/>
      <c r="D66" s="11"/>
      <c r="E66" s="10"/>
      <c r="F66" s="10"/>
      <c r="G66" s="10"/>
      <c r="H66" s="10"/>
      <c r="I66" s="10"/>
      <c r="J66" s="9"/>
      <c r="K66" s="5"/>
    </row>
    <row r="67" spans="1:11" s="4" customFormat="1" x14ac:dyDescent="0.95">
      <c r="A67" s="17"/>
      <c r="B67" s="13" t="s">
        <v>86</v>
      </c>
      <c r="C67" s="18"/>
      <c r="D67" s="19"/>
      <c r="E67" s="18"/>
      <c r="F67" s="18"/>
      <c r="G67" s="18"/>
      <c r="H67" s="18"/>
      <c r="I67" s="18"/>
      <c r="J67" s="13"/>
      <c r="K67" s="5"/>
    </row>
    <row r="68" spans="1:11" x14ac:dyDescent="0.95">
      <c r="A68" s="12"/>
      <c r="B68" s="16" t="s">
        <v>87</v>
      </c>
      <c r="C68" s="14">
        <v>40</v>
      </c>
      <c r="D68" s="15" t="s">
        <v>57</v>
      </c>
      <c r="E68" s="14">
        <v>1090</v>
      </c>
      <c r="F68" s="14">
        <v>43600</v>
      </c>
      <c r="G68" s="14">
        <v>0</v>
      </c>
      <c r="H68" s="14">
        <v>0</v>
      </c>
      <c r="I68" s="14">
        <f t="shared" ref="I68:I94" si="3">ROUND(F68+H68,2)</f>
        <v>43600</v>
      </c>
      <c r="J68" s="16"/>
      <c r="K68" s="1"/>
    </row>
    <row r="69" spans="1:11" x14ac:dyDescent="0.95">
      <c r="A69" s="12"/>
      <c r="B69" s="16" t="s">
        <v>88</v>
      </c>
      <c r="C69" s="14">
        <v>16</v>
      </c>
      <c r="D69" s="15" t="s">
        <v>57</v>
      </c>
      <c r="E69" s="14">
        <v>510</v>
      </c>
      <c r="F69" s="14">
        <v>8160</v>
      </c>
      <c r="G69" s="14">
        <v>0</v>
      </c>
      <c r="H69" s="14">
        <v>0</v>
      </c>
      <c r="I69" s="14">
        <f t="shared" si="3"/>
        <v>8160</v>
      </c>
      <c r="J69" s="16"/>
      <c r="K69" s="1"/>
    </row>
    <row r="70" spans="1:11" x14ac:dyDescent="0.95">
      <c r="A70" s="12"/>
      <c r="B70" s="16" t="s">
        <v>89</v>
      </c>
      <c r="C70" s="14">
        <v>8</v>
      </c>
      <c r="D70" s="15" t="s">
        <v>57</v>
      </c>
      <c r="E70" s="14">
        <v>234</v>
      </c>
      <c r="F70" s="14">
        <v>1872</v>
      </c>
      <c r="G70" s="14">
        <v>0</v>
      </c>
      <c r="H70" s="14">
        <v>0</v>
      </c>
      <c r="I70" s="14">
        <f t="shared" si="3"/>
        <v>1872</v>
      </c>
      <c r="J70" s="16"/>
      <c r="K70" s="1"/>
    </row>
    <row r="71" spans="1:11" x14ac:dyDescent="0.95">
      <c r="A71" s="12"/>
      <c r="B71" s="16" t="s">
        <v>90</v>
      </c>
      <c r="C71" s="14">
        <v>16</v>
      </c>
      <c r="D71" s="15" t="s">
        <v>57</v>
      </c>
      <c r="E71" s="14">
        <v>144</v>
      </c>
      <c r="F71" s="14">
        <v>2304</v>
      </c>
      <c r="G71" s="14">
        <v>0</v>
      </c>
      <c r="H71" s="14">
        <v>0</v>
      </c>
      <c r="I71" s="14">
        <f t="shared" si="3"/>
        <v>2304</v>
      </c>
      <c r="J71" s="16"/>
      <c r="K71" s="1"/>
    </row>
    <row r="72" spans="1:11" x14ac:dyDescent="0.95">
      <c r="A72" s="12"/>
      <c r="B72" s="16" t="s">
        <v>91</v>
      </c>
      <c r="C72" s="14">
        <v>8</v>
      </c>
      <c r="D72" s="15" t="s">
        <v>57</v>
      </c>
      <c r="E72" s="14">
        <v>53</v>
      </c>
      <c r="F72" s="14">
        <v>424</v>
      </c>
      <c r="G72" s="14">
        <v>0</v>
      </c>
      <c r="H72" s="14">
        <v>0</v>
      </c>
      <c r="I72" s="14">
        <f t="shared" si="3"/>
        <v>424</v>
      </c>
      <c r="J72" s="16"/>
      <c r="K72" s="1"/>
    </row>
    <row r="73" spans="1:11" x14ac:dyDescent="0.95">
      <c r="A73" s="12"/>
      <c r="B73" s="16" t="s">
        <v>92</v>
      </c>
      <c r="C73" s="14">
        <v>8</v>
      </c>
      <c r="D73" s="15" t="s">
        <v>57</v>
      </c>
      <c r="E73" s="14">
        <v>48</v>
      </c>
      <c r="F73" s="14">
        <v>384</v>
      </c>
      <c r="G73" s="14">
        <v>0</v>
      </c>
      <c r="H73" s="14">
        <v>0</v>
      </c>
      <c r="I73" s="14">
        <f t="shared" si="3"/>
        <v>384</v>
      </c>
      <c r="J73" s="16"/>
      <c r="K73" s="1"/>
    </row>
    <row r="74" spans="1:11" x14ac:dyDescent="0.95">
      <c r="A74" s="12"/>
      <c r="B74" s="16" t="s">
        <v>93</v>
      </c>
      <c r="C74" s="14">
        <v>8</v>
      </c>
      <c r="D74" s="15" t="s">
        <v>57</v>
      </c>
      <c r="E74" s="14">
        <v>64</v>
      </c>
      <c r="F74" s="14">
        <v>512</v>
      </c>
      <c r="G74" s="14">
        <v>0</v>
      </c>
      <c r="H74" s="14">
        <v>0</v>
      </c>
      <c r="I74" s="14">
        <f t="shared" si="3"/>
        <v>512</v>
      </c>
      <c r="J74" s="16"/>
      <c r="K74" s="1"/>
    </row>
    <row r="75" spans="1:11" x14ac:dyDescent="0.95">
      <c r="A75" s="12"/>
      <c r="B75" s="16" t="s">
        <v>94</v>
      </c>
      <c r="C75" s="14">
        <v>8</v>
      </c>
      <c r="D75" s="15" t="s">
        <v>95</v>
      </c>
      <c r="E75" s="14">
        <v>84.6</v>
      </c>
      <c r="F75" s="14">
        <v>676.8</v>
      </c>
      <c r="G75" s="14">
        <v>0</v>
      </c>
      <c r="H75" s="14">
        <v>0</v>
      </c>
      <c r="I75" s="14">
        <f t="shared" si="3"/>
        <v>676.8</v>
      </c>
      <c r="J75" s="16"/>
      <c r="K75" s="1"/>
    </row>
    <row r="76" spans="1:11" x14ac:dyDescent="0.95">
      <c r="A76" s="12"/>
      <c r="B76" s="16" t="s">
        <v>96</v>
      </c>
      <c r="C76" s="14">
        <v>24</v>
      </c>
      <c r="D76" s="15" t="s">
        <v>95</v>
      </c>
      <c r="E76" s="14">
        <v>84.6</v>
      </c>
      <c r="F76" s="14">
        <v>2030.4</v>
      </c>
      <c r="G76" s="14">
        <v>0</v>
      </c>
      <c r="H76" s="14">
        <v>0</v>
      </c>
      <c r="I76" s="14">
        <f t="shared" si="3"/>
        <v>2030.4</v>
      </c>
      <c r="J76" s="16"/>
      <c r="K76" s="1"/>
    </row>
    <row r="77" spans="1:11" x14ac:dyDescent="0.95">
      <c r="A77" s="12"/>
      <c r="B77" s="16" t="s">
        <v>97</v>
      </c>
      <c r="C77" s="14">
        <v>32</v>
      </c>
      <c r="D77" s="15" t="s">
        <v>95</v>
      </c>
      <c r="E77" s="14">
        <v>22.8</v>
      </c>
      <c r="F77" s="14">
        <v>729.6</v>
      </c>
      <c r="G77" s="14">
        <v>0</v>
      </c>
      <c r="H77" s="14">
        <v>0</v>
      </c>
      <c r="I77" s="14">
        <f t="shared" si="3"/>
        <v>729.6</v>
      </c>
      <c r="J77" s="16"/>
      <c r="K77" s="1"/>
    </row>
    <row r="78" spans="1:11" x14ac:dyDescent="0.95">
      <c r="A78" s="12"/>
      <c r="B78" s="16" t="s">
        <v>98</v>
      </c>
      <c r="C78" s="14">
        <v>16</v>
      </c>
      <c r="D78" s="15" t="s">
        <v>95</v>
      </c>
      <c r="E78" s="14">
        <v>31.3</v>
      </c>
      <c r="F78" s="14">
        <v>500.8</v>
      </c>
      <c r="G78" s="14">
        <v>0</v>
      </c>
      <c r="H78" s="14">
        <v>0</v>
      </c>
      <c r="I78" s="14">
        <f t="shared" si="3"/>
        <v>500.8</v>
      </c>
      <c r="J78" s="16"/>
      <c r="K78" s="1"/>
    </row>
    <row r="79" spans="1:11" x14ac:dyDescent="0.95">
      <c r="A79" s="12"/>
      <c r="B79" s="16" t="s">
        <v>99</v>
      </c>
      <c r="C79" s="14">
        <v>32</v>
      </c>
      <c r="D79" s="15" t="s">
        <v>95</v>
      </c>
      <c r="E79" s="14">
        <v>13.9</v>
      </c>
      <c r="F79" s="14">
        <v>444.8</v>
      </c>
      <c r="G79" s="14">
        <v>0</v>
      </c>
      <c r="H79" s="14">
        <v>0</v>
      </c>
      <c r="I79" s="14">
        <f t="shared" si="3"/>
        <v>444.8</v>
      </c>
      <c r="J79" s="16"/>
      <c r="K79" s="1"/>
    </row>
    <row r="80" spans="1:11" x14ac:dyDescent="0.95">
      <c r="A80" s="12"/>
      <c r="B80" s="16" t="s">
        <v>100</v>
      </c>
      <c r="C80" s="14">
        <v>8</v>
      </c>
      <c r="D80" s="15" t="s">
        <v>95</v>
      </c>
      <c r="E80" s="14">
        <v>8.0500000000000007</v>
      </c>
      <c r="F80" s="14">
        <v>64.400000000000006</v>
      </c>
      <c r="G80" s="14">
        <v>0</v>
      </c>
      <c r="H80" s="14">
        <v>0</v>
      </c>
      <c r="I80" s="14">
        <f t="shared" si="3"/>
        <v>64.400000000000006</v>
      </c>
      <c r="J80" s="16"/>
      <c r="K80" s="1"/>
    </row>
    <row r="81" spans="1:11" x14ac:dyDescent="0.95">
      <c r="A81" s="12"/>
      <c r="B81" s="16" t="s">
        <v>101</v>
      </c>
      <c r="C81" s="14">
        <v>16</v>
      </c>
      <c r="D81" s="15" t="s">
        <v>95</v>
      </c>
      <c r="E81" s="14">
        <v>18.600000000000001</v>
      </c>
      <c r="F81" s="14">
        <v>297.60000000000002</v>
      </c>
      <c r="G81" s="14">
        <v>0</v>
      </c>
      <c r="H81" s="14">
        <v>0</v>
      </c>
      <c r="I81" s="14">
        <f t="shared" si="3"/>
        <v>297.60000000000002</v>
      </c>
      <c r="J81" s="16"/>
      <c r="K81" s="1"/>
    </row>
    <row r="82" spans="1:11" x14ac:dyDescent="0.95">
      <c r="A82" s="12"/>
      <c r="B82" s="16" t="s">
        <v>102</v>
      </c>
      <c r="C82" s="14">
        <v>8</v>
      </c>
      <c r="D82" s="15" t="s">
        <v>95</v>
      </c>
      <c r="E82" s="14">
        <v>13.8</v>
      </c>
      <c r="F82" s="14">
        <v>110.4</v>
      </c>
      <c r="G82" s="14">
        <v>0</v>
      </c>
      <c r="H82" s="14">
        <v>0</v>
      </c>
      <c r="I82" s="14">
        <f t="shared" si="3"/>
        <v>110.4</v>
      </c>
      <c r="J82" s="16"/>
      <c r="K82" s="1"/>
    </row>
    <row r="83" spans="1:11" x14ac:dyDescent="0.95">
      <c r="A83" s="12"/>
      <c r="B83" s="16" t="s">
        <v>103</v>
      </c>
      <c r="C83" s="14">
        <v>8</v>
      </c>
      <c r="D83" s="15" t="s">
        <v>95</v>
      </c>
      <c r="E83" s="14">
        <v>15</v>
      </c>
      <c r="F83" s="14">
        <v>120</v>
      </c>
      <c r="G83" s="14">
        <v>0</v>
      </c>
      <c r="H83" s="14">
        <v>0</v>
      </c>
      <c r="I83" s="14">
        <f t="shared" si="3"/>
        <v>120</v>
      </c>
      <c r="J83" s="16"/>
      <c r="K83" s="1"/>
    </row>
    <row r="84" spans="1:11" x14ac:dyDescent="0.95">
      <c r="A84" s="12"/>
      <c r="B84" s="16" t="s">
        <v>104</v>
      </c>
      <c r="C84" s="14">
        <v>8</v>
      </c>
      <c r="D84" s="15" t="s">
        <v>95</v>
      </c>
      <c r="E84" s="14">
        <v>13</v>
      </c>
      <c r="F84" s="14">
        <v>104</v>
      </c>
      <c r="G84" s="14">
        <v>0</v>
      </c>
      <c r="H84" s="14">
        <v>0</v>
      </c>
      <c r="I84" s="14">
        <f t="shared" si="3"/>
        <v>104</v>
      </c>
      <c r="J84" s="16"/>
      <c r="K84" s="1"/>
    </row>
    <row r="85" spans="1:11" x14ac:dyDescent="0.95">
      <c r="A85" s="12"/>
      <c r="B85" s="16" t="s">
        <v>105</v>
      </c>
      <c r="C85" s="14">
        <v>8</v>
      </c>
      <c r="D85" s="15" t="s">
        <v>95</v>
      </c>
      <c r="E85" s="14">
        <v>12</v>
      </c>
      <c r="F85" s="14">
        <v>96</v>
      </c>
      <c r="G85" s="14">
        <v>0</v>
      </c>
      <c r="H85" s="14">
        <v>0</v>
      </c>
      <c r="I85" s="14">
        <f t="shared" si="3"/>
        <v>96</v>
      </c>
      <c r="J85" s="16"/>
      <c r="K85" s="1"/>
    </row>
    <row r="86" spans="1:11" x14ac:dyDescent="0.95">
      <c r="A86" s="12"/>
      <c r="B86" s="16" t="s">
        <v>106</v>
      </c>
      <c r="C86" s="14">
        <v>8</v>
      </c>
      <c r="D86" s="15" t="s">
        <v>95</v>
      </c>
      <c r="E86" s="14">
        <v>4.7</v>
      </c>
      <c r="F86" s="14">
        <v>37.6</v>
      </c>
      <c r="G86" s="14">
        <v>0</v>
      </c>
      <c r="H86" s="14">
        <v>0</v>
      </c>
      <c r="I86" s="14">
        <f t="shared" si="3"/>
        <v>37.6</v>
      </c>
      <c r="J86" s="16"/>
      <c r="K86" s="1"/>
    </row>
    <row r="87" spans="1:11" x14ac:dyDescent="0.95">
      <c r="A87" s="12"/>
      <c r="B87" s="16" t="s">
        <v>107</v>
      </c>
      <c r="C87" s="14">
        <v>10</v>
      </c>
      <c r="D87" s="15" t="s">
        <v>108</v>
      </c>
      <c r="E87" s="14">
        <v>434</v>
      </c>
      <c r="F87" s="14">
        <v>4340</v>
      </c>
      <c r="G87" s="14">
        <v>0</v>
      </c>
      <c r="H87" s="14">
        <v>0</v>
      </c>
      <c r="I87" s="14">
        <f t="shared" si="3"/>
        <v>4340</v>
      </c>
      <c r="J87" s="16"/>
      <c r="K87" s="1"/>
    </row>
    <row r="88" spans="1:11" x14ac:dyDescent="0.95">
      <c r="A88" s="12"/>
      <c r="B88" s="16" t="s">
        <v>109</v>
      </c>
      <c r="C88" s="14">
        <v>8</v>
      </c>
      <c r="D88" s="15" t="s">
        <v>70</v>
      </c>
      <c r="E88" s="14">
        <v>3600</v>
      </c>
      <c r="F88" s="14">
        <v>28800</v>
      </c>
      <c r="G88" s="14">
        <v>0</v>
      </c>
      <c r="H88" s="14">
        <v>0</v>
      </c>
      <c r="I88" s="14">
        <f t="shared" si="3"/>
        <v>28800</v>
      </c>
      <c r="J88" s="16"/>
      <c r="K88" s="1"/>
    </row>
    <row r="89" spans="1:11" x14ac:dyDescent="0.95">
      <c r="A89" s="12"/>
      <c r="B89" s="16" t="s">
        <v>110</v>
      </c>
      <c r="C89" s="14">
        <v>2.67</v>
      </c>
      <c r="D89" s="15" t="s">
        <v>111</v>
      </c>
      <c r="E89" s="14">
        <v>600</v>
      </c>
      <c r="F89" s="14">
        <v>1600</v>
      </c>
      <c r="G89" s="14">
        <v>0</v>
      </c>
      <c r="H89" s="14">
        <v>0</v>
      </c>
      <c r="I89" s="14">
        <f t="shared" si="3"/>
        <v>1600</v>
      </c>
      <c r="J89" s="16"/>
      <c r="K89" s="1"/>
    </row>
    <row r="90" spans="1:11" x14ac:dyDescent="0.95">
      <c r="A90" s="12"/>
      <c r="B90" s="16" t="s">
        <v>112</v>
      </c>
      <c r="C90" s="14">
        <v>8</v>
      </c>
      <c r="D90" s="15" t="s">
        <v>70</v>
      </c>
      <c r="E90" s="14">
        <v>1100</v>
      </c>
      <c r="F90" s="14">
        <v>8800</v>
      </c>
      <c r="G90" s="14">
        <v>0</v>
      </c>
      <c r="H90" s="14">
        <v>0</v>
      </c>
      <c r="I90" s="14">
        <f t="shared" si="3"/>
        <v>8800</v>
      </c>
      <c r="J90" s="16"/>
      <c r="K90" s="1"/>
    </row>
    <row r="91" spans="1:11" x14ac:dyDescent="0.95">
      <c r="A91" s="12"/>
      <c r="B91" s="16" t="s">
        <v>113</v>
      </c>
      <c r="C91" s="14">
        <v>4.67</v>
      </c>
      <c r="D91" s="15" t="s">
        <v>111</v>
      </c>
      <c r="E91" s="14">
        <v>160</v>
      </c>
      <c r="F91" s="14">
        <v>746.67</v>
      </c>
      <c r="G91" s="14">
        <v>0</v>
      </c>
      <c r="H91" s="14">
        <v>0</v>
      </c>
      <c r="I91" s="14">
        <f t="shared" si="3"/>
        <v>746.67</v>
      </c>
      <c r="J91" s="16"/>
      <c r="K91" s="1"/>
    </row>
    <row r="92" spans="1:11" x14ac:dyDescent="0.95">
      <c r="A92" s="12"/>
      <c r="B92" s="16" t="s">
        <v>114</v>
      </c>
      <c r="C92" s="14">
        <v>16</v>
      </c>
      <c r="D92" s="15" t="s">
        <v>115</v>
      </c>
      <c r="E92" s="14">
        <v>108</v>
      </c>
      <c r="F92" s="14">
        <v>1728</v>
      </c>
      <c r="G92" s="14">
        <v>0</v>
      </c>
      <c r="H92" s="14">
        <v>0</v>
      </c>
      <c r="I92" s="14">
        <f t="shared" si="3"/>
        <v>1728</v>
      </c>
      <c r="J92" s="16"/>
      <c r="K92" s="1"/>
    </row>
    <row r="93" spans="1:11" x14ac:dyDescent="0.95">
      <c r="A93" s="12"/>
      <c r="B93" s="16" t="s">
        <v>116</v>
      </c>
      <c r="C93" s="14">
        <v>16</v>
      </c>
      <c r="D93" s="15" t="s">
        <v>117</v>
      </c>
      <c r="E93" s="14">
        <v>42</v>
      </c>
      <c r="F93" s="14">
        <v>672</v>
      </c>
      <c r="G93" s="14">
        <v>0</v>
      </c>
      <c r="H93" s="14">
        <v>0</v>
      </c>
      <c r="I93" s="14">
        <f t="shared" si="3"/>
        <v>672</v>
      </c>
      <c r="J93" s="16"/>
      <c r="K93" s="1"/>
    </row>
    <row r="94" spans="1:11" s="4" customFormat="1" x14ac:dyDescent="0.95">
      <c r="A94" s="17"/>
      <c r="B94" s="13" t="s">
        <v>118</v>
      </c>
      <c r="C94" s="18"/>
      <c r="D94" s="19"/>
      <c r="E94" s="18"/>
      <c r="F94" s="18">
        <f>ROUND(SUM(F68,F69,F70,F71,F72,F73,F74,F75,F76,F77,F78,F79,F80,F81,F82,F83,F84,F85,F86,F87,F88,F89,F90,F91,F92,F93),2)</f>
        <v>109155.07</v>
      </c>
      <c r="G94" s="18"/>
      <c r="H94" s="18">
        <f>ROUND(SUM(H68,H69,H70,H71,H72,H73,H74,H75,H76,H77,H78,H79,H80,H81,H82,H83,H84,H85,H86,H87,H88,H89,H90,H91,H92,H93),2)</f>
        <v>0</v>
      </c>
      <c r="I94" s="18">
        <f t="shared" si="3"/>
        <v>109155.07</v>
      </c>
      <c r="J94" s="13"/>
      <c r="K94" s="5"/>
    </row>
    <row r="95" spans="1:11" s="4" customFormat="1" x14ac:dyDescent="0.95">
      <c r="A95" s="17"/>
      <c r="B95" s="13" t="s">
        <v>119</v>
      </c>
      <c r="C95" s="18"/>
      <c r="D95" s="19"/>
      <c r="E95" s="18"/>
      <c r="F95" s="18"/>
      <c r="G95" s="18"/>
      <c r="H95" s="18"/>
      <c r="I95" s="18"/>
      <c r="J95" s="13"/>
      <c r="K95" s="5"/>
    </row>
    <row r="96" spans="1:11" x14ac:dyDescent="0.95">
      <c r="A96" s="12"/>
      <c r="B96" s="16" t="s">
        <v>120</v>
      </c>
      <c r="C96" s="14">
        <v>8</v>
      </c>
      <c r="D96" s="15" t="s">
        <v>121</v>
      </c>
      <c r="E96" s="14">
        <v>109</v>
      </c>
      <c r="F96" s="14">
        <v>872</v>
      </c>
      <c r="G96" s="14">
        <v>6000</v>
      </c>
      <c r="H96" s="14">
        <v>48000</v>
      </c>
      <c r="I96" s="14">
        <f>ROUND(F96+H96,2)</f>
        <v>48872</v>
      </c>
      <c r="J96" s="16"/>
      <c r="K96" s="1"/>
    </row>
    <row r="97" spans="1:11" x14ac:dyDescent="0.95">
      <c r="A97" s="12"/>
      <c r="B97" s="16" t="s">
        <v>122</v>
      </c>
      <c r="C97" s="14">
        <v>26.67</v>
      </c>
      <c r="D97" s="15" t="s">
        <v>121</v>
      </c>
      <c r="E97" s="14">
        <v>75</v>
      </c>
      <c r="F97" s="14">
        <v>2000</v>
      </c>
      <c r="G97" s="14">
        <v>0</v>
      </c>
      <c r="H97" s="14">
        <v>0</v>
      </c>
      <c r="I97" s="14">
        <f>ROUND(F97+H97,2)</f>
        <v>2000</v>
      </c>
      <c r="J97" s="16"/>
      <c r="K97" s="1"/>
    </row>
    <row r="98" spans="1:11" s="4" customFormat="1" x14ac:dyDescent="0.95">
      <c r="A98" s="17"/>
      <c r="B98" s="13" t="s">
        <v>123</v>
      </c>
      <c r="C98" s="18"/>
      <c r="D98" s="19"/>
      <c r="E98" s="18"/>
      <c r="F98" s="18">
        <f>ROUND(SUM(F96,F97),2)</f>
        <v>2872</v>
      </c>
      <c r="G98" s="18"/>
      <c r="H98" s="18">
        <f>ROUND(SUM(H96,H97),2)</f>
        <v>48000</v>
      </c>
      <c r="I98" s="18">
        <f>ROUND(F98+H98,2)</f>
        <v>50872</v>
      </c>
      <c r="J98" s="13"/>
      <c r="K98" s="5"/>
    </row>
    <row r="99" spans="1:11" s="4" customFormat="1" x14ac:dyDescent="0.95">
      <c r="A99" s="17"/>
      <c r="B99" s="13" t="s">
        <v>124</v>
      </c>
      <c r="C99" s="18"/>
      <c r="D99" s="19"/>
      <c r="E99" s="18"/>
      <c r="F99" s="18"/>
      <c r="G99" s="18"/>
      <c r="H99" s="18"/>
      <c r="I99" s="18"/>
      <c r="J99" s="13"/>
      <c r="K99" s="5"/>
    </row>
    <row r="100" spans="1:11" x14ac:dyDescent="0.95">
      <c r="A100" s="12"/>
      <c r="B100" s="16" t="s">
        <v>125</v>
      </c>
      <c r="C100" s="14">
        <v>700</v>
      </c>
      <c r="D100" s="15" t="s">
        <v>126</v>
      </c>
      <c r="E100" s="14">
        <v>5.5</v>
      </c>
      <c r="F100" s="14">
        <v>3850</v>
      </c>
      <c r="G100" s="14">
        <v>0</v>
      </c>
      <c r="H100" s="14">
        <v>0</v>
      </c>
      <c r="I100" s="14">
        <f t="shared" ref="I100:I109" si="4">ROUND(F100+H100,2)</f>
        <v>3850</v>
      </c>
      <c r="J100" s="16"/>
      <c r="K100" s="1"/>
    </row>
    <row r="101" spans="1:11" x14ac:dyDescent="0.95">
      <c r="A101" s="12"/>
      <c r="B101" s="16" t="s">
        <v>127</v>
      </c>
      <c r="C101" s="14">
        <v>2.67</v>
      </c>
      <c r="D101" s="15" t="s">
        <v>128</v>
      </c>
      <c r="E101" s="14">
        <v>500</v>
      </c>
      <c r="F101" s="14">
        <v>1333.33</v>
      </c>
      <c r="G101" s="14">
        <v>0</v>
      </c>
      <c r="H101" s="14">
        <v>0</v>
      </c>
      <c r="I101" s="14">
        <f t="shared" si="4"/>
        <v>1333.33</v>
      </c>
      <c r="J101" s="16"/>
      <c r="K101" s="1"/>
    </row>
    <row r="102" spans="1:11" x14ac:dyDescent="0.95">
      <c r="A102" s="12"/>
      <c r="B102" s="16" t="s">
        <v>129</v>
      </c>
      <c r="C102" s="14">
        <v>2.67</v>
      </c>
      <c r="D102" s="15" t="s">
        <v>128</v>
      </c>
      <c r="E102" s="14">
        <v>400</v>
      </c>
      <c r="F102" s="14">
        <v>1066.67</v>
      </c>
      <c r="G102" s="14">
        <v>0</v>
      </c>
      <c r="H102" s="14">
        <v>0</v>
      </c>
      <c r="I102" s="14">
        <f t="shared" si="4"/>
        <v>1066.67</v>
      </c>
      <c r="J102" s="16"/>
      <c r="K102" s="1"/>
    </row>
    <row r="103" spans="1:11" x14ac:dyDescent="0.95">
      <c r="A103" s="12"/>
      <c r="B103" s="16" t="s">
        <v>130</v>
      </c>
      <c r="C103" s="14">
        <v>26.67</v>
      </c>
      <c r="D103" s="15" t="s">
        <v>121</v>
      </c>
      <c r="E103" s="14">
        <v>92</v>
      </c>
      <c r="F103" s="14">
        <v>2453.33</v>
      </c>
      <c r="G103" s="14">
        <v>0</v>
      </c>
      <c r="H103" s="14">
        <v>0</v>
      </c>
      <c r="I103" s="14">
        <f t="shared" si="4"/>
        <v>2453.33</v>
      </c>
      <c r="J103" s="16"/>
      <c r="K103" s="1"/>
    </row>
    <row r="104" spans="1:11" x14ac:dyDescent="0.95">
      <c r="A104" s="12"/>
      <c r="B104" s="16" t="s">
        <v>131</v>
      </c>
      <c r="C104" s="14">
        <v>80</v>
      </c>
      <c r="D104" s="15" t="s">
        <v>121</v>
      </c>
      <c r="E104" s="14">
        <v>61</v>
      </c>
      <c r="F104" s="14">
        <v>4880</v>
      </c>
      <c r="G104" s="14">
        <v>0</v>
      </c>
      <c r="H104" s="14">
        <v>0</v>
      </c>
      <c r="I104" s="14">
        <f t="shared" si="4"/>
        <v>4880</v>
      </c>
      <c r="J104" s="16"/>
      <c r="K104" s="1"/>
    </row>
    <row r="105" spans="1:11" x14ac:dyDescent="0.95">
      <c r="A105" s="12"/>
      <c r="B105" s="16" t="s">
        <v>132</v>
      </c>
      <c r="C105" s="14">
        <v>13.33</v>
      </c>
      <c r="D105" s="15" t="s">
        <v>57</v>
      </c>
      <c r="E105" s="14">
        <v>110</v>
      </c>
      <c r="F105" s="14">
        <v>1466.67</v>
      </c>
      <c r="G105" s="14">
        <v>0</v>
      </c>
      <c r="H105" s="14">
        <v>0</v>
      </c>
      <c r="I105" s="14">
        <f t="shared" si="4"/>
        <v>1466.67</v>
      </c>
      <c r="J105" s="16"/>
      <c r="K105" s="1"/>
    </row>
    <row r="106" spans="1:11" x14ac:dyDescent="0.95">
      <c r="A106" s="12"/>
      <c r="B106" s="16" t="s">
        <v>44</v>
      </c>
      <c r="C106" s="14">
        <v>13.33</v>
      </c>
      <c r="D106" s="15" t="s">
        <v>57</v>
      </c>
      <c r="E106" s="14">
        <v>64</v>
      </c>
      <c r="F106" s="14">
        <v>853.33</v>
      </c>
      <c r="G106" s="14">
        <v>0</v>
      </c>
      <c r="H106" s="14">
        <v>0</v>
      </c>
      <c r="I106" s="14">
        <f t="shared" si="4"/>
        <v>853.33</v>
      </c>
      <c r="J106" s="16"/>
      <c r="K106" s="1"/>
    </row>
    <row r="107" spans="1:11" x14ac:dyDescent="0.95">
      <c r="A107" s="12"/>
      <c r="B107" s="16" t="s">
        <v>133</v>
      </c>
      <c r="C107" s="14">
        <v>1.33</v>
      </c>
      <c r="D107" s="15" t="s">
        <v>111</v>
      </c>
      <c r="E107" s="14">
        <v>0</v>
      </c>
      <c r="F107" s="14">
        <v>0</v>
      </c>
      <c r="G107" s="14">
        <v>0</v>
      </c>
      <c r="H107" s="14">
        <v>0</v>
      </c>
      <c r="I107" s="14">
        <f t="shared" si="4"/>
        <v>0</v>
      </c>
      <c r="J107" s="16"/>
      <c r="K107" s="1"/>
    </row>
    <row r="108" spans="1:11" x14ac:dyDescent="0.95">
      <c r="A108" s="12"/>
      <c r="B108" s="16" t="s">
        <v>134</v>
      </c>
      <c r="C108" s="14">
        <v>8</v>
      </c>
      <c r="D108" s="15" t="s">
        <v>77</v>
      </c>
      <c r="E108" s="14">
        <v>0</v>
      </c>
      <c r="F108" s="14">
        <v>0</v>
      </c>
      <c r="G108" s="14">
        <v>1012</v>
      </c>
      <c r="H108" s="14">
        <v>56672</v>
      </c>
      <c r="I108" s="14">
        <f t="shared" si="4"/>
        <v>56672</v>
      </c>
      <c r="J108" s="16"/>
      <c r="K108" s="1"/>
    </row>
    <row r="109" spans="1:11" s="4" customFormat="1" x14ac:dyDescent="0.95">
      <c r="A109" s="17"/>
      <c r="B109" s="13" t="s">
        <v>135</v>
      </c>
      <c r="C109" s="18"/>
      <c r="D109" s="19"/>
      <c r="E109" s="18"/>
      <c r="F109" s="18">
        <f>ROUND(SUM(F100,F101,F102,F103,F104,F105,F106,F107,F108),2)</f>
        <v>15903.33</v>
      </c>
      <c r="G109" s="18"/>
      <c r="H109" s="18">
        <f>ROUND(SUM(H100,H101,H102,H103,H104,H105,H106,H107,H108),2)</f>
        <v>56672</v>
      </c>
      <c r="I109" s="18">
        <f t="shared" si="4"/>
        <v>72575.33</v>
      </c>
      <c r="J109" s="13"/>
      <c r="K109" s="5"/>
    </row>
    <row r="110" spans="1:11" s="4" customFormat="1" x14ac:dyDescent="0.95">
      <c r="A110" s="17"/>
      <c r="B110" s="13" t="s">
        <v>136</v>
      </c>
      <c r="C110" s="18"/>
      <c r="D110" s="19"/>
      <c r="E110" s="18"/>
      <c r="F110" s="18"/>
      <c r="G110" s="18"/>
      <c r="H110" s="18"/>
      <c r="I110" s="18"/>
      <c r="J110" s="13"/>
      <c r="K110" s="5"/>
    </row>
    <row r="111" spans="1:11" x14ac:dyDescent="0.95">
      <c r="A111" s="12"/>
      <c r="B111" s="16" t="s">
        <v>137</v>
      </c>
      <c r="C111" s="14">
        <v>192</v>
      </c>
      <c r="D111" s="15" t="s">
        <v>36</v>
      </c>
      <c r="E111" s="14">
        <v>45</v>
      </c>
      <c r="F111" s="14">
        <v>8640</v>
      </c>
      <c r="G111" s="14">
        <v>80</v>
      </c>
      <c r="H111" s="14">
        <v>15360</v>
      </c>
      <c r="I111" s="14">
        <f>ROUND(F111+H111,2)</f>
        <v>24000</v>
      </c>
      <c r="J111" s="16"/>
      <c r="K111" s="1"/>
    </row>
    <row r="112" spans="1:11" x14ac:dyDescent="0.95">
      <c r="A112" s="12"/>
      <c r="B112" s="16" t="s">
        <v>17</v>
      </c>
      <c r="C112" s="14">
        <v>22.67</v>
      </c>
      <c r="D112" s="15" t="s">
        <v>18</v>
      </c>
      <c r="E112" s="14">
        <v>1500</v>
      </c>
      <c r="F112" s="14">
        <v>34000</v>
      </c>
      <c r="G112" s="14">
        <v>0</v>
      </c>
      <c r="H112" s="14">
        <v>0</v>
      </c>
      <c r="I112" s="14">
        <f>ROUND(F112+H112,2)</f>
        <v>34000</v>
      </c>
      <c r="J112" s="16"/>
      <c r="K112" s="1"/>
    </row>
    <row r="113" spans="1:11" s="4" customFormat="1" x14ac:dyDescent="0.95">
      <c r="A113" s="17"/>
      <c r="B113" s="13" t="s">
        <v>138</v>
      </c>
      <c r="C113" s="18"/>
      <c r="D113" s="19"/>
      <c r="E113" s="18"/>
      <c r="F113" s="18">
        <f>ROUND(SUM(F111,F112),2)</f>
        <v>42640</v>
      </c>
      <c r="G113" s="18"/>
      <c r="H113" s="18">
        <f>ROUND(SUM(H111,H112),2)</f>
        <v>15360</v>
      </c>
      <c r="I113" s="18">
        <f>ROUND(F113+H113,2)</f>
        <v>58000</v>
      </c>
      <c r="J113" s="13"/>
      <c r="K113" s="5"/>
    </row>
    <row r="114" spans="1:11" s="4" customFormat="1" x14ac:dyDescent="0.95">
      <c r="A114" s="17"/>
      <c r="B114" s="13" t="s">
        <v>139</v>
      </c>
      <c r="C114" s="18"/>
      <c r="D114" s="19"/>
      <c r="E114" s="18"/>
      <c r="F114" s="18"/>
      <c r="G114" s="18"/>
      <c r="H114" s="18"/>
      <c r="I114" s="18"/>
      <c r="J114" s="13"/>
      <c r="K114" s="5"/>
    </row>
    <row r="115" spans="1:11" x14ac:dyDescent="0.95">
      <c r="A115" s="12"/>
      <c r="B115" s="16" t="s">
        <v>46</v>
      </c>
      <c r="C115" s="14">
        <v>7.0000000000000007E-2</v>
      </c>
      <c r="D115" s="15" t="s">
        <v>45</v>
      </c>
      <c r="E115" s="14">
        <v>137</v>
      </c>
      <c r="F115" s="14">
        <v>1830.33</v>
      </c>
      <c r="G115" s="14">
        <v>0</v>
      </c>
      <c r="H115" s="14">
        <v>0</v>
      </c>
      <c r="I115" s="14">
        <f t="shared" ref="I115:I120" si="5">ROUND(F115+H115,2)</f>
        <v>1830.33</v>
      </c>
      <c r="J115" s="16"/>
      <c r="K115" s="1"/>
    </row>
    <row r="116" spans="1:11" x14ac:dyDescent="0.95">
      <c r="A116" s="12"/>
      <c r="B116" s="16" t="s">
        <v>47</v>
      </c>
      <c r="C116" s="14">
        <v>0.05</v>
      </c>
      <c r="D116" s="15" t="s">
        <v>45</v>
      </c>
      <c r="E116" s="14">
        <v>240</v>
      </c>
      <c r="F116" s="14">
        <v>1441.44</v>
      </c>
      <c r="G116" s="14">
        <v>1</v>
      </c>
      <c r="H116" s="14">
        <v>6.01</v>
      </c>
      <c r="I116" s="14">
        <f t="shared" si="5"/>
        <v>1447.45</v>
      </c>
      <c r="J116" s="16"/>
      <c r="K116" s="1"/>
    </row>
    <row r="117" spans="1:11" x14ac:dyDescent="0.95">
      <c r="A117" s="12"/>
      <c r="B117" s="16" t="s">
        <v>52</v>
      </c>
      <c r="C117" s="14">
        <v>17.329999999999998</v>
      </c>
      <c r="D117" s="15" t="s">
        <v>18</v>
      </c>
      <c r="E117" s="14">
        <v>1600</v>
      </c>
      <c r="F117" s="14">
        <v>27733.33</v>
      </c>
      <c r="G117" s="14">
        <v>2</v>
      </c>
      <c r="H117" s="14">
        <v>8.67</v>
      </c>
      <c r="I117" s="14">
        <f t="shared" si="5"/>
        <v>27742</v>
      </c>
      <c r="J117" s="16"/>
      <c r="K117" s="1"/>
    </row>
    <row r="118" spans="1:11" x14ac:dyDescent="0.95">
      <c r="A118" s="12"/>
      <c r="B118" s="16" t="s">
        <v>53</v>
      </c>
      <c r="C118" s="14">
        <v>173.33</v>
      </c>
      <c r="D118" s="15" t="s">
        <v>36</v>
      </c>
      <c r="E118" s="14">
        <v>74.2</v>
      </c>
      <c r="F118" s="14">
        <v>12861.33</v>
      </c>
      <c r="G118" s="14">
        <v>3</v>
      </c>
      <c r="H118" s="14">
        <v>130</v>
      </c>
      <c r="I118" s="14">
        <f t="shared" si="5"/>
        <v>12991.33</v>
      </c>
      <c r="J118" s="16"/>
      <c r="K118" s="1"/>
    </row>
    <row r="119" spans="1:11" x14ac:dyDescent="0.95">
      <c r="A119" s="12"/>
      <c r="B119" s="16" t="s">
        <v>140</v>
      </c>
      <c r="C119" s="14">
        <v>8</v>
      </c>
      <c r="D119" s="15" t="s">
        <v>77</v>
      </c>
      <c r="E119" s="14">
        <v>0</v>
      </c>
      <c r="F119" s="14">
        <v>0</v>
      </c>
      <c r="G119" s="14">
        <v>2500</v>
      </c>
      <c r="H119" s="14">
        <v>20000</v>
      </c>
      <c r="I119" s="14">
        <f t="shared" si="5"/>
        <v>20000</v>
      </c>
      <c r="J119" s="16"/>
      <c r="K119" s="1"/>
    </row>
    <row r="120" spans="1:11" s="4" customFormat="1" x14ac:dyDescent="0.95">
      <c r="A120" s="17"/>
      <c r="B120" s="13" t="s">
        <v>141</v>
      </c>
      <c r="C120" s="18"/>
      <c r="D120" s="19"/>
      <c r="E120" s="18"/>
      <c r="F120" s="18">
        <f>ROUND(SUM(F115,F116,F117,F118,F119),2)</f>
        <v>43866.43</v>
      </c>
      <c r="G120" s="18">
        <f>SUM(G115:G119)</f>
        <v>2506</v>
      </c>
      <c r="H120" s="18">
        <f>ROUND(SUM(H115,H116,H117,H118,H119),2)</f>
        <v>20144.68</v>
      </c>
      <c r="I120" s="18">
        <f t="shared" si="5"/>
        <v>64011.11</v>
      </c>
      <c r="J120" s="13"/>
      <c r="K120" s="5"/>
    </row>
    <row r="121" spans="1:11" s="4" customFormat="1" x14ac:dyDescent="0.95">
      <c r="A121" s="17"/>
      <c r="B121" s="13" t="s">
        <v>142</v>
      </c>
      <c r="C121" s="18"/>
      <c r="D121" s="19"/>
      <c r="E121" s="18"/>
      <c r="F121" s="18"/>
      <c r="G121" s="18"/>
      <c r="H121" s="18"/>
      <c r="I121" s="18"/>
      <c r="J121" s="13"/>
      <c r="K121" s="5"/>
    </row>
    <row r="122" spans="1:11" x14ac:dyDescent="0.95">
      <c r="A122" s="12"/>
      <c r="B122" s="16" t="s">
        <v>143</v>
      </c>
      <c r="C122" s="14">
        <v>832</v>
      </c>
      <c r="D122" s="15" t="s">
        <v>29</v>
      </c>
      <c r="E122" s="14">
        <v>67</v>
      </c>
      <c r="F122" s="14">
        <v>55744</v>
      </c>
      <c r="G122" s="14">
        <v>0</v>
      </c>
      <c r="H122" s="14">
        <v>0</v>
      </c>
      <c r="I122" s="14">
        <f t="shared" ref="I122:I135" si="6">ROUND(F122+H122,2)</f>
        <v>55744</v>
      </c>
      <c r="J122" s="16"/>
      <c r="K122" s="1"/>
    </row>
    <row r="123" spans="1:11" x14ac:dyDescent="0.95">
      <c r="A123" s="12"/>
      <c r="B123" s="16" t="s">
        <v>144</v>
      </c>
      <c r="C123" s="14">
        <v>208</v>
      </c>
      <c r="D123" s="15" t="s">
        <v>29</v>
      </c>
      <c r="E123" s="14">
        <v>82</v>
      </c>
      <c r="F123" s="14">
        <v>17056</v>
      </c>
      <c r="G123" s="14">
        <v>0</v>
      </c>
      <c r="H123" s="14">
        <v>0</v>
      </c>
      <c r="I123" s="14">
        <f t="shared" si="6"/>
        <v>17056</v>
      </c>
      <c r="J123" s="16"/>
      <c r="K123" s="1"/>
    </row>
    <row r="124" spans="1:11" x14ac:dyDescent="0.95">
      <c r="A124" s="12"/>
      <c r="B124" s="16" t="s">
        <v>145</v>
      </c>
      <c r="C124" s="14">
        <v>20</v>
      </c>
      <c r="D124" s="15" t="s">
        <v>146</v>
      </c>
      <c r="E124" s="14">
        <v>870</v>
      </c>
      <c r="F124" s="14">
        <v>17400</v>
      </c>
      <c r="G124" s="14">
        <v>0</v>
      </c>
      <c r="H124" s="14">
        <v>0</v>
      </c>
      <c r="I124" s="14">
        <f t="shared" si="6"/>
        <v>17400</v>
      </c>
      <c r="J124" s="16"/>
      <c r="K124" s="1"/>
    </row>
    <row r="125" spans="1:11" x14ac:dyDescent="0.95">
      <c r="A125" s="12"/>
      <c r="B125" s="16" t="s">
        <v>147</v>
      </c>
      <c r="C125" s="14">
        <v>8</v>
      </c>
      <c r="D125" s="15" t="s">
        <v>29</v>
      </c>
      <c r="E125" s="14">
        <v>53</v>
      </c>
      <c r="F125" s="14">
        <v>424</v>
      </c>
      <c r="G125" s="14">
        <v>0</v>
      </c>
      <c r="H125" s="14">
        <v>0</v>
      </c>
      <c r="I125" s="14">
        <f t="shared" si="6"/>
        <v>424</v>
      </c>
      <c r="J125" s="16"/>
      <c r="K125" s="1"/>
    </row>
    <row r="126" spans="1:11" x14ac:dyDescent="0.95">
      <c r="A126" s="12"/>
      <c r="B126" s="16" t="s">
        <v>148</v>
      </c>
      <c r="C126" s="14">
        <v>16</v>
      </c>
      <c r="D126" s="15" t="s">
        <v>29</v>
      </c>
      <c r="E126" s="14">
        <v>63</v>
      </c>
      <c r="F126" s="14">
        <v>1008</v>
      </c>
      <c r="G126" s="14">
        <v>0</v>
      </c>
      <c r="H126" s="14">
        <v>0</v>
      </c>
      <c r="I126" s="14">
        <f t="shared" si="6"/>
        <v>1008</v>
      </c>
      <c r="J126" s="16"/>
      <c r="K126" s="1"/>
    </row>
    <row r="127" spans="1:11" x14ac:dyDescent="0.95">
      <c r="A127" s="12"/>
      <c r="B127" s="16" t="s">
        <v>149</v>
      </c>
      <c r="C127" s="14">
        <v>32</v>
      </c>
      <c r="D127" s="15" t="s">
        <v>29</v>
      </c>
      <c r="E127" s="14">
        <v>137</v>
      </c>
      <c r="F127" s="14">
        <v>4384</v>
      </c>
      <c r="G127" s="14">
        <v>0</v>
      </c>
      <c r="H127" s="14">
        <v>0</v>
      </c>
      <c r="I127" s="14">
        <f t="shared" si="6"/>
        <v>4384</v>
      </c>
      <c r="J127" s="16"/>
      <c r="K127" s="1"/>
    </row>
    <row r="128" spans="1:11" x14ac:dyDescent="0.95">
      <c r="A128" s="12"/>
      <c r="B128" s="16" t="s">
        <v>150</v>
      </c>
      <c r="C128" s="14">
        <v>141.33000000000001</v>
      </c>
      <c r="D128" s="15" t="s">
        <v>29</v>
      </c>
      <c r="E128" s="14">
        <v>39</v>
      </c>
      <c r="F128" s="14">
        <v>5512</v>
      </c>
      <c r="G128" s="14">
        <v>0</v>
      </c>
      <c r="H128" s="14">
        <v>0</v>
      </c>
      <c r="I128" s="14">
        <f t="shared" si="6"/>
        <v>5512</v>
      </c>
      <c r="J128" s="16"/>
      <c r="K128" s="1"/>
    </row>
    <row r="129" spans="1:11" x14ac:dyDescent="0.95">
      <c r="A129" s="12"/>
      <c r="B129" s="16" t="s">
        <v>151</v>
      </c>
      <c r="C129" s="14">
        <v>88</v>
      </c>
      <c r="D129" s="15" t="s">
        <v>29</v>
      </c>
      <c r="E129" s="14">
        <v>39</v>
      </c>
      <c r="F129" s="14">
        <v>3432</v>
      </c>
      <c r="G129" s="14">
        <v>0</v>
      </c>
      <c r="H129" s="14">
        <v>0</v>
      </c>
      <c r="I129" s="14">
        <f t="shared" si="6"/>
        <v>3432</v>
      </c>
      <c r="J129" s="16"/>
      <c r="K129" s="1"/>
    </row>
    <row r="130" spans="1:11" x14ac:dyDescent="0.95">
      <c r="A130" s="12"/>
      <c r="B130" s="16" t="s">
        <v>152</v>
      </c>
      <c r="C130" s="14">
        <v>2</v>
      </c>
      <c r="D130" s="15" t="s">
        <v>29</v>
      </c>
      <c r="E130" s="14">
        <v>52</v>
      </c>
      <c r="F130" s="14">
        <v>104</v>
      </c>
      <c r="G130" s="14">
        <v>0</v>
      </c>
      <c r="H130" s="14">
        <v>0</v>
      </c>
      <c r="I130" s="14">
        <f t="shared" si="6"/>
        <v>104</v>
      </c>
      <c r="J130" s="16"/>
      <c r="K130" s="1"/>
    </row>
    <row r="131" spans="1:11" x14ac:dyDescent="0.95">
      <c r="A131" s="12"/>
      <c r="B131" s="16" t="s">
        <v>153</v>
      </c>
      <c r="C131" s="14">
        <v>18.670000000000002</v>
      </c>
      <c r="D131" s="15" t="s">
        <v>146</v>
      </c>
      <c r="E131" s="14">
        <v>170</v>
      </c>
      <c r="F131" s="14">
        <v>3173.33</v>
      </c>
      <c r="G131" s="14">
        <v>0</v>
      </c>
      <c r="H131" s="14">
        <v>0</v>
      </c>
      <c r="I131" s="14">
        <f t="shared" si="6"/>
        <v>3173.33</v>
      </c>
      <c r="J131" s="16"/>
      <c r="K131" s="1"/>
    </row>
    <row r="132" spans="1:11" x14ac:dyDescent="0.95">
      <c r="A132" s="12"/>
      <c r="B132" s="16" t="s">
        <v>154</v>
      </c>
      <c r="C132" s="14">
        <v>4</v>
      </c>
      <c r="D132" s="15" t="s">
        <v>111</v>
      </c>
      <c r="E132" s="14">
        <v>1359</v>
      </c>
      <c r="F132" s="14">
        <v>5436</v>
      </c>
      <c r="G132" s="14">
        <v>0</v>
      </c>
      <c r="H132" s="14">
        <v>0</v>
      </c>
      <c r="I132" s="14">
        <f t="shared" si="6"/>
        <v>5436</v>
      </c>
      <c r="J132" s="16"/>
      <c r="K132" s="1"/>
    </row>
    <row r="133" spans="1:11" x14ac:dyDescent="0.95">
      <c r="A133" s="12"/>
      <c r="B133" s="16" t="s">
        <v>155</v>
      </c>
      <c r="C133" s="14">
        <v>19.2</v>
      </c>
      <c r="D133" s="15" t="s">
        <v>81</v>
      </c>
      <c r="E133" s="14"/>
      <c r="F133" s="14">
        <v>0</v>
      </c>
      <c r="G133" s="14">
        <v>400</v>
      </c>
      <c r="H133" s="14">
        <v>7680</v>
      </c>
      <c r="I133" s="14">
        <f t="shared" si="6"/>
        <v>7680</v>
      </c>
      <c r="J133" s="16"/>
      <c r="K133" s="1"/>
    </row>
    <row r="134" spans="1:11" x14ac:dyDescent="0.95">
      <c r="A134" s="12"/>
      <c r="B134" s="16" t="s">
        <v>156</v>
      </c>
      <c r="C134" s="14">
        <v>8</v>
      </c>
      <c r="D134" s="15" t="s">
        <v>77</v>
      </c>
      <c r="E134" s="14">
        <v>0</v>
      </c>
      <c r="F134" s="14">
        <v>0</v>
      </c>
      <c r="G134" s="14">
        <v>70</v>
      </c>
      <c r="H134" s="14">
        <v>32200</v>
      </c>
      <c r="I134" s="14">
        <f t="shared" si="6"/>
        <v>32200</v>
      </c>
      <c r="J134" s="16"/>
      <c r="K134" s="1"/>
    </row>
    <row r="135" spans="1:11" s="4" customFormat="1" x14ac:dyDescent="0.95">
      <c r="A135" s="17"/>
      <c r="B135" s="13" t="s">
        <v>157</v>
      </c>
      <c r="C135" s="18"/>
      <c r="D135" s="19"/>
      <c r="E135" s="18"/>
      <c r="F135" s="18">
        <f>ROUND(SUM(F122,F123,F124,F125,F126,F127,F128,F129,F130,F131,F132,F133,F134),2)</f>
        <v>113673.33</v>
      </c>
      <c r="G135" s="18"/>
      <c r="H135" s="18">
        <f>ROUND(SUM(H122,H123,H124,H125,H126,H127,H128,H129,H130,H131,H132,H133,H134),2)</f>
        <v>39880</v>
      </c>
      <c r="I135" s="18">
        <f t="shared" si="6"/>
        <v>153553.32999999999</v>
      </c>
      <c r="J135" s="13"/>
      <c r="K135" s="5"/>
    </row>
    <row r="136" spans="1:11" s="4" customFormat="1" x14ac:dyDescent="0.95">
      <c r="A136" s="17"/>
      <c r="B136" s="13" t="s">
        <v>158</v>
      </c>
      <c r="C136" s="18"/>
      <c r="D136" s="19"/>
      <c r="E136" s="18"/>
      <c r="F136" s="18"/>
      <c r="G136" s="18"/>
      <c r="H136" s="18"/>
      <c r="I136" s="18"/>
      <c r="J136" s="13"/>
      <c r="K136" s="5"/>
    </row>
    <row r="137" spans="1:11" x14ac:dyDescent="0.95">
      <c r="A137" s="12"/>
      <c r="B137" s="16" t="s">
        <v>159</v>
      </c>
      <c r="C137" s="14">
        <v>56</v>
      </c>
      <c r="D137" s="15" t="s">
        <v>36</v>
      </c>
      <c r="E137" s="14"/>
      <c r="F137" s="14">
        <v>0</v>
      </c>
      <c r="G137" s="14">
        <f>320</f>
        <v>320</v>
      </c>
      <c r="H137" s="14">
        <v>17920</v>
      </c>
      <c r="I137" s="14">
        <f t="shared" ref="I137:I144" si="7">ROUND(F137+H137,2)</f>
        <v>17920</v>
      </c>
      <c r="J137" s="16" t="s">
        <v>160</v>
      </c>
      <c r="K137" s="1"/>
    </row>
    <row r="138" spans="1:11" x14ac:dyDescent="0.95">
      <c r="A138" s="12"/>
      <c r="B138" s="16" t="s">
        <v>161</v>
      </c>
      <c r="C138" s="14">
        <v>144</v>
      </c>
      <c r="D138" s="15" t="s">
        <v>36</v>
      </c>
      <c r="E138" s="14"/>
      <c r="F138" s="14">
        <v>0</v>
      </c>
      <c r="G138" s="14">
        <v>280</v>
      </c>
      <c r="H138" s="14">
        <v>40320</v>
      </c>
      <c r="I138" s="14">
        <f t="shared" si="7"/>
        <v>40320</v>
      </c>
      <c r="J138" s="16" t="s">
        <v>162</v>
      </c>
      <c r="K138" s="1"/>
    </row>
    <row r="139" spans="1:11" x14ac:dyDescent="0.95">
      <c r="A139" s="12"/>
      <c r="B139" s="16" t="s">
        <v>163</v>
      </c>
      <c r="C139" s="14">
        <v>240</v>
      </c>
      <c r="D139" s="15" t="s">
        <v>36</v>
      </c>
      <c r="E139" s="14"/>
      <c r="F139" s="14">
        <v>0</v>
      </c>
      <c r="G139" s="14">
        <v>240</v>
      </c>
      <c r="H139" s="14">
        <v>57600</v>
      </c>
      <c r="I139" s="14">
        <f t="shared" si="7"/>
        <v>57600</v>
      </c>
      <c r="J139" s="16"/>
      <c r="K139" s="1"/>
    </row>
    <row r="140" spans="1:11" x14ac:dyDescent="0.95">
      <c r="A140" s="12"/>
      <c r="B140" s="16" t="s">
        <v>164</v>
      </c>
      <c r="C140" s="14">
        <v>460.8</v>
      </c>
      <c r="D140" s="15" t="s">
        <v>81</v>
      </c>
      <c r="E140" s="14"/>
      <c r="F140" s="14">
        <v>0</v>
      </c>
      <c r="G140" s="14">
        <v>70</v>
      </c>
      <c r="H140" s="14">
        <v>32256</v>
      </c>
      <c r="I140" s="14">
        <f t="shared" si="7"/>
        <v>32256</v>
      </c>
      <c r="J140" s="16"/>
      <c r="K140" s="1"/>
    </row>
    <row r="141" spans="1:11" x14ac:dyDescent="0.95">
      <c r="A141" s="12"/>
      <c r="B141" s="16" t="s">
        <v>165</v>
      </c>
      <c r="C141" s="14">
        <v>8</v>
      </c>
      <c r="D141" s="15" t="s">
        <v>166</v>
      </c>
      <c r="E141" s="14"/>
      <c r="F141" s="14">
        <v>64536</v>
      </c>
      <c r="G141" s="14">
        <v>2000</v>
      </c>
      <c r="H141" s="14">
        <v>16000</v>
      </c>
      <c r="I141" s="14">
        <f t="shared" si="7"/>
        <v>80536</v>
      </c>
      <c r="J141" s="16"/>
      <c r="K141" s="1"/>
    </row>
    <row r="142" spans="1:11" x14ac:dyDescent="0.95">
      <c r="A142" s="12"/>
      <c r="B142" s="16" t="s">
        <v>167</v>
      </c>
      <c r="C142" s="14">
        <v>16</v>
      </c>
      <c r="D142" s="15" t="s">
        <v>36</v>
      </c>
      <c r="E142" s="14"/>
      <c r="F142" s="14">
        <v>0</v>
      </c>
      <c r="G142" s="14">
        <v>280</v>
      </c>
      <c r="H142" s="14">
        <v>4480</v>
      </c>
      <c r="I142" s="14">
        <f t="shared" si="7"/>
        <v>4480</v>
      </c>
      <c r="J142" s="16"/>
      <c r="K142" s="1"/>
    </row>
    <row r="143" spans="1:11" x14ac:dyDescent="0.95">
      <c r="A143" s="12"/>
      <c r="B143" s="16" t="s">
        <v>168</v>
      </c>
      <c r="C143" s="14">
        <v>16</v>
      </c>
      <c r="D143" s="15" t="s">
        <v>36</v>
      </c>
      <c r="E143" s="14"/>
      <c r="F143" s="14">
        <v>0</v>
      </c>
      <c r="G143" s="14">
        <v>965</v>
      </c>
      <c r="H143" s="14">
        <v>15440</v>
      </c>
      <c r="I143" s="14">
        <f t="shared" si="7"/>
        <v>15440</v>
      </c>
      <c r="J143" s="16"/>
      <c r="K143" s="1"/>
    </row>
    <row r="144" spans="1:11" s="4" customFormat="1" x14ac:dyDescent="0.95">
      <c r="A144" s="17"/>
      <c r="B144" s="13" t="s">
        <v>169</v>
      </c>
      <c r="C144" s="18"/>
      <c r="D144" s="19"/>
      <c r="E144" s="18"/>
      <c r="F144" s="18">
        <f>ROUND(SUM(F137,F138,F139,F140,F141,F142,F143),2)</f>
        <v>64536</v>
      </c>
      <c r="G144" s="18"/>
      <c r="H144" s="18">
        <f>ROUND(SUM(H137,H138,H139,H140,H141,H142,H143),2)</f>
        <v>184016</v>
      </c>
      <c r="I144" s="18">
        <f t="shared" si="7"/>
        <v>248552</v>
      </c>
      <c r="J144" s="13"/>
      <c r="K144" s="5"/>
    </row>
    <row r="145" spans="1:11" s="4" customFormat="1" x14ac:dyDescent="0.95">
      <c r="A145" s="17"/>
      <c r="B145" s="13" t="s">
        <v>170</v>
      </c>
      <c r="C145" s="18"/>
      <c r="D145" s="19"/>
      <c r="E145" s="18"/>
      <c r="F145" s="18"/>
      <c r="G145" s="18"/>
      <c r="H145" s="18"/>
      <c r="I145" s="18"/>
      <c r="J145" s="13"/>
      <c r="K145" s="5"/>
    </row>
    <row r="146" spans="1:11" x14ac:dyDescent="0.95">
      <c r="A146" s="12"/>
      <c r="B146" s="16" t="s">
        <v>171</v>
      </c>
      <c r="C146" s="14">
        <v>8</v>
      </c>
      <c r="D146" s="15" t="s">
        <v>172</v>
      </c>
      <c r="E146" s="14">
        <v>1869</v>
      </c>
      <c r="F146" s="14">
        <v>14952</v>
      </c>
      <c r="G146" s="14">
        <v>0</v>
      </c>
      <c r="H146" s="14">
        <v>0</v>
      </c>
      <c r="I146" s="14">
        <f t="shared" ref="I146:I164" si="8">ROUND(F146+H146,2)</f>
        <v>14952</v>
      </c>
      <c r="J146" s="16"/>
      <c r="K146" s="1"/>
    </row>
    <row r="147" spans="1:11" x14ac:dyDescent="0.95">
      <c r="A147" s="12"/>
      <c r="B147" s="16" t="s">
        <v>173</v>
      </c>
      <c r="C147" s="14">
        <v>8</v>
      </c>
      <c r="D147" s="15" t="s">
        <v>172</v>
      </c>
      <c r="E147" s="14">
        <v>640</v>
      </c>
      <c r="F147" s="14">
        <v>5120</v>
      </c>
      <c r="G147" s="14">
        <v>0</v>
      </c>
      <c r="H147" s="14">
        <v>0</v>
      </c>
      <c r="I147" s="14">
        <f t="shared" si="8"/>
        <v>5120</v>
      </c>
      <c r="J147" s="16"/>
      <c r="K147" s="1"/>
    </row>
    <row r="148" spans="1:11" x14ac:dyDescent="0.95">
      <c r="A148" s="12"/>
      <c r="B148" s="16" t="s">
        <v>174</v>
      </c>
      <c r="C148" s="14">
        <v>8</v>
      </c>
      <c r="D148" s="15" t="s">
        <v>172</v>
      </c>
      <c r="E148" s="14">
        <v>664</v>
      </c>
      <c r="F148" s="14">
        <v>5312</v>
      </c>
      <c r="G148" s="14">
        <v>0</v>
      </c>
      <c r="H148" s="14">
        <v>0</v>
      </c>
      <c r="I148" s="14">
        <f t="shared" si="8"/>
        <v>5312</v>
      </c>
      <c r="J148" s="16"/>
      <c r="K148" s="1"/>
    </row>
    <row r="149" spans="1:11" x14ac:dyDescent="0.95">
      <c r="A149" s="12"/>
      <c r="B149" s="16" t="s">
        <v>175</v>
      </c>
      <c r="C149" s="14">
        <v>8</v>
      </c>
      <c r="D149" s="15" t="s">
        <v>172</v>
      </c>
      <c r="E149" s="14">
        <v>159</v>
      </c>
      <c r="F149" s="14">
        <v>1272</v>
      </c>
      <c r="G149" s="14">
        <v>0</v>
      </c>
      <c r="H149" s="14">
        <v>0</v>
      </c>
      <c r="I149" s="14">
        <f t="shared" si="8"/>
        <v>1272</v>
      </c>
      <c r="J149" s="16"/>
      <c r="K149" s="1"/>
    </row>
    <row r="150" spans="1:11" x14ac:dyDescent="0.95">
      <c r="A150" s="12"/>
      <c r="B150" s="16" t="s">
        <v>176</v>
      </c>
      <c r="C150" s="14">
        <v>8</v>
      </c>
      <c r="D150" s="15" t="s">
        <v>172</v>
      </c>
      <c r="E150" s="14">
        <v>425</v>
      </c>
      <c r="F150" s="14">
        <v>3400</v>
      </c>
      <c r="G150" s="14">
        <v>0</v>
      </c>
      <c r="H150" s="14">
        <v>0</v>
      </c>
      <c r="I150" s="14">
        <f t="shared" si="8"/>
        <v>3400</v>
      </c>
      <c r="J150" s="16"/>
      <c r="K150" s="1"/>
    </row>
    <row r="151" spans="1:11" x14ac:dyDescent="0.95">
      <c r="A151" s="12"/>
      <c r="B151" s="16" t="s">
        <v>177</v>
      </c>
      <c r="C151" s="14">
        <v>8</v>
      </c>
      <c r="D151" s="15" t="s">
        <v>172</v>
      </c>
      <c r="E151" s="14">
        <v>183</v>
      </c>
      <c r="F151" s="14">
        <v>1464</v>
      </c>
      <c r="G151" s="14">
        <v>0</v>
      </c>
      <c r="H151" s="14">
        <v>0</v>
      </c>
      <c r="I151" s="14">
        <f t="shared" si="8"/>
        <v>1464</v>
      </c>
      <c r="J151" s="16"/>
      <c r="K151" s="1"/>
    </row>
    <row r="152" spans="1:11" x14ac:dyDescent="0.95">
      <c r="A152" s="12"/>
      <c r="B152" s="16" t="s">
        <v>178</v>
      </c>
      <c r="C152" s="14">
        <v>8</v>
      </c>
      <c r="D152" s="15" t="s">
        <v>115</v>
      </c>
      <c r="E152" s="14">
        <v>151</v>
      </c>
      <c r="F152" s="14">
        <v>1208</v>
      </c>
      <c r="G152" s="14">
        <v>0</v>
      </c>
      <c r="H152" s="14">
        <v>0</v>
      </c>
      <c r="I152" s="14">
        <f t="shared" si="8"/>
        <v>1208</v>
      </c>
      <c r="J152" s="16"/>
      <c r="K152" s="1"/>
    </row>
    <row r="153" spans="1:11" x14ac:dyDescent="0.95">
      <c r="A153" s="12"/>
      <c r="B153" s="16" t="s">
        <v>179</v>
      </c>
      <c r="C153" s="14">
        <v>8</v>
      </c>
      <c r="D153" s="15" t="s">
        <v>180</v>
      </c>
      <c r="E153" s="14">
        <v>0</v>
      </c>
      <c r="F153" s="14">
        <v>0</v>
      </c>
      <c r="G153" s="14">
        <v>0</v>
      </c>
      <c r="H153" s="14">
        <v>0</v>
      </c>
      <c r="I153" s="14">
        <f t="shared" si="8"/>
        <v>0</v>
      </c>
      <c r="J153" s="16"/>
      <c r="K153" s="1"/>
    </row>
    <row r="154" spans="1:11" x14ac:dyDescent="0.95">
      <c r="A154" s="12"/>
      <c r="B154" s="16" t="s">
        <v>181</v>
      </c>
      <c r="C154" s="14">
        <v>8</v>
      </c>
      <c r="D154" s="15" t="s">
        <v>115</v>
      </c>
      <c r="E154" s="14">
        <v>77</v>
      </c>
      <c r="F154" s="14">
        <v>616</v>
      </c>
      <c r="G154" s="14">
        <v>0</v>
      </c>
      <c r="H154" s="14">
        <v>0</v>
      </c>
      <c r="I154" s="14">
        <f t="shared" si="8"/>
        <v>616</v>
      </c>
      <c r="J154" s="16"/>
      <c r="K154" s="1"/>
    </row>
    <row r="155" spans="1:11" x14ac:dyDescent="0.95">
      <c r="A155" s="12"/>
      <c r="B155" s="16" t="s">
        <v>182</v>
      </c>
      <c r="C155" s="14">
        <v>8</v>
      </c>
      <c r="D155" s="15" t="s">
        <v>115</v>
      </c>
      <c r="E155" s="14">
        <v>234</v>
      </c>
      <c r="F155" s="14">
        <v>1872</v>
      </c>
      <c r="G155" s="14">
        <v>0</v>
      </c>
      <c r="H155" s="14">
        <v>0</v>
      </c>
      <c r="I155" s="14">
        <f t="shared" si="8"/>
        <v>1872</v>
      </c>
      <c r="J155" s="16"/>
      <c r="K155" s="1"/>
    </row>
    <row r="156" spans="1:11" x14ac:dyDescent="0.95">
      <c r="A156" s="12"/>
      <c r="B156" s="16" t="s">
        <v>183</v>
      </c>
      <c r="C156" s="14">
        <v>8</v>
      </c>
      <c r="D156" s="15" t="s">
        <v>115</v>
      </c>
      <c r="E156" s="14">
        <v>151</v>
      </c>
      <c r="F156" s="14">
        <v>1208</v>
      </c>
      <c r="G156" s="14">
        <v>0</v>
      </c>
      <c r="H156" s="14">
        <v>0</v>
      </c>
      <c r="I156" s="14">
        <f t="shared" si="8"/>
        <v>1208</v>
      </c>
      <c r="J156" s="16"/>
      <c r="K156" s="1"/>
    </row>
    <row r="157" spans="1:11" x14ac:dyDescent="0.95">
      <c r="A157" s="12"/>
      <c r="B157" s="16" t="s">
        <v>184</v>
      </c>
      <c r="C157" s="14">
        <v>8</v>
      </c>
      <c r="D157" s="15" t="s">
        <v>115</v>
      </c>
      <c r="E157" s="14">
        <v>584</v>
      </c>
      <c r="F157" s="14">
        <v>4672</v>
      </c>
      <c r="G157" s="14">
        <v>0</v>
      </c>
      <c r="H157" s="14">
        <v>0</v>
      </c>
      <c r="I157" s="14">
        <f t="shared" si="8"/>
        <v>4672</v>
      </c>
      <c r="J157" s="16"/>
      <c r="K157" s="1"/>
    </row>
    <row r="158" spans="1:11" x14ac:dyDescent="0.95">
      <c r="A158" s="12"/>
      <c r="B158" s="16" t="s">
        <v>185</v>
      </c>
      <c r="C158" s="14">
        <v>16</v>
      </c>
      <c r="D158" s="15" t="s">
        <v>115</v>
      </c>
      <c r="E158" s="14">
        <v>140</v>
      </c>
      <c r="F158" s="14">
        <v>2240</v>
      </c>
      <c r="G158" s="14">
        <v>0</v>
      </c>
      <c r="H158" s="14">
        <v>0</v>
      </c>
      <c r="I158" s="14">
        <f t="shared" si="8"/>
        <v>2240</v>
      </c>
      <c r="J158" s="16"/>
      <c r="K158" s="1"/>
    </row>
    <row r="159" spans="1:11" x14ac:dyDescent="0.95">
      <c r="A159" s="12"/>
      <c r="B159" s="16" t="s">
        <v>186</v>
      </c>
      <c r="C159" s="14">
        <v>8</v>
      </c>
      <c r="D159" s="15" t="s">
        <v>115</v>
      </c>
      <c r="E159" s="14">
        <v>45</v>
      </c>
      <c r="F159" s="14">
        <v>360</v>
      </c>
      <c r="G159" s="14">
        <v>0</v>
      </c>
      <c r="H159" s="14">
        <v>12</v>
      </c>
      <c r="I159" s="14">
        <f t="shared" si="8"/>
        <v>372</v>
      </c>
      <c r="J159" s="16"/>
      <c r="K159" s="1"/>
    </row>
    <row r="160" spans="1:11" x14ac:dyDescent="0.95">
      <c r="A160" s="12"/>
      <c r="B160" s="16" t="s">
        <v>187</v>
      </c>
      <c r="C160" s="14">
        <v>8</v>
      </c>
      <c r="D160" s="15" t="s">
        <v>115</v>
      </c>
      <c r="E160" s="14">
        <v>215</v>
      </c>
      <c r="F160" s="14">
        <v>1720</v>
      </c>
      <c r="G160" s="14">
        <v>0</v>
      </c>
      <c r="H160" s="14">
        <v>0</v>
      </c>
      <c r="I160" s="14">
        <f t="shared" si="8"/>
        <v>1720</v>
      </c>
      <c r="J160" s="16"/>
      <c r="K160" s="1"/>
    </row>
    <row r="161" spans="1:11" x14ac:dyDescent="0.95">
      <c r="A161" s="12"/>
      <c r="B161" s="16" t="s">
        <v>188</v>
      </c>
      <c r="C161" s="14">
        <v>8</v>
      </c>
      <c r="D161" s="15" t="s">
        <v>115</v>
      </c>
      <c r="E161" s="14">
        <v>0</v>
      </c>
      <c r="F161" s="14">
        <v>0</v>
      </c>
      <c r="G161" s="14">
        <v>0</v>
      </c>
      <c r="H161" s="14">
        <v>0</v>
      </c>
      <c r="I161" s="14">
        <f t="shared" si="8"/>
        <v>0</v>
      </c>
      <c r="J161" s="16"/>
      <c r="K161" s="1"/>
    </row>
    <row r="162" spans="1:11" x14ac:dyDescent="0.95">
      <c r="A162" s="12"/>
      <c r="B162" s="16" t="s">
        <v>189</v>
      </c>
      <c r="C162" s="14">
        <v>16</v>
      </c>
      <c r="D162" s="15" t="s">
        <v>115</v>
      </c>
      <c r="E162" s="14">
        <v>110</v>
      </c>
      <c r="F162" s="14">
        <v>1760</v>
      </c>
      <c r="G162" s="14">
        <v>0</v>
      </c>
      <c r="H162" s="14">
        <v>24</v>
      </c>
      <c r="I162" s="14">
        <f t="shared" si="8"/>
        <v>1784</v>
      </c>
      <c r="J162" s="16"/>
      <c r="K162" s="1"/>
    </row>
    <row r="163" spans="1:11" x14ac:dyDescent="0.95">
      <c r="A163" s="12"/>
      <c r="B163" s="16" t="s">
        <v>190</v>
      </c>
      <c r="C163" s="14">
        <v>8</v>
      </c>
      <c r="D163" s="15" t="s">
        <v>77</v>
      </c>
      <c r="E163" s="14">
        <v>0</v>
      </c>
      <c r="F163" s="14">
        <v>0</v>
      </c>
      <c r="G163" s="14">
        <v>810</v>
      </c>
      <c r="H163" s="14">
        <v>6480</v>
      </c>
      <c r="I163" s="14">
        <f t="shared" si="8"/>
        <v>6480</v>
      </c>
      <c r="J163" s="16"/>
      <c r="K163" s="1"/>
    </row>
    <row r="164" spans="1:11" s="4" customFormat="1" x14ac:dyDescent="0.95">
      <c r="A164" s="17"/>
      <c r="B164" s="13" t="s">
        <v>191</v>
      </c>
      <c r="C164" s="18"/>
      <c r="D164" s="19"/>
      <c r="E164" s="18"/>
      <c r="F164" s="18">
        <f>ROUND(SUM(F146,F147,F148,F149,F150,F151,F152,F153,F154,F155,F156,F157,F158,F159,F160,F161,F162,F163),2)</f>
        <v>47176</v>
      </c>
      <c r="G164" s="18"/>
      <c r="H164" s="18">
        <f>ROUND(SUM(H146,H147,H148,H149,H150,H151,H152,H153,H154,H155,H156,H157,H158,H159,H160,H161,H162,H163),2)</f>
        <v>6516</v>
      </c>
      <c r="I164" s="18">
        <f t="shared" si="8"/>
        <v>53692</v>
      </c>
      <c r="J164" s="13"/>
      <c r="K164" s="5"/>
    </row>
    <row r="165" spans="1:11" s="4" customFormat="1" x14ac:dyDescent="0.95">
      <c r="A165" s="17"/>
      <c r="B165" s="13" t="s">
        <v>192</v>
      </c>
      <c r="C165" s="18"/>
      <c r="D165" s="19"/>
      <c r="E165" s="18"/>
      <c r="F165" s="18"/>
      <c r="G165" s="18"/>
      <c r="H165" s="18"/>
      <c r="I165" s="18"/>
      <c r="J165" s="13"/>
      <c r="K165" s="5"/>
    </row>
    <row r="166" spans="1:11" x14ac:dyDescent="0.95">
      <c r="A166" s="12"/>
      <c r="B166" s="16" t="s">
        <v>193</v>
      </c>
      <c r="C166" s="14">
        <v>8</v>
      </c>
      <c r="D166" s="15" t="s">
        <v>172</v>
      </c>
      <c r="E166" s="14">
        <v>0</v>
      </c>
      <c r="F166" s="14">
        <v>0</v>
      </c>
      <c r="G166" s="14">
        <v>8000</v>
      </c>
      <c r="H166" s="14">
        <v>64000</v>
      </c>
      <c r="I166" s="14">
        <f t="shared" ref="I166:I175" si="9">ROUND(F166+H166,2)</f>
        <v>64000</v>
      </c>
      <c r="J166" s="16" t="s">
        <v>194</v>
      </c>
      <c r="K166" s="1"/>
    </row>
    <row r="167" spans="1:11" x14ac:dyDescent="0.95">
      <c r="A167" s="12"/>
      <c r="B167" s="16" t="s">
        <v>195</v>
      </c>
      <c r="C167" s="14">
        <v>8</v>
      </c>
      <c r="D167" s="15" t="s">
        <v>172</v>
      </c>
      <c r="E167" s="14">
        <v>2670</v>
      </c>
      <c r="F167" s="14">
        <v>21360</v>
      </c>
      <c r="G167" s="14">
        <v>400</v>
      </c>
      <c r="H167" s="14">
        <v>3200</v>
      </c>
      <c r="I167" s="14">
        <f t="shared" si="9"/>
        <v>24560</v>
      </c>
      <c r="J167" s="16"/>
      <c r="K167" s="1"/>
    </row>
    <row r="168" spans="1:11" x14ac:dyDescent="0.95">
      <c r="A168" s="12"/>
      <c r="B168" s="16" t="s">
        <v>196</v>
      </c>
      <c r="C168" s="14">
        <v>8</v>
      </c>
      <c r="D168" s="15" t="s">
        <v>172</v>
      </c>
      <c r="E168" s="14">
        <v>2670</v>
      </c>
      <c r="F168" s="14">
        <v>21360</v>
      </c>
      <c r="G168" s="14">
        <v>400</v>
      </c>
      <c r="H168" s="14">
        <v>3200</v>
      </c>
      <c r="I168" s="14">
        <f t="shared" si="9"/>
        <v>24560</v>
      </c>
      <c r="J168" s="16"/>
      <c r="K168" s="1"/>
    </row>
    <row r="169" spans="1:11" x14ac:dyDescent="0.95">
      <c r="A169" s="12"/>
      <c r="B169" s="16" t="s">
        <v>197</v>
      </c>
      <c r="C169" s="14">
        <v>16</v>
      </c>
      <c r="D169" s="15" t="s">
        <v>172</v>
      </c>
      <c r="E169" s="14">
        <v>1458</v>
      </c>
      <c r="F169" s="14">
        <v>23328</v>
      </c>
      <c r="G169" s="14">
        <v>400</v>
      </c>
      <c r="H169" s="14">
        <v>6400</v>
      </c>
      <c r="I169" s="14">
        <f t="shared" si="9"/>
        <v>29728</v>
      </c>
      <c r="J169" s="16"/>
      <c r="K169" s="1"/>
    </row>
    <row r="170" spans="1:11" x14ac:dyDescent="0.95">
      <c r="A170" s="12"/>
      <c r="B170" s="16" t="s">
        <v>198</v>
      </c>
      <c r="C170" s="14">
        <v>2</v>
      </c>
      <c r="D170" s="15" t="s">
        <v>172</v>
      </c>
      <c r="E170" s="14">
        <v>0</v>
      </c>
      <c r="F170" s="14">
        <v>0</v>
      </c>
      <c r="G170" s="14">
        <v>3300</v>
      </c>
      <c r="H170" s="14">
        <v>6600</v>
      </c>
      <c r="I170" s="14">
        <f t="shared" si="9"/>
        <v>6600</v>
      </c>
      <c r="J170" s="16" t="s">
        <v>194</v>
      </c>
      <c r="K170" s="1"/>
    </row>
    <row r="171" spans="1:11" x14ac:dyDescent="0.95">
      <c r="A171" s="12"/>
      <c r="B171" s="16" t="s">
        <v>199</v>
      </c>
      <c r="C171" s="14">
        <v>8</v>
      </c>
      <c r="D171" s="15" t="s">
        <v>172</v>
      </c>
      <c r="E171" s="14">
        <v>0</v>
      </c>
      <c r="F171" s="14">
        <v>0</v>
      </c>
      <c r="G171" s="14">
        <v>2500</v>
      </c>
      <c r="H171" s="14">
        <v>20000</v>
      </c>
      <c r="I171" s="14">
        <f t="shared" si="9"/>
        <v>20000</v>
      </c>
      <c r="J171" s="16" t="s">
        <v>194</v>
      </c>
      <c r="K171" s="1"/>
    </row>
    <row r="172" spans="1:11" x14ac:dyDescent="0.95">
      <c r="A172" s="12"/>
      <c r="B172" s="16" t="s">
        <v>200</v>
      </c>
      <c r="C172" s="14">
        <v>8</v>
      </c>
      <c r="D172" s="15" t="s">
        <v>172</v>
      </c>
      <c r="E172" s="14">
        <v>0</v>
      </c>
      <c r="F172" s="14">
        <v>0</v>
      </c>
      <c r="G172" s="14">
        <v>1200</v>
      </c>
      <c r="H172" s="14">
        <v>9600</v>
      </c>
      <c r="I172" s="14">
        <f t="shared" si="9"/>
        <v>9600</v>
      </c>
      <c r="J172" s="16" t="s">
        <v>194</v>
      </c>
      <c r="K172" s="1"/>
    </row>
    <row r="173" spans="1:11" x14ac:dyDescent="0.95">
      <c r="A173" s="12"/>
      <c r="B173" s="16" t="s">
        <v>201</v>
      </c>
      <c r="C173" s="14">
        <v>2</v>
      </c>
      <c r="D173" s="15" t="s">
        <v>172</v>
      </c>
      <c r="E173" s="14">
        <v>0</v>
      </c>
      <c r="F173" s="14">
        <v>0</v>
      </c>
      <c r="G173" s="14">
        <v>4400</v>
      </c>
      <c r="H173" s="14">
        <v>8800</v>
      </c>
      <c r="I173" s="14">
        <f t="shared" si="9"/>
        <v>8800</v>
      </c>
      <c r="J173" s="16" t="s">
        <v>194</v>
      </c>
      <c r="K173" s="1"/>
    </row>
    <row r="174" spans="1:11" x14ac:dyDescent="0.95">
      <c r="A174" s="12"/>
      <c r="B174" s="16" t="s">
        <v>202</v>
      </c>
      <c r="C174" s="14">
        <v>2</v>
      </c>
      <c r="D174" s="15" t="s">
        <v>172</v>
      </c>
      <c r="E174" s="14">
        <v>0</v>
      </c>
      <c r="F174" s="14">
        <v>0</v>
      </c>
      <c r="G174" s="14">
        <v>5300</v>
      </c>
      <c r="H174" s="14">
        <v>10600</v>
      </c>
      <c r="I174" s="14">
        <f t="shared" si="9"/>
        <v>10600</v>
      </c>
      <c r="J174" s="16" t="s">
        <v>194</v>
      </c>
      <c r="K174" s="1"/>
    </row>
    <row r="175" spans="1:11" s="4" customFormat="1" x14ac:dyDescent="0.95">
      <c r="A175" s="17"/>
      <c r="B175" s="13" t="s">
        <v>203</v>
      </c>
      <c r="C175" s="18"/>
      <c r="D175" s="19"/>
      <c r="E175" s="18"/>
      <c r="F175" s="18">
        <f>ROUND(SUM(F166,F167,F168,F169,F170,F171,F172,F173,F174),2)</f>
        <v>66048</v>
      </c>
      <c r="G175" s="18"/>
      <c r="H175" s="18">
        <f>ROUND(SUM(H166,H167,H168,H169,H170,H171,H172,H173,H174),2)</f>
        <v>132400</v>
      </c>
      <c r="I175" s="18">
        <f t="shared" si="9"/>
        <v>198448</v>
      </c>
      <c r="J175" s="13"/>
      <c r="K175" s="5"/>
    </row>
    <row r="176" spans="1:11" s="4" customFormat="1" x14ac:dyDescent="0.95">
      <c r="A176" s="17"/>
      <c r="B176" s="13" t="s">
        <v>204</v>
      </c>
      <c r="C176" s="18"/>
      <c r="D176" s="19"/>
      <c r="E176" s="18"/>
      <c r="F176" s="18"/>
      <c r="G176" s="18"/>
      <c r="H176" s="18"/>
      <c r="I176" s="18"/>
      <c r="J176" s="13"/>
      <c r="K176" s="5"/>
    </row>
    <row r="177" spans="1:11" x14ac:dyDescent="0.95">
      <c r="A177" s="12"/>
      <c r="B177" s="16" t="s">
        <v>205</v>
      </c>
      <c r="C177" s="14">
        <v>256</v>
      </c>
      <c r="D177" s="15" t="s">
        <v>36</v>
      </c>
      <c r="E177" s="14">
        <v>250</v>
      </c>
      <c r="F177" s="14">
        <v>64000</v>
      </c>
      <c r="G177" s="14">
        <v>150</v>
      </c>
      <c r="H177" s="14">
        <v>38400</v>
      </c>
      <c r="I177" s="14">
        <f t="shared" ref="I177:I182" si="10">ROUND(F177+H177,2)</f>
        <v>102400</v>
      </c>
      <c r="J177" s="16"/>
      <c r="K177" s="1"/>
    </row>
    <row r="178" spans="1:11" x14ac:dyDescent="0.95">
      <c r="A178" s="12"/>
      <c r="B178" s="16" t="s">
        <v>206</v>
      </c>
      <c r="C178" s="14">
        <v>32</v>
      </c>
      <c r="D178" s="15" t="s">
        <v>36</v>
      </c>
      <c r="E178" s="14">
        <v>250</v>
      </c>
      <c r="F178" s="14">
        <v>8000</v>
      </c>
      <c r="G178" s="14">
        <v>150</v>
      </c>
      <c r="H178" s="14">
        <v>4800</v>
      </c>
      <c r="I178" s="14">
        <f t="shared" si="10"/>
        <v>12800</v>
      </c>
      <c r="J178" s="16"/>
      <c r="K178" s="1"/>
    </row>
    <row r="179" spans="1:11" x14ac:dyDescent="0.95">
      <c r="A179" s="12"/>
      <c r="B179" s="16" t="s">
        <v>207</v>
      </c>
      <c r="C179" s="14">
        <v>48</v>
      </c>
      <c r="D179" s="15" t="s">
        <v>36</v>
      </c>
      <c r="E179" s="14">
        <v>300</v>
      </c>
      <c r="F179" s="14">
        <v>14400</v>
      </c>
      <c r="G179" s="14">
        <v>150</v>
      </c>
      <c r="H179" s="14">
        <v>7200</v>
      </c>
      <c r="I179" s="14">
        <f t="shared" si="10"/>
        <v>21600</v>
      </c>
      <c r="J179" s="16"/>
      <c r="K179" s="1"/>
    </row>
    <row r="180" spans="1:11" x14ac:dyDescent="0.95">
      <c r="A180" s="12"/>
      <c r="B180" s="16" t="s">
        <v>208</v>
      </c>
      <c r="C180" s="14">
        <v>192</v>
      </c>
      <c r="D180" s="15" t="s">
        <v>36</v>
      </c>
      <c r="E180" s="14">
        <v>250</v>
      </c>
      <c r="F180" s="14">
        <v>48000</v>
      </c>
      <c r="G180" s="14">
        <v>170</v>
      </c>
      <c r="H180" s="14">
        <v>32640</v>
      </c>
      <c r="I180" s="14">
        <f t="shared" si="10"/>
        <v>80640</v>
      </c>
      <c r="J180" s="16"/>
      <c r="K180" s="1"/>
    </row>
    <row r="181" spans="1:11" x14ac:dyDescent="0.95">
      <c r="A181" s="12"/>
      <c r="B181" s="16" t="s">
        <v>209</v>
      </c>
      <c r="C181" s="14">
        <v>192</v>
      </c>
      <c r="D181" s="15" t="s">
        <v>36</v>
      </c>
      <c r="E181" s="14">
        <v>38</v>
      </c>
      <c r="F181" s="14">
        <v>7296</v>
      </c>
      <c r="G181" s="14">
        <v>1000</v>
      </c>
      <c r="H181" s="14">
        <v>48000</v>
      </c>
      <c r="I181" s="14">
        <f t="shared" si="10"/>
        <v>55296</v>
      </c>
      <c r="J181" s="16"/>
      <c r="K181" s="1"/>
    </row>
    <row r="182" spans="1:11" s="4" customFormat="1" x14ac:dyDescent="0.95">
      <c r="A182" s="17"/>
      <c r="B182" s="13" t="s">
        <v>210</v>
      </c>
      <c r="C182" s="18"/>
      <c r="D182" s="19"/>
      <c r="E182" s="18"/>
      <c r="F182" s="18">
        <f>ROUND(SUM(F177,F178,F179,F180,F181),2)</f>
        <v>141696</v>
      </c>
      <c r="G182" s="18"/>
      <c r="H182" s="18">
        <f>ROUND(SUM(H177,H178,H179,H180,H181),2)</f>
        <v>131040</v>
      </c>
      <c r="I182" s="18">
        <f t="shared" si="10"/>
        <v>272736</v>
      </c>
      <c r="J182" s="13"/>
      <c r="K182" s="5"/>
    </row>
    <row r="183" spans="1:11" s="4" customFormat="1" x14ac:dyDescent="0.95">
      <c r="A183" s="17"/>
      <c r="B183" s="13" t="s">
        <v>211</v>
      </c>
      <c r="C183" s="18"/>
      <c r="D183" s="19"/>
      <c r="E183" s="18"/>
      <c r="F183" s="18"/>
      <c r="G183" s="18"/>
      <c r="H183" s="18"/>
      <c r="I183" s="18"/>
      <c r="J183" s="13"/>
      <c r="K183" s="5"/>
    </row>
    <row r="184" spans="1:11" x14ac:dyDescent="0.95">
      <c r="A184" s="12"/>
      <c r="B184" s="16" t="s">
        <v>212</v>
      </c>
      <c r="C184" s="14">
        <v>366.32</v>
      </c>
      <c r="D184" s="15" t="s">
        <v>36</v>
      </c>
      <c r="E184" s="14">
        <v>60</v>
      </c>
      <c r="F184" s="14">
        <v>21979.200000000001</v>
      </c>
      <c r="G184" s="14">
        <v>25</v>
      </c>
      <c r="H184" s="14">
        <v>9158</v>
      </c>
      <c r="I184" s="14">
        <f t="shared" ref="I184:I198" si="11">ROUND(F184+H184,2)</f>
        <v>31137.200000000001</v>
      </c>
      <c r="J184" s="16"/>
      <c r="K184" s="1"/>
    </row>
    <row r="185" spans="1:11" x14ac:dyDescent="0.95">
      <c r="A185" s="12"/>
      <c r="B185" s="16" t="s">
        <v>213</v>
      </c>
      <c r="C185" s="14">
        <v>888</v>
      </c>
      <c r="D185" s="15" t="s">
        <v>36</v>
      </c>
      <c r="E185" s="14">
        <v>60</v>
      </c>
      <c r="F185" s="14">
        <v>53280</v>
      </c>
      <c r="G185" s="14">
        <v>25</v>
      </c>
      <c r="H185" s="14">
        <v>22200</v>
      </c>
      <c r="I185" s="14">
        <f t="shared" si="11"/>
        <v>75480</v>
      </c>
      <c r="J185" s="16"/>
      <c r="K185" s="1"/>
    </row>
    <row r="186" spans="1:11" x14ac:dyDescent="0.95">
      <c r="A186" s="12"/>
      <c r="B186" s="16" t="s">
        <v>214</v>
      </c>
      <c r="C186" s="14">
        <v>370.24</v>
      </c>
      <c r="D186" s="15" t="s">
        <v>36</v>
      </c>
      <c r="E186" s="14">
        <v>45</v>
      </c>
      <c r="F186" s="14">
        <v>16660.8</v>
      </c>
      <c r="G186" s="14">
        <v>25</v>
      </c>
      <c r="H186" s="14">
        <v>9256</v>
      </c>
      <c r="I186" s="14">
        <f t="shared" si="11"/>
        <v>25916.799999999999</v>
      </c>
      <c r="J186" s="16"/>
      <c r="K186" s="1"/>
    </row>
    <row r="187" spans="1:11" x14ac:dyDescent="0.95">
      <c r="A187" s="12"/>
      <c r="B187" s="16" t="s">
        <v>215</v>
      </c>
      <c r="C187" s="14">
        <v>60</v>
      </c>
      <c r="D187" s="15" t="s">
        <v>36</v>
      </c>
      <c r="E187" s="14">
        <v>45</v>
      </c>
      <c r="F187" s="14">
        <v>2700</v>
      </c>
      <c r="G187" s="14">
        <v>25</v>
      </c>
      <c r="H187" s="14">
        <v>1500</v>
      </c>
      <c r="I187" s="14">
        <f t="shared" si="11"/>
        <v>4200</v>
      </c>
      <c r="J187" s="16"/>
      <c r="K187" s="1"/>
    </row>
    <row r="188" spans="1:11" x14ac:dyDescent="0.95">
      <c r="A188" s="12"/>
      <c r="B188" s="16" t="s">
        <v>216</v>
      </c>
      <c r="C188" s="14">
        <v>216</v>
      </c>
      <c r="D188" s="15" t="s">
        <v>36</v>
      </c>
      <c r="E188" s="14">
        <v>45</v>
      </c>
      <c r="F188" s="14">
        <v>9720</v>
      </c>
      <c r="G188" s="14">
        <v>25</v>
      </c>
      <c r="H188" s="14">
        <v>5400</v>
      </c>
      <c r="I188" s="14">
        <f t="shared" si="11"/>
        <v>15120</v>
      </c>
      <c r="J188" s="16"/>
      <c r="K188" s="1"/>
    </row>
    <row r="189" spans="1:11" x14ac:dyDescent="0.95">
      <c r="A189" s="12"/>
      <c r="B189" s="16" t="s">
        <v>217</v>
      </c>
      <c r="C189" s="14">
        <v>204.96</v>
      </c>
      <c r="D189" s="15" t="s">
        <v>36</v>
      </c>
      <c r="E189" s="14">
        <v>45</v>
      </c>
      <c r="F189" s="14">
        <v>9223.2000000000007</v>
      </c>
      <c r="G189" s="14">
        <v>25</v>
      </c>
      <c r="H189" s="14">
        <v>5124</v>
      </c>
      <c r="I189" s="14">
        <f t="shared" si="11"/>
        <v>14347.2</v>
      </c>
      <c r="J189" s="16"/>
      <c r="K189" s="1"/>
    </row>
    <row r="190" spans="1:11" x14ac:dyDescent="0.95">
      <c r="A190" s="12"/>
      <c r="B190" s="16" t="s">
        <v>218</v>
      </c>
      <c r="C190" s="14">
        <v>40</v>
      </c>
      <c r="D190" s="15" t="s">
        <v>36</v>
      </c>
      <c r="E190" s="14">
        <v>45</v>
      </c>
      <c r="F190" s="14">
        <v>1800</v>
      </c>
      <c r="G190" s="14">
        <v>25</v>
      </c>
      <c r="H190" s="14">
        <v>1000</v>
      </c>
      <c r="I190" s="14">
        <f t="shared" si="11"/>
        <v>2800</v>
      </c>
      <c r="J190" s="16"/>
      <c r="K190" s="1"/>
    </row>
    <row r="191" spans="1:11" x14ac:dyDescent="0.95">
      <c r="A191" s="12"/>
      <c r="B191" s="16" t="s">
        <v>219</v>
      </c>
      <c r="C191" s="14">
        <v>8.94</v>
      </c>
      <c r="D191" s="15" t="s">
        <v>36</v>
      </c>
      <c r="E191" s="14">
        <v>45</v>
      </c>
      <c r="F191" s="14">
        <v>402.3</v>
      </c>
      <c r="G191" s="14">
        <v>25</v>
      </c>
      <c r="H191" s="14">
        <v>223.5</v>
      </c>
      <c r="I191" s="14">
        <f t="shared" si="11"/>
        <v>625.79999999999995</v>
      </c>
      <c r="J191" s="16"/>
      <c r="K191" s="1"/>
    </row>
    <row r="192" spans="1:11" x14ac:dyDescent="0.95">
      <c r="A192" s="12"/>
      <c r="B192" s="16" t="s">
        <v>220</v>
      </c>
      <c r="C192" s="14">
        <v>16</v>
      </c>
      <c r="D192" s="15" t="s">
        <v>36</v>
      </c>
      <c r="E192" s="14">
        <v>45</v>
      </c>
      <c r="F192" s="14">
        <v>720</v>
      </c>
      <c r="G192" s="14">
        <v>25</v>
      </c>
      <c r="H192" s="14">
        <v>400</v>
      </c>
      <c r="I192" s="14">
        <f t="shared" si="11"/>
        <v>1120</v>
      </c>
      <c r="J192" s="16"/>
      <c r="K192" s="1"/>
    </row>
    <row r="193" spans="1:11" x14ac:dyDescent="0.95">
      <c r="A193" s="12"/>
      <c r="B193" s="16" t="s">
        <v>221</v>
      </c>
      <c r="C193" s="14">
        <v>40</v>
      </c>
      <c r="D193" s="15" t="s">
        <v>36</v>
      </c>
      <c r="E193" s="14">
        <v>45</v>
      </c>
      <c r="F193" s="14">
        <v>1800</v>
      </c>
      <c r="G193" s="14">
        <v>25</v>
      </c>
      <c r="H193" s="14">
        <v>1000</v>
      </c>
      <c r="I193" s="14">
        <f t="shared" si="11"/>
        <v>2800</v>
      </c>
      <c r="J193" s="16"/>
      <c r="K193" s="1"/>
    </row>
    <row r="194" spans="1:11" x14ac:dyDescent="0.95">
      <c r="A194" s="12"/>
      <c r="B194" s="16" t="s">
        <v>222</v>
      </c>
      <c r="C194" s="14">
        <v>49.92</v>
      </c>
      <c r="D194" s="15" t="s">
        <v>36</v>
      </c>
      <c r="E194" s="14">
        <v>45</v>
      </c>
      <c r="F194" s="14">
        <v>2246.4</v>
      </c>
      <c r="G194" s="14">
        <v>25</v>
      </c>
      <c r="H194" s="14">
        <v>1248</v>
      </c>
      <c r="I194" s="14">
        <f t="shared" si="11"/>
        <v>3494.4</v>
      </c>
      <c r="J194" s="16"/>
      <c r="K194" s="1"/>
    </row>
    <row r="195" spans="1:11" x14ac:dyDescent="0.95">
      <c r="A195" s="12"/>
      <c r="B195" s="16" t="s">
        <v>223</v>
      </c>
      <c r="C195" s="14">
        <v>8</v>
      </c>
      <c r="D195" s="15" t="s">
        <v>224</v>
      </c>
      <c r="E195" s="14"/>
      <c r="F195" s="14">
        <v>0</v>
      </c>
      <c r="G195" s="14">
        <v>2000</v>
      </c>
      <c r="H195" s="14">
        <v>13000</v>
      </c>
      <c r="I195" s="14">
        <f t="shared" si="11"/>
        <v>13000</v>
      </c>
      <c r="J195" s="16"/>
      <c r="K195" s="1"/>
    </row>
    <row r="196" spans="1:11" x14ac:dyDescent="0.95">
      <c r="A196" s="12"/>
      <c r="B196" s="16" t="s">
        <v>225</v>
      </c>
      <c r="C196" s="14">
        <v>1417.44</v>
      </c>
      <c r="D196" s="15" t="s">
        <v>36</v>
      </c>
      <c r="E196" s="14">
        <v>15</v>
      </c>
      <c r="F196" s="14">
        <v>21261.599999999999</v>
      </c>
      <c r="G196" s="14">
        <v>20</v>
      </c>
      <c r="H196" s="14">
        <v>28348.799999999999</v>
      </c>
      <c r="I196" s="14">
        <f t="shared" si="11"/>
        <v>49610.400000000001</v>
      </c>
      <c r="J196" s="16"/>
      <c r="K196" s="1"/>
    </row>
    <row r="197" spans="1:11" x14ac:dyDescent="0.95">
      <c r="A197" s="12"/>
      <c r="B197" s="16" t="s">
        <v>226</v>
      </c>
      <c r="C197" s="14">
        <v>8</v>
      </c>
      <c r="D197" s="15" t="s">
        <v>166</v>
      </c>
      <c r="E197" s="14">
        <v>0</v>
      </c>
      <c r="F197" s="14">
        <v>0</v>
      </c>
      <c r="G197" s="14">
        <v>100</v>
      </c>
      <c r="H197" s="14">
        <v>800</v>
      </c>
      <c r="I197" s="14">
        <f t="shared" si="11"/>
        <v>800</v>
      </c>
      <c r="J197" s="16"/>
      <c r="K197" s="1"/>
    </row>
    <row r="198" spans="1:11" s="4" customFormat="1" x14ac:dyDescent="0.95">
      <c r="A198" s="17"/>
      <c r="B198" s="13" t="s">
        <v>227</v>
      </c>
      <c r="C198" s="18"/>
      <c r="D198" s="19"/>
      <c r="E198" s="18"/>
      <c r="F198" s="18">
        <f>ROUND(SUM(F184,F185,F186,F187,F188,F189,F190,F191,F192,F193,F194,F195,F196,F197),2)</f>
        <v>141793.5</v>
      </c>
      <c r="G198" s="18"/>
      <c r="H198" s="18">
        <f>ROUND(SUM(H184,H185,H186,H187,H188,H189,H190,H191,H192,H193,H194,H195,H196,H197),2)</f>
        <v>98658.3</v>
      </c>
      <c r="I198" s="18">
        <f t="shared" si="11"/>
        <v>240451.8</v>
      </c>
      <c r="J198" s="13"/>
      <c r="K198" s="5"/>
    </row>
    <row r="199" spans="1:11" s="4" customFormat="1" x14ac:dyDescent="0.95">
      <c r="A199" s="17"/>
      <c r="B199" s="13" t="s">
        <v>228</v>
      </c>
      <c r="C199" s="18"/>
      <c r="D199" s="19"/>
      <c r="E199" s="18"/>
      <c r="F199" s="18"/>
      <c r="G199" s="18"/>
      <c r="H199" s="18"/>
      <c r="I199" s="18"/>
      <c r="J199" s="13"/>
      <c r="K199" s="5"/>
    </row>
    <row r="200" spans="1:11" x14ac:dyDescent="0.95">
      <c r="A200" s="12"/>
      <c r="B200" s="16" t="s">
        <v>56</v>
      </c>
      <c r="C200" s="14">
        <v>64</v>
      </c>
      <c r="D200" s="15" t="s">
        <v>57</v>
      </c>
      <c r="E200" s="14">
        <v>225</v>
      </c>
      <c r="F200" s="14">
        <v>14400</v>
      </c>
      <c r="G200" s="14">
        <v>0</v>
      </c>
      <c r="H200" s="14">
        <v>0</v>
      </c>
      <c r="I200" s="14">
        <f t="shared" ref="I200:I213" si="12">ROUND(F200+H200,2)</f>
        <v>14400</v>
      </c>
      <c r="J200" s="16"/>
      <c r="K200" s="1"/>
    </row>
    <row r="201" spans="1:11" x14ac:dyDescent="0.95">
      <c r="A201" s="12"/>
      <c r="B201" s="16" t="s">
        <v>229</v>
      </c>
      <c r="C201" s="14">
        <v>64</v>
      </c>
      <c r="D201" s="15" t="s">
        <v>172</v>
      </c>
      <c r="E201" s="14">
        <v>25</v>
      </c>
      <c r="F201" s="14">
        <v>1600</v>
      </c>
      <c r="G201" s="14">
        <v>0</v>
      </c>
      <c r="H201" s="14">
        <v>0</v>
      </c>
      <c r="I201" s="14">
        <f t="shared" si="12"/>
        <v>1600</v>
      </c>
      <c r="J201" s="16"/>
      <c r="K201" s="1"/>
    </row>
    <row r="202" spans="1:11" x14ac:dyDescent="0.95">
      <c r="A202" s="12"/>
      <c r="B202" s="16" t="s">
        <v>230</v>
      </c>
      <c r="C202" s="14">
        <v>16</v>
      </c>
      <c r="D202" s="15" t="s">
        <v>172</v>
      </c>
      <c r="E202" s="14">
        <v>99</v>
      </c>
      <c r="F202" s="14">
        <v>1584</v>
      </c>
      <c r="G202" s="14">
        <v>0</v>
      </c>
      <c r="H202" s="14">
        <v>0</v>
      </c>
      <c r="I202" s="14">
        <f t="shared" si="12"/>
        <v>1584</v>
      </c>
      <c r="J202" s="16"/>
      <c r="K202" s="1"/>
    </row>
    <row r="203" spans="1:11" x14ac:dyDescent="0.95">
      <c r="A203" s="12"/>
      <c r="B203" s="16" t="s">
        <v>231</v>
      </c>
      <c r="C203" s="14">
        <v>16</v>
      </c>
      <c r="D203" s="15" t="s">
        <v>172</v>
      </c>
      <c r="E203" s="14">
        <v>99</v>
      </c>
      <c r="F203" s="14">
        <v>1584</v>
      </c>
      <c r="G203" s="14">
        <v>0</v>
      </c>
      <c r="H203" s="14">
        <v>0</v>
      </c>
      <c r="I203" s="14">
        <f t="shared" si="12"/>
        <v>1584</v>
      </c>
      <c r="J203" s="16"/>
      <c r="K203" s="1"/>
    </row>
    <row r="204" spans="1:11" x14ac:dyDescent="0.95">
      <c r="A204" s="12"/>
      <c r="B204" s="16" t="s">
        <v>232</v>
      </c>
      <c r="C204" s="14">
        <v>1.33</v>
      </c>
      <c r="D204" s="15" t="s">
        <v>57</v>
      </c>
      <c r="E204" s="14">
        <v>335</v>
      </c>
      <c r="F204" s="14">
        <v>446.67</v>
      </c>
      <c r="G204" s="14">
        <v>0</v>
      </c>
      <c r="H204" s="14">
        <v>0</v>
      </c>
      <c r="I204" s="14">
        <f t="shared" si="12"/>
        <v>446.67</v>
      </c>
      <c r="J204" s="16"/>
      <c r="K204" s="1"/>
    </row>
    <row r="205" spans="1:11" x14ac:dyDescent="0.95">
      <c r="A205" s="12"/>
      <c r="B205" s="16" t="s">
        <v>67</v>
      </c>
      <c r="C205" s="14">
        <v>1.33</v>
      </c>
      <c r="D205" s="15" t="s">
        <v>68</v>
      </c>
      <c r="E205" s="14">
        <v>1240</v>
      </c>
      <c r="F205" s="14">
        <v>1653.33</v>
      </c>
      <c r="G205" s="14">
        <v>0</v>
      </c>
      <c r="H205" s="14">
        <v>0</v>
      </c>
      <c r="I205" s="14">
        <f t="shared" si="12"/>
        <v>1653.33</v>
      </c>
      <c r="J205" s="16"/>
      <c r="K205" s="1"/>
    </row>
    <row r="206" spans="1:11" x14ac:dyDescent="0.95">
      <c r="A206" s="12"/>
      <c r="B206" s="16" t="s">
        <v>69</v>
      </c>
      <c r="C206" s="14">
        <v>2.67</v>
      </c>
      <c r="D206" s="15" t="s">
        <v>70</v>
      </c>
      <c r="E206" s="14">
        <v>1089</v>
      </c>
      <c r="F206" s="14">
        <v>2904</v>
      </c>
      <c r="G206" s="14">
        <v>0</v>
      </c>
      <c r="H206" s="14">
        <v>0</v>
      </c>
      <c r="I206" s="14">
        <f t="shared" si="12"/>
        <v>2904</v>
      </c>
      <c r="J206" s="16"/>
      <c r="K206" s="1"/>
    </row>
    <row r="207" spans="1:11" x14ac:dyDescent="0.95">
      <c r="A207" s="12"/>
      <c r="B207" s="16" t="s">
        <v>72</v>
      </c>
      <c r="C207" s="14">
        <v>1.36</v>
      </c>
      <c r="D207" s="15" t="s">
        <v>68</v>
      </c>
      <c r="E207" s="14">
        <v>1595</v>
      </c>
      <c r="F207" s="14">
        <v>2169.1999999999998</v>
      </c>
      <c r="G207" s="14">
        <v>0</v>
      </c>
      <c r="H207" s="14">
        <v>0</v>
      </c>
      <c r="I207" s="14">
        <f t="shared" si="12"/>
        <v>2169.1999999999998</v>
      </c>
      <c r="J207" s="16"/>
      <c r="K207" s="1"/>
    </row>
    <row r="208" spans="1:11" x14ac:dyDescent="0.95">
      <c r="A208" s="12"/>
      <c r="B208" s="16" t="s">
        <v>71</v>
      </c>
      <c r="C208" s="14">
        <v>5.33</v>
      </c>
      <c r="D208" s="15" t="s">
        <v>70</v>
      </c>
      <c r="E208" s="14">
        <v>389</v>
      </c>
      <c r="F208" s="14">
        <v>2074.67</v>
      </c>
      <c r="G208" s="14">
        <v>0</v>
      </c>
      <c r="H208" s="14">
        <v>0</v>
      </c>
      <c r="I208" s="14">
        <f t="shared" si="12"/>
        <v>2074.67</v>
      </c>
      <c r="J208" s="16"/>
      <c r="K208" s="1"/>
    </row>
    <row r="209" spans="1:11" x14ac:dyDescent="0.95">
      <c r="A209" s="12"/>
      <c r="B209" s="16" t="s">
        <v>233</v>
      </c>
      <c r="C209" s="14">
        <v>1.36</v>
      </c>
      <c r="D209" s="15" t="s">
        <v>146</v>
      </c>
      <c r="E209" s="14">
        <v>357</v>
      </c>
      <c r="F209" s="14">
        <v>485.52</v>
      </c>
      <c r="G209" s="14">
        <v>0</v>
      </c>
      <c r="H209" s="14">
        <v>0</v>
      </c>
      <c r="I209" s="14">
        <f t="shared" si="12"/>
        <v>485.52</v>
      </c>
      <c r="J209" s="16"/>
      <c r="K209" s="1"/>
    </row>
    <row r="210" spans="1:11" x14ac:dyDescent="0.95">
      <c r="A210" s="12"/>
      <c r="B210" s="16" t="s">
        <v>234</v>
      </c>
      <c r="C210" s="14">
        <v>1.36</v>
      </c>
      <c r="D210" s="15" t="s">
        <v>146</v>
      </c>
      <c r="E210" s="14">
        <v>329</v>
      </c>
      <c r="F210" s="14">
        <v>447.44</v>
      </c>
      <c r="G210" s="14">
        <v>0</v>
      </c>
      <c r="H210" s="14">
        <v>0</v>
      </c>
      <c r="I210" s="14">
        <f t="shared" si="12"/>
        <v>447.44</v>
      </c>
      <c r="J210" s="16"/>
      <c r="K210" s="1"/>
    </row>
    <row r="211" spans="1:11" x14ac:dyDescent="0.95">
      <c r="A211" s="12"/>
      <c r="B211" s="16" t="s">
        <v>235</v>
      </c>
      <c r="C211" s="14">
        <v>8</v>
      </c>
      <c r="D211" s="15" t="s">
        <v>77</v>
      </c>
      <c r="E211" s="14">
        <v>0</v>
      </c>
      <c r="F211" s="14">
        <v>0</v>
      </c>
      <c r="G211" s="14">
        <v>1600</v>
      </c>
      <c r="H211" s="14">
        <v>12800</v>
      </c>
      <c r="I211" s="14">
        <f t="shared" si="12"/>
        <v>12800</v>
      </c>
      <c r="J211" s="16"/>
      <c r="K211" s="1"/>
    </row>
    <row r="212" spans="1:11" s="4" customFormat="1" x14ac:dyDescent="0.95">
      <c r="A212" s="17"/>
      <c r="B212" s="13" t="s">
        <v>236</v>
      </c>
      <c r="C212" s="18"/>
      <c r="D212" s="19"/>
      <c r="E212" s="18"/>
      <c r="F212" s="18">
        <f>ROUND(SUM(F200,F201,F202,F203,F204,F205,F206,F207,F208,F209,F210,F211),2)</f>
        <v>29348.83</v>
      </c>
      <c r="G212" s="18"/>
      <c r="H212" s="18">
        <f>ROUND(SUM(H200,H201,H202,H203,H204,H205,H206,H207,H208,H209,H210,H211),2)</f>
        <v>12800</v>
      </c>
      <c r="I212" s="18">
        <f t="shared" si="12"/>
        <v>42148.83</v>
      </c>
      <c r="J212" s="13"/>
      <c r="K212" s="5"/>
    </row>
    <row r="213" spans="1:11" s="4" customFormat="1" x14ac:dyDescent="0.95">
      <c r="A213" s="8">
        <v>2</v>
      </c>
      <c r="B213" s="9" t="s">
        <v>237</v>
      </c>
      <c r="C213" s="10"/>
      <c r="D213" s="11" t="s">
        <v>84</v>
      </c>
      <c r="E213" s="10"/>
      <c r="F213" s="10">
        <f>ROUND(SUM(F68,F69,F70,F71,F72,F73,F74,F75,F76,F77,F78,F79,F80,F81,F82,F83,F84,F85,F86,F87,F88,F89,F90,F91,F92,F93,F96,F97,F100,F101,F102,F103,F104,F105,F106,F107,F108,F111,F112,F115,F116,F117,F118,F119,F122,F123,F124,F125,F126,F127,F128,F129,F130,F131,F132,F133,F134,F137,F138,F139,F140,F141,F142,F143,F146,F147,F148,F149,F150,F151,F152,F153,F154,F155,F156,F157,F158,F159,F160,F161,F162,F163,F166,F167,F168,F169,F170,F171,F172,F173,F174,F177,F178,F179,F180,F181,F184,F185,F186,F187,F188,F189,F190,F191,F192,F193,F194,F195,F196,F197,F200,F201,F202,F203,F204,F205,F206,F207,F208,F209,F210,F211),2)</f>
        <v>818708.49</v>
      </c>
      <c r="G213" s="10"/>
      <c r="H213" s="10">
        <f>ROUND(SUM(H68,H69,H70,H71,H72,H73,H74,H75,H76,H77,H78,H79,H80,H81,H82,H83,H84,H85,H86,H87,H88,H89,H90,H91,H92,H93,H96,H97,H100,H101,H102,H103,H104,H105,H106,H107,H108,H111,H112,H115,H116,H117,H118,H119,H122,H123,H124,H125,H126,H127,H128,H129,H130,H131,H132,H133,H134,H137,H138,H139,H140,H141,H142,H143,H146,H147,H148,H149,H150,H151,H152,H153,H154,H155,H156,H157,H158,H159,H160,H161,H162,H163,H166,H167,H168,H169,H170,H171,H172,H173,H174,H177,H178,H179,H180,H181,H184,H185,H186,H187,H188,H189,H190,H191,H192,H193,H194,H195,H196,H197,H200,H201,H202,H203,H204,H205,H206,H207,H208,H209,H210,H211),2)</f>
        <v>745486.98</v>
      </c>
      <c r="I213" s="10">
        <f t="shared" si="12"/>
        <v>1564195.47</v>
      </c>
      <c r="J213" s="9"/>
      <c r="K213" s="5"/>
    </row>
    <row r="214" spans="1:11" x14ac:dyDescent="0.95">
      <c r="A214" s="25"/>
      <c r="B214" s="26"/>
      <c r="C214" s="26"/>
      <c r="D214" s="26"/>
      <c r="E214" s="26"/>
      <c r="F214" s="26"/>
      <c r="G214" s="26"/>
      <c r="H214" s="26"/>
      <c r="I214" s="26"/>
      <c r="J214" s="27"/>
      <c r="K214" s="1"/>
    </row>
    <row r="215" spans="1:11" s="4" customFormat="1" x14ac:dyDescent="0.95">
      <c r="A215" s="8">
        <v>3</v>
      </c>
      <c r="B215" s="9" t="s">
        <v>238</v>
      </c>
      <c r="C215" s="10"/>
      <c r="D215" s="11"/>
      <c r="E215" s="10"/>
      <c r="F215" s="10"/>
      <c r="G215" s="10"/>
      <c r="H215" s="10"/>
      <c r="I215" s="10"/>
      <c r="J215" s="9"/>
      <c r="K215" s="5"/>
    </row>
    <row r="216" spans="1:11" s="4" customFormat="1" x14ac:dyDescent="0.95">
      <c r="A216" s="17"/>
      <c r="B216" s="13" t="s">
        <v>239</v>
      </c>
      <c r="C216" s="18"/>
      <c r="D216" s="19"/>
      <c r="E216" s="18"/>
      <c r="F216" s="18"/>
      <c r="G216" s="18"/>
      <c r="H216" s="18"/>
      <c r="I216" s="18"/>
      <c r="J216" s="13"/>
      <c r="K216" s="5"/>
    </row>
    <row r="217" spans="1:11" x14ac:dyDescent="0.95">
      <c r="A217" s="12"/>
      <c r="B217" s="16" t="s">
        <v>240</v>
      </c>
      <c r="C217" s="14">
        <v>120</v>
      </c>
      <c r="D217" s="15" t="s">
        <v>172</v>
      </c>
      <c r="E217" s="14">
        <v>31</v>
      </c>
      <c r="F217" s="14">
        <v>3720</v>
      </c>
      <c r="G217" s="14">
        <v>0</v>
      </c>
      <c r="H217" s="14">
        <v>0</v>
      </c>
      <c r="I217" s="14">
        <f t="shared" ref="I217:I222" si="13">ROUND(F217+H217,2)</f>
        <v>3720</v>
      </c>
      <c r="J217" s="16"/>
      <c r="K217" s="1"/>
    </row>
    <row r="218" spans="1:11" x14ac:dyDescent="0.95">
      <c r="A218" s="12"/>
      <c r="B218" s="16" t="s">
        <v>241</v>
      </c>
      <c r="C218" s="14">
        <v>128</v>
      </c>
      <c r="D218" s="15" t="s">
        <v>172</v>
      </c>
      <c r="E218" s="14">
        <v>65</v>
      </c>
      <c r="F218" s="14">
        <v>8320</v>
      </c>
      <c r="G218" s="14">
        <v>0</v>
      </c>
      <c r="H218" s="14">
        <v>0</v>
      </c>
      <c r="I218" s="14">
        <f t="shared" si="13"/>
        <v>8320</v>
      </c>
      <c r="J218" s="16"/>
      <c r="K218" s="1"/>
    </row>
    <row r="219" spans="1:11" x14ac:dyDescent="0.95">
      <c r="A219" s="12"/>
      <c r="B219" s="16" t="s">
        <v>242</v>
      </c>
      <c r="C219" s="14">
        <v>8</v>
      </c>
      <c r="D219" s="15" t="s">
        <v>172</v>
      </c>
      <c r="E219" s="14">
        <v>109</v>
      </c>
      <c r="F219" s="14">
        <v>872</v>
      </c>
      <c r="G219" s="14">
        <v>0</v>
      </c>
      <c r="H219" s="14">
        <v>0</v>
      </c>
      <c r="I219" s="14">
        <f t="shared" si="13"/>
        <v>872</v>
      </c>
      <c r="J219" s="16"/>
      <c r="K219" s="1"/>
    </row>
    <row r="220" spans="1:11" x14ac:dyDescent="0.95">
      <c r="A220" s="12"/>
      <c r="B220" s="16" t="s">
        <v>243</v>
      </c>
      <c r="C220" s="14">
        <v>8</v>
      </c>
      <c r="D220" s="15" t="s">
        <v>172</v>
      </c>
      <c r="E220" s="14">
        <v>349</v>
      </c>
      <c r="F220" s="14">
        <v>2792</v>
      </c>
      <c r="G220" s="14">
        <v>0</v>
      </c>
      <c r="H220" s="14">
        <v>0</v>
      </c>
      <c r="I220" s="14">
        <f t="shared" si="13"/>
        <v>2792</v>
      </c>
      <c r="J220" s="16"/>
      <c r="K220" s="1"/>
    </row>
    <row r="221" spans="1:11" x14ac:dyDescent="0.95">
      <c r="A221" s="12"/>
      <c r="B221" s="16" t="s">
        <v>244</v>
      </c>
      <c r="C221" s="14">
        <v>8</v>
      </c>
      <c r="D221" s="15" t="s">
        <v>172</v>
      </c>
      <c r="E221" s="14">
        <v>0</v>
      </c>
      <c r="F221" s="14">
        <v>0</v>
      </c>
      <c r="G221" s="14">
        <v>0</v>
      </c>
      <c r="H221" s="14">
        <v>0</v>
      </c>
      <c r="I221" s="14">
        <f t="shared" si="13"/>
        <v>0</v>
      </c>
      <c r="J221" s="16"/>
      <c r="K221" s="1"/>
    </row>
    <row r="222" spans="1:11" s="4" customFormat="1" x14ac:dyDescent="0.95">
      <c r="A222" s="17"/>
      <c r="B222" s="13" t="s">
        <v>245</v>
      </c>
      <c r="C222" s="18"/>
      <c r="D222" s="19"/>
      <c r="E222" s="18"/>
      <c r="F222" s="18">
        <f>ROUND(SUM(F217,F218,F219,F220,F221),2)</f>
        <v>15704</v>
      </c>
      <c r="G222" s="18"/>
      <c r="H222" s="18">
        <f>ROUND(SUM(H217,H218,H219,H220,H221),2)</f>
        <v>0</v>
      </c>
      <c r="I222" s="18">
        <f t="shared" si="13"/>
        <v>15704</v>
      </c>
      <c r="J222" s="13"/>
      <c r="K222" s="5"/>
    </row>
    <row r="223" spans="1:11" s="4" customFormat="1" x14ac:dyDescent="0.95">
      <c r="A223" s="17"/>
      <c r="B223" s="13" t="s">
        <v>246</v>
      </c>
      <c r="C223" s="18"/>
      <c r="D223" s="19"/>
      <c r="E223" s="18">
        <v>0</v>
      </c>
      <c r="F223" s="18">
        <v>0</v>
      </c>
      <c r="G223" s="18">
        <v>0</v>
      </c>
      <c r="H223" s="18">
        <v>0</v>
      </c>
      <c r="I223" s="18">
        <f>H223+F223</f>
        <v>0</v>
      </c>
      <c r="J223" s="13"/>
      <c r="K223" s="5"/>
    </row>
    <row r="224" spans="1:11" x14ac:dyDescent="0.95">
      <c r="A224" s="12"/>
      <c r="B224" s="16" t="s">
        <v>247</v>
      </c>
      <c r="C224" s="14">
        <v>24</v>
      </c>
      <c r="D224" s="15" t="s">
        <v>172</v>
      </c>
      <c r="E224" s="14">
        <v>0</v>
      </c>
      <c r="F224" s="14">
        <v>0</v>
      </c>
      <c r="G224" s="14">
        <v>0</v>
      </c>
      <c r="H224" s="14">
        <v>0</v>
      </c>
      <c r="I224" s="14">
        <f t="shared" ref="I224:I230" si="14">ROUND(F224+H224,2)</f>
        <v>0</v>
      </c>
      <c r="J224" s="16"/>
      <c r="K224" s="1"/>
    </row>
    <row r="225" spans="1:11" x14ac:dyDescent="0.95">
      <c r="A225" s="12"/>
      <c r="B225" s="16" t="s">
        <v>248</v>
      </c>
      <c r="C225" s="14">
        <v>24</v>
      </c>
      <c r="D225" s="15" t="s">
        <v>172</v>
      </c>
      <c r="E225" s="14">
        <v>0</v>
      </c>
      <c r="F225" s="14">
        <v>0</v>
      </c>
      <c r="G225" s="14">
        <v>0</v>
      </c>
      <c r="H225" s="14">
        <v>0</v>
      </c>
      <c r="I225" s="14">
        <f t="shared" si="14"/>
        <v>0</v>
      </c>
      <c r="J225" s="16"/>
      <c r="K225" s="1"/>
    </row>
    <row r="226" spans="1:11" x14ac:dyDescent="0.95">
      <c r="A226" s="12"/>
      <c r="B226" s="16" t="s">
        <v>249</v>
      </c>
      <c r="C226" s="14">
        <v>16</v>
      </c>
      <c r="D226" s="15" t="s">
        <v>172</v>
      </c>
      <c r="E226" s="14">
        <v>0</v>
      </c>
      <c r="F226" s="14">
        <v>0</v>
      </c>
      <c r="G226" s="14">
        <v>0</v>
      </c>
      <c r="H226" s="14">
        <v>0</v>
      </c>
      <c r="I226" s="14">
        <f t="shared" si="14"/>
        <v>0</v>
      </c>
      <c r="J226" s="16"/>
      <c r="K226" s="1"/>
    </row>
    <row r="227" spans="1:11" x14ac:dyDescent="0.95">
      <c r="A227" s="12"/>
      <c r="B227" s="16" t="s">
        <v>250</v>
      </c>
      <c r="C227" s="14">
        <v>88</v>
      </c>
      <c r="D227" s="15" t="s">
        <v>172</v>
      </c>
      <c r="E227" s="14">
        <v>0</v>
      </c>
      <c r="F227" s="14">
        <v>0</v>
      </c>
      <c r="G227" s="14">
        <v>0</v>
      </c>
      <c r="H227" s="14">
        <v>0</v>
      </c>
      <c r="I227" s="14">
        <f t="shared" si="14"/>
        <v>0</v>
      </c>
      <c r="J227" s="16"/>
      <c r="K227" s="1"/>
    </row>
    <row r="228" spans="1:11" x14ac:dyDescent="0.95">
      <c r="A228" s="12"/>
      <c r="B228" s="16" t="s">
        <v>251</v>
      </c>
      <c r="C228" s="14">
        <v>24</v>
      </c>
      <c r="D228" s="15" t="s">
        <v>172</v>
      </c>
      <c r="E228" s="14">
        <v>0</v>
      </c>
      <c r="F228" s="14">
        <v>0</v>
      </c>
      <c r="G228" s="14">
        <v>0</v>
      </c>
      <c r="H228" s="14">
        <v>0</v>
      </c>
      <c r="I228" s="14">
        <f t="shared" si="14"/>
        <v>0</v>
      </c>
      <c r="J228" s="16"/>
      <c r="K228" s="1"/>
    </row>
    <row r="229" spans="1:11" x14ac:dyDescent="0.95">
      <c r="A229" s="12"/>
      <c r="B229" s="16" t="s">
        <v>252</v>
      </c>
      <c r="C229" s="14">
        <v>8</v>
      </c>
      <c r="D229" s="15" t="s">
        <v>172</v>
      </c>
      <c r="E229" s="14">
        <v>0</v>
      </c>
      <c r="F229" s="14">
        <v>0</v>
      </c>
      <c r="G229" s="14">
        <v>0</v>
      </c>
      <c r="H229" s="14">
        <v>0</v>
      </c>
      <c r="I229" s="14">
        <f t="shared" si="14"/>
        <v>0</v>
      </c>
      <c r="J229" s="16"/>
      <c r="K229" s="1"/>
    </row>
    <row r="230" spans="1:11" s="4" customFormat="1" x14ac:dyDescent="0.95">
      <c r="A230" s="17"/>
      <c r="B230" s="13" t="s">
        <v>253</v>
      </c>
      <c r="C230" s="18"/>
      <c r="D230" s="19"/>
      <c r="E230" s="18"/>
      <c r="F230" s="18">
        <f>ROUND(SUM(F224,F225,F226,F227,F228,F229),2)</f>
        <v>0</v>
      </c>
      <c r="G230" s="18"/>
      <c r="H230" s="18">
        <f>ROUND(SUM(H224,H225,H226,H227,H228,H229),2)</f>
        <v>0</v>
      </c>
      <c r="I230" s="18">
        <f t="shared" si="14"/>
        <v>0</v>
      </c>
      <c r="J230" s="13"/>
      <c r="K230" s="5"/>
    </row>
    <row r="231" spans="1:11" s="4" customFormat="1" x14ac:dyDescent="0.95">
      <c r="A231" s="17"/>
      <c r="B231" s="13" t="s">
        <v>254</v>
      </c>
      <c r="C231" s="18"/>
      <c r="D231" s="19"/>
      <c r="E231" s="18">
        <v>0</v>
      </c>
      <c r="F231" s="18">
        <v>0</v>
      </c>
      <c r="G231" s="18">
        <v>0</v>
      </c>
      <c r="H231" s="18">
        <v>0</v>
      </c>
      <c r="I231" s="18">
        <v>0</v>
      </c>
      <c r="J231" s="13"/>
      <c r="K231" s="5"/>
    </row>
    <row r="232" spans="1:11" x14ac:dyDescent="0.95">
      <c r="A232" s="12"/>
      <c r="B232" s="16" t="s">
        <v>255</v>
      </c>
      <c r="C232" s="14">
        <v>8</v>
      </c>
      <c r="D232" s="15" t="s">
        <v>166</v>
      </c>
      <c r="E232" s="14">
        <v>0</v>
      </c>
      <c r="F232" s="14">
        <v>0</v>
      </c>
      <c r="G232" s="14">
        <v>0</v>
      </c>
      <c r="H232" s="14">
        <v>179100</v>
      </c>
      <c r="I232" s="14">
        <f>ROUND(F232+H232,2)</f>
        <v>179100</v>
      </c>
      <c r="J232" s="16"/>
      <c r="K232" s="1"/>
    </row>
    <row r="233" spans="1:11" s="4" customFormat="1" x14ac:dyDescent="0.95">
      <c r="A233" s="17"/>
      <c r="B233" s="13" t="s">
        <v>256</v>
      </c>
      <c r="C233" s="18"/>
      <c r="D233" s="19"/>
      <c r="E233" s="18"/>
      <c r="F233" s="18">
        <f>ROUND(SUM(F232),2)</f>
        <v>0</v>
      </c>
      <c r="G233" s="18"/>
      <c r="H233" s="18">
        <f>ROUND(SUM(H232),2)</f>
        <v>179100</v>
      </c>
      <c r="I233" s="18">
        <f>ROUND(F233+H233,2)</f>
        <v>179100</v>
      </c>
      <c r="J233" s="13"/>
      <c r="K233" s="5"/>
    </row>
    <row r="234" spans="1:11" s="4" customFormat="1" x14ac:dyDescent="0.95">
      <c r="A234" s="17"/>
      <c r="B234" s="13" t="s">
        <v>257</v>
      </c>
      <c r="C234" s="18"/>
      <c r="D234" s="19"/>
      <c r="E234" s="18">
        <v>0</v>
      </c>
      <c r="F234" s="18">
        <v>0</v>
      </c>
      <c r="G234" s="18">
        <v>2</v>
      </c>
      <c r="H234" s="18">
        <v>0</v>
      </c>
      <c r="I234" s="18">
        <v>0</v>
      </c>
      <c r="J234" s="13"/>
      <c r="K234" s="5"/>
    </row>
    <row r="235" spans="1:11" x14ac:dyDescent="0.95">
      <c r="A235" s="12"/>
      <c r="B235" s="16" t="s">
        <v>258</v>
      </c>
      <c r="C235" s="14">
        <v>8</v>
      </c>
      <c r="D235" s="15" t="s">
        <v>172</v>
      </c>
      <c r="E235" s="14">
        <v>0</v>
      </c>
      <c r="F235" s="14">
        <v>0</v>
      </c>
      <c r="G235" s="14">
        <v>3</v>
      </c>
      <c r="H235" s="14">
        <v>6</v>
      </c>
      <c r="I235" s="14">
        <f>ROUND(F235+H235,2)</f>
        <v>6</v>
      </c>
      <c r="J235" s="16"/>
      <c r="K235" s="1"/>
    </row>
    <row r="236" spans="1:11" x14ac:dyDescent="0.95">
      <c r="A236" s="12"/>
      <c r="B236" s="16" t="s">
        <v>259</v>
      </c>
      <c r="C236" s="14">
        <v>8</v>
      </c>
      <c r="D236" s="15" t="s">
        <v>172</v>
      </c>
      <c r="E236" s="14">
        <v>0</v>
      </c>
      <c r="F236" s="14">
        <v>0</v>
      </c>
      <c r="G236" s="14">
        <v>4</v>
      </c>
      <c r="H236" s="14">
        <v>8</v>
      </c>
      <c r="I236" s="14">
        <f>ROUND(F236+H236,2)</f>
        <v>8</v>
      </c>
      <c r="J236" s="16"/>
      <c r="K236" s="1"/>
    </row>
    <row r="237" spans="1:11" x14ac:dyDescent="0.95">
      <c r="A237" s="12"/>
      <c r="B237" s="16" t="s">
        <v>260</v>
      </c>
      <c r="C237" s="14">
        <v>2</v>
      </c>
      <c r="D237" s="15" t="s">
        <v>77</v>
      </c>
      <c r="E237" s="14">
        <v>0</v>
      </c>
      <c r="F237" s="14">
        <v>0</v>
      </c>
      <c r="G237" s="14">
        <v>29850</v>
      </c>
      <c r="H237" s="14">
        <v>59700</v>
      </c>
      <c r="I237" s="14">
        <f>ROUND(F237+H237,2)</f>
        <v>59700</v>
      </c>
      <c r="J237" s="16"/>
      <c r="K237" s="1"/>
    </row>
    <row r="238" spans="1:11" s="4" customFormat="1" x14ac:dyDescent="0.95">
      <c r="A238" s="17"/>
      <c r="B238" s="13" t="s">
        <v>261</v>
      </c>
      <c r="C238" s="18"/>
      <c r="D238" s="19"/>
      <c r="E238" s="18"/>
      <c r="F238" s="18">
        <f>ROUND(SUM(F235,F236,F237),2)</f>
        <v>0</v>
      </c>
      <c r="G238" s="18"/>
      <c r="H238" s="18">
        <f>ROUND(SUM(H235,H236,H237),2)</f>
        <v>59714</v>
      </c>
      <c r="I238" s="18">
        <f>ROUND(F238+H238,2)</f>
        <v>59714</v>
      </c>
      <c r="J238" s="13"/>
      <c r="K238" s="5"/>
    </row>
    <row r="239" spans="1:11" s="4" customFormat="1" x14ac:dyDescent="0.95">
      <c r="A239" s="8">
        <v>3</v>
      </c>
      <c r="B239" s="9" t="s">
        <v>262</v>
      </c>
      <c r="C239" s="10"/>
      <c r="D239" s="11" t="s">
        <v>84</v>
      </c>
      <c r="E239" s="10"/>
      <c r="F239" s="10">
        <f>ROUND(SUM(F217,F218,F219,F220,F221,F224,F225,F226,F227,F228,F229,F232,F235,F236,F237),2)</f>
        <v>15704</v>
      </c>
      <c r="G239" s="10"/>
      <c r="H239" s="10">
        <f>ROUND(SUM(H217,H218,H219,H220,H221,H224,H225,H226,H227,H228,H229,H232,H235,H236,H237),2)</f>
        <v>238814</v>
      </c>
      <c r="I239" s="10">
        <f>ROUND(F239+H239,2)</f>
        <v>254518</v>
      </c>
      <c r="J239" s="9"/>
      <c r="K239" s="5"/>
    </row>
    <row r="240" spans="1:11" x14ac:dyDescent="0.95">
      <c r="A240" s="25"/>
      <c r="B240" s="26"/>
      <c r="C240" s="26"/>
      <c r="D240" s="26"/>
      <c r="E240" s="26"/>
      <c r="F240" s="26"/>
      <c r="G240" s="26"/>
      <c r="H240" s="26"/>
      <c r="I240" s="26"/>
      <c r="J240" s="27"/>
      <c r="K240" s="1"/>
    </row>
    <row r="241" spans="1:11" s="4" customFormat="1" x14ac:dyDescent="0.95">
      <c r="A241" s="8">
        <v>4</v>
      </c>
      <c r="B241" s="9" t="s">
        <v>263</v>
      </c>
      <c r="C241" s="10"/>
      <c r="D241" s="11"/>
      <c r="E241" s="10"/>
      <c r="F241" s="10"/>
      <c r="G241" s="10"/>
      <c r="H241" s="10"/>
      <c r="I241" s="10"/>
      <c r="J241" s="9"/>
      <c r="K241" s="5"/>
    </row>
    <row r="242" spans="1:11" x14ac:dyDescent="0.95">
      <c r="A242" s="12"/>
      <c r="B242" s="16" t="s">
        <v>264</v>
      </c>
      <c r="C242" s="14">
        <v>8</v>
      </c>
      <c r="D242" s="15" t="s">
        <v>57</v>
      </c>
      <c r="E242" s="14">
        <v>1105</v>
      </c>
      <c r="F242" s="14">
        <v>8840</v>
      </c>
      <c r="G242" s="14">
        <v>0</v>
      </c>
      <c r="H242" s="14">
        <v>0</v>
      </c>
      <c r="I242" s="14">
        <f t="shared" ref="I242:I264" si="15">ROUND(F242+H242,2)</f>
        <v>8840</v>
      </c>
      <c r="J242" s="16"/>
      <c r="K242" s="1"/>
    </row>
    <row r="243" spans="1:11" x14ac:dyDescent="0.95">
      <c r="A243" s="12"/>
      <c r="B243" s="16" t="s">
        <v>265</v>
      </c>
      <c r="C243" s="14">
        <v>14.67</v>
      </c>
      <c r="D243" s="15" t="s">
        <v>57</v>
      </c>
      <c r="E243" s="14">
        <v>810</v>
      </c>
      <c r="F243" s="14">
        <v>11880</v>
      </c>
      <c r="G243" s="14">
        <v>0</v>
      </c>
      <c r="H243" s="14">
        <v>0</v>
      </c>
      <c r="I243" s="14">
        <f t="shared" si="15"/>
        <v>11880</v>
      </c>
      <c r="J243" s="16"/>
      <c r="K243" s="1"/>
    </row>
    <row r="244" spans="1:11" x14ac:dyDescent="0.95">
      <c r="A244" s="12"/>
      <c r="B244" s="16" t="s">
        <v>266</v>
      </c>
      <c r="C244" s="14">
        <v>16</v>
      </c>
      <c r="D244" s="15" t="s">
        <v>57</v>
      </c>
      <c r="E244" s="14">
        <v>610</v>
      </c>
      <c r="F244" s="14">
        <v>9760</v>
      </c>
      <c r="G244" s="14">
        <v>0</v>
      </c>
      <c r="H244" s="14">
        <v>0</v>
      </c>
      <c r="I244" s="14">
        <f t="shared" si="15"/>
        <v>9760</v>
      </c>
      <c r="J244" s="16"/>
      <c r="K244" s="1"/>
    </row>
    <row r="245" spans="1:11" x14ac:dyDescent="0.95">
      <c r="A245" s="12"/>
      <c r="B245" s="16" t="s">
        <v>267</v>
      </c>
      <c r="C245" s="14">
        <v>48</v>
      </c>
      <c r="D245" s="15" t="s">
        <v>57</v>
      </c>
      <c r="E245" s="14">
        <v>395</v>
      </c>
      <c r="F245" s="14">
        <v>18960</v>
      </c>
      <c r="G245" s="14">
        <v>0</v>
      </c>
      <c r="H245" s="14">
        <v>0</v>
      </c>
      <c r="I245" s="14">
        <f t="shared" si="15"/>
        <v>18960</v>
      </c>
      <c r="J245" s="16"/>
      <c r="K245" s="1"/>
    </row>
    <row r="246" spans="1:11" x14ac:dyDescent="0.95">
      <c r="A246" s="12"/>
      <c r="B246" s="16" t="s">
        <v>268</v>
      </c>
      <c r="C246" s="14">
        <v>9.33</v>
      </c>
      <c r="D246" s="15" t="s">
        <v>29</v>
      </c>
      <c r="E246" s="14">
        <v>49</v>
      </c>
      <c r="F246" s="14">
        <v>457.33</v>
      </c>
      <c r="G246" s="14">
        <v>0</v>
      </c>
      <c r="H246" s="14">
        <v>0</v>
      </c>
      <c r="I246" s="14">
        <f t="shared" si="15"/>
        <v>457.33</v>
      </c>
      <c r="J246" s="16"/>
      <c r="K246" s="1"/>
    </row>
    <row r="247" spans="1:11" x14ac:dyDescent="0.95">
      <c r="A247" s="12"/>
      <c r="B247" s="16" t="s">
        <v>269</v>
      </c>
      <c r="C247" s="14">
        <v>9.33</v>
      </c>
      <c r="D247" s="15" t="s">
        <v>29</v>
      </c>
      <c r="E247" s="14">
        <v>39</v>
      </c>
      <c r="F247" s="14">
        <v>364</v>
      </c>
      <c r="G247" s="14">
        <v>0</v>
      </c>
      <c r="H247" s="14">
        <v>0</v>
      </c>
      <c r="I247" s="14">
        <f t="shared" si="15"/>
        <v>364</v>
      </c>
      <c r="J247" s="16"/>
      <c r="K247" s="1"/>
    </row>
    <row r="248" spans="1:11" x14ac:dyDescent="0.95">
      <c r="A248" s="12"/>
      <c r="B248" s="16" t="s">
        <v>270</v>
      </c>
      <c r="C248" s="14">
        <v>2.67</v>
      </c>
      <c r="D248" s="15" t="s">
        <v>57</v>
      </c>
      <c r="E248" s="14">
        <v>285</v>
      </c>
      <c r="F248" s="14">
        <v>760</v>
      </c>
      <c r="G248" s="14">
        <v>0</v>
      </c>
      <c r="H248" s="14">
        <v>0</v>
      </c>
      <c r="I248" s="14">
        <f t="shared" si="15"/>
        <v>760</v>
      </c>
      <c r="J248" s="16"/>
      <c r="K248" s="1"/>
    </row>
    <row r="249" spans="1:11" x14ac:dyDescent="0.95">
      <c r="A249" s="12"/>
      <c r="B249" s="16" t="s">
        <v>271</v>
      </c>
      <c r="C249" s="14">
        <v>17.329999999999998</v>
      </c>
      <c r="D249" s="15" t="s">
        <v>57</v>
      </c>
      <c r="E249" s="14">
        <v>250</v>
      </c>
      <c r="F249" s="14">
        <v>4333.33</v>
      </c>
      <c r="G249" s="14">
        <v>0</v>
      </c>
      <c r="H249" s="14">
        <v>0</v>
      </c>
      <c r="I249" s="14">
        <f t="shared" si="15"/>
        <v>4333.33</v>
      </c>
      <c r="J249" s="16"/>
      <c r="K249" s="1"/>
    </row>
    <row r="250" spans="1:11" x14ac:dyDescent="0.95">
      <c r="A250" s="12"/>
      <c r="B250" s="16" t="s">
        <v>272</v>
      </c>
      <c r="C250" s="14">
        <v>68</v>
      </c>
      <c r="D250" s="15" t="s">
        <v>81</v>
      </c>
      <c r="E250" s="14">
        <v>212</v>
      </c>
      <c r="F250" s="14">
        <v>14416</v>
      </c>
      <c r="G250" s="14">
        <v>0</v>
      </c>
      <c r="H250" s="14">
        <v>0</v>
      </c>
      <c r="I250" s="14">
        <f t="shared" si="15"/>
        <v>14416</v>
      </c>
      <c r="J250" s="16"/>
      <c r="K250" s="1"/>
    </row>
    <row r="251" spans="1:11" x14ac:dyDescent="0.95">
      <c r="A251" s="12"/>
      <c r="B251" s="16" t="s">
        <v>273</v>
      </c>
      <c r="C251" s="14">
        <v>266.67</v>
      </c>
      <c r="D251" s="15" t="s">
        <v>95</v>
      </c>
      <c r="E251" s="14">
        <v>2.7</v>
      </c>
      <c r="F251" s="14">
        <v>720</v>
      </c>
      <c r="G251" s="14">
        <v>0</v>
      </c>
      <c r="H251" s="14">
        <v>0</v>
      </c>
      <c r="I251" s="14">
        <f t="shared" si="15"/>
        <v>720</v>
      </c>
      <c r="J251" s="16"/>
      <c r="K251" s="1"/>
    </row>
    <row r="252" spans="1:11" x14ac:dyDescent="0.95">
      <c r="A252" s="12"/>
      <c r="B252" s="16" t="s">
        <v>67</v>
      </c>
      <c r="C252" s="14">
        <v>1.33</v>
      </c>
      <c r="D252" s="15" t="s">
        <v>68</v>
      </c>
      <c r="E252" s="14">
        <v>1500</v>
      </c>
      <c r="F252" s="14">
        <v>2000</v>
      </c>
      <c r="G252" s="14">
        <v>0</v>
      </c>
      <c r="H252" s="14">
        <v>0</v>
      </c>
      <c r="I252" s="14">
        <f t="shared" si="15"/>
        <v>2000</v>
      </c>
      <c r="J252" s="16"/>
      <c r="K252" s="1"/>
    </row>
    <row r="253" spans="1:11" x14ac:dyDescent="0.95">
      <c r="A253" s="12"/>
      <c r="B253" s="16" t="s">
        <v>69</v>
      </c>
      <c r="C253" s="14">
        <v>4</v>
      </c>
      <c r="D253" s="15" t="s">
        <v>70</v>
      </c>
      <c r="E253" s="14">
        <v>1189</v>
      </c>
      <c r="F253" s="14">
        <v>4756</v>
      </c>
      <c r="G253" s="14">
        <v>0</v>
      </c>
      <c r="H253" s="14">
        <v>0</v>
      </c>
      <c r="I253" s="14">
        <f t="shared" si="15"/>
        <v>4756</v>
      </c>
      <c r="J253" s="16"/>
      <c r="K253" s="1"/>
    </row>
    <row r="254" spans="1:11" x14ac:dyDescent="0.95">
      <c r="A254" s="12"/>
      <c r="B254" s="16" t="s">
        <v>71</v>
      </c>
      <c r="C254" s="14">
        <v>1.33</v>
      </c>
      <c r="D254" s="15" t="s">
        <v>70</v>
      </c>
      <c r="E254" s="14">
        <v>499</v>
      </c>
      <c r="F254" s="14">
        <v>665.33</v>
      </c>
      <c r="G254" s="14">
        <v>0</v>
      </c>
      <c r="H254" s="14">
        <v>0</v>
      </c>
      <c r="I254" s="14">
        <f t="shared" si="15"/>
        <v>665.33</v>
      </c>
      <c r="J254" s="16"/>
      <c r="K254" s="1"/>
    </row>
    <row r="255" spans="1:11" x14ac:dyDescent="0.95">
      <c r="A255" s="12"/>
      <c r="B255" s="16" t="s">
        <v>72</v>
      </c>
      <c r="C255" s="14">
        <v>8</v>
      </c>
      <c r="D255" s="15" t="s">
        <v>73</v>
      </c>
      <c r="E255" s="14">
        <v>98</v>
      </c>
      <c r="F255" s="14">
        <v>784</v>
      </c>
      <c r="G255" s="14">
        <v>0</v>
      </c>
      <c r="H255" s="14">
        <v>0</v>
      </c>
      <c r="I255" s="14">
        <f t="shared" si="15"/>
        <v>784</v>
      </c>
      <c r="J255" s="16"/>
      <c r="K255" s="1"/>
    </row>
    <row r="256" spans="1:11" x14ac:dyDescent="0.95">
      <c r="A256" s="12"/>
      <c r="B256" s="16" t="s">
        <v>74</v>
      </c>
      <c r="C256" s="14">
        <v>640</v>
      </c>
      <c r="D256" s="15" t="s">
        <v>75</v>
      </c>
      <c r="E256" s="14">
        <v>0</v>
      </c>
      <c r="F256" s="14">
        <v>0</v>
      </c>
      <c r="G256" s="14">
        <v>23.291666666666668</v>
      </c>
      <c r="H256" s="14">
        <v>14906.67</v>
      </c>
      <c r="I256" s="14">
        <f t="shared" si="15"/>
        <v>14906.67</v>
      </c>
      <c r="J256" s="16"/>
      <c r="K256" s="1"/>
    </row>
    <row r="257" spans="1:11" x14ac:dyDescent="0.95">
      <c r="A257" s="12"/>
      <c r="B257" s="16" t="s">
        <v>274</v>
      </c>
      <c r="C257" s="14">
        <v>2000</v>
      </c>
      <c r="D257" s="15" t="s">
        <v>81</v>
      </c>
      <c r="E257" s="14">
        <v>0</v>
      </c>
      <c r="F257" s="14">
        <v>0</v>
      </c>
      <c r="G257" s="14">
        <v>6.4533333333333331</v>
      </c>
      <c r="H257" s="14">
        <v>12906.67</v>
      </c>
      <c r="I257" s="14">
        <f t="shared" si="15"/>
        <v>12906.67</v>
      </c>
      <c r="J257" s="16"/>
      <c r="K257" s="1"/>
    </row>
    <row r="258" spans="1:11" x14ac:dyDescent="0.95">
      <c r="A258" s="12"/>
      <c r="B258" s="16" t="s">
        <v>275</v>
      </c>
      <c r="C258" s="14">
        <v>280</v>
      </c>
      <c r="D258" s="15" t="s">
        <v>81</v>
      </c>
      <c r="E258" s="14">
        <v>0</v>
      </c>
      <c r="F258" s="14">
        <v>0</v>
      </c>
      <c r="G258" s="14">
        <v>17.5</v>
      </c>
      <c r="H258" s="14">
        <v>4900</v>
      </c>
      <c r="I258" s="14">
        <f t="shared" si="15"/>
        <v>4900</v>
      </c>
      <c r="J258" s="16"/>
      <c r="K258" s="1"/>
    </row>
    <row r="259" spans="1:11" x14ac:dyDescent="0.95">
      <c r="A259" s="12"/>
      <c r="B259" s="16" t="s">
        <v>78</v>
      </c>
      <c r="C259" s="14">
        <v>4000</v>
      </c>
      <c r="D259" s="15" t="s">
        <v>24</v>
      </c>
      <c r="E259" s="14">
        <v>0</v>
      </c>
      <c r="F259" s="14">
        <v>0</v>
      </c>
      <c r="G259" s="14">
        <v>1.3333333333333333</v>
      </c>
      <c r="H259" s="14">
        <v>5333.33</v>
      </c>
      <c r="I259" s="14">
        <f t="shared" si="15"/>
        <v>5333.33</v>
      </c>
      <c r="J259" s="16"/>
      <c r="K259" s="1"/>
    </row>
    <row r="260" spans="1:11" x14ac:dyDescent="0.95">
      <c r="A260" s="12"/>
      <c r="B260" s="16" t="s">
        <v>276</v>
      </c>
      <c r="C260" s="14">
        <v>280</v>
      </c>
      <c r="D260" s="15" t="s">
        <v>75</v>
      </c>
      <c r="E260" s="14">
        <v>0</v>
      </c>
      <c r="F260" s="14">
        <v>0</v>
      </c>
      <c r="G260" s="14">
        <v>18.900000000000002</v>
      </c>
      <c r="H260" s="14">
        <v>5292</v>
      </c>
      <c r="I260" s="14">
        <f t="shared" si="15"/>
        <v>5292</v>
      </c>
      <c r="J260" s="16"/>
      <c r="K260" s="1"/>
    </row>
    <row r="261" spans="1:11" x14ac:dyDescent="0.95">
      <c r="A261" s="12"/>
      <c r="B261" s="16" t="s">
        <v>277</v>
      </c>
      <c r="C261" s="14">
        <v>200</v>
      </c>
      <c r="D261" s="15" t="s">
        <v>75</v>
      </c>
      <c r="E261" s="14">
        <v>0</v>
      </c>
      <c r="F261" s="14">
        <v>0</v>
      </c>
      <c r="G261" s="14">
        <v>18.900000000000002</v>
      </c>
      <c r="H261" s="14">
        <v>3780</v>
      </c>
      <c r="I261" s="14">
        <f t="shared" si="15"/>
        <v>3780</v>
      </c>
      <c r="J261" s="16"/>
      <c r="K261" s="1"/>
    </row>
    <row r="262" spans="1:11" x14ac:dyDescent="0.95">
      <c r="A262" s="12"/>
      <c r="B262" s="16" t="s">
        <v>278</v>
      </c>
      <c r="C262" s="14">
        <v>2400</v>
      </c>
      <c r="D262" s="15" t="s">
        <v>77</v>
      </c>
      <c r="E262" s="14">
        <v>0</v>
      </c>
      <c r="F262" s="14">
        <v>0</v>
      </c>
      <c r="G262" s="14">
        <v>1</v>
      </c>
      <c r="H262" s="14">
        <v>2400</v>
      </c>
      <c r="I262" s="14">
        <f t="shared" si="15"/>
        <v>2400</v>
      </c>
      <c r="J262" s="16"/>
      <c r="K262" s="1"/>
    </row>
    <row r="263" spans="1:11" x14ac:dyDescent="0.95">
      <c r="A263" s="12"/>
      <c r="B263" s="16" t="s">
        <v>279</v>
      </c>
      <c r="C263" s="14">
        <v>440</v>
      </c>
      <c r="D263" s="15" t="s">
        <v>81</v>
      </c>
      <c r="E263" s="14">
        <v>0</v>
      </c>
      <c r="F263" s="14">
        <v>0</v>
      </c>
      <c r="G263" s="14">
        <v>6.47</v>
      </c>
      <c r="H263" s="14">
        <v>2846.8</v>
      </c>
      <c r="I263" s="14">
        <f t="shared" si="15"/>
        <v>2846.8</v>
      </c>
      <c r="J263" s="16"/>
      <c r="K263" s="1"/>
    </row>
    <row r="264" spans="1:11" s="4" customFormat="1" x14ac:dyDescent="0.95">
      <c r="A264" s="8">
        <v>4</v>
      </c>
      <c r="B264" s="9" t="s">
        <v>280</v>
      </c>
      <c r="C264" s="10"/>
      <c r="D264" s="11" t="s">
        <v>84</v>
      </c>
      <c r="E264" s="10"/>
      <c r="F264" s="10">
        <f>ROUND(SUM(F242,F243,F244,F245,F246,F247,F248,F249,F250,F251,F252,F253,F254,F255,F256,F257,F258,F259,F260,F261,F262,F263),2)</f>
        <v>78695.990000000005</v>
      </c>
      <c r="G264" s="10"/>
      <c r="H264" s="10">
        <f>ROUND(SUM(H242,H243,H244,H245,H246,H247,H248,H249,H250,H251,H252,H253,H254,H255,H256,H257,H258,H259,H260,H261,H262,H263),2)</f>
        <v>52365.47</v>
      </c>
      <c r="I264" s="10">
        <f t="shared" si="15"/>
        <v>131061.46</v>
      </c>
      <c r="J264" s="9"/>
      <c r="K264" s="5"/>
    </row>
    <row r="265" spans="1:11" x14ac:dyDescent="0.95">
      <c r="C265" s="1"/>
      <c r="D265" s="21"/>
      <c r="E265" s="1"/>
      <c r="F265" s="1"/>
      <c r="G265" s="1"/>
      <c r="H265" s="1"/>
      <c r="I265" s="1"/>
      <c r="K265" s="1"/>
    </row>
    <row r="266" spans="1:11" x14ac:dyDescent="0.95">
      <c r="C266" s="1"/>
      <c r="D266" s="21"/>
      <c r="E266" s="1"/>
      <c r="F266" s="1"/>
      <c r="G266" s="1"/>
      <c r="H266" s="1"/>
      <c r="I266" s="1"/>
      <c r="K266" s="1"/>
    </row>
    <row r="267" spans="1:11" x14ac:dyDescent="0.95">
      <c r="C267" s="1"/>
      <c r="D267" s="21"/>
      <c r="E267" s="1"/>
      <c r="F267" s="1"/>
      <c r="G267" s="1"/>
      <c r="H267" s="1"/>
      <c r="I267" s="1"/>
      <c r="K267" s="1"/>
    </row>
    <row r="268" spans="1:11" x14ac:dyDescent="0.95">
      <c r="C268" s="1"/>
      <c r="D268" s="21"/>
      <c r="E268" s="1"/>
      <c r="F268" s="1"/>
      <c r="G268" s="1"/>
      <c r="H268" s="1"/>
      <c r="I268" s="1"/>
      <c r="K268" s="1"/>
    </row>
    <row r="269" spans="1:11" x14ac:dyDescent="0.95">
      <c r="C269" s="1"/>
      <c r="D269" s="21"/>
      <c r="E269" s="1"/>
      <c r="F269" s="1"/>
      <c r="G269" s="1"/>
      <c r="H269" s="1"/>
      <c r="I269" s="1"/>
      <c r="K269" s="1"/>
    </row>
    <row r="270" spans="1:11" x14ac:dyDescent="0.95">
      <c r="C270" s="1"/>
      <c r="D270" s="21"/>
      <c r="E270" s="1"/>
      <c r="F270" s="1"/>
      <c r="G270" s="1"/>
      <c r="H270" s="1"/>
      <c r="I270" s="1"/>
      <c r="K270" s="1"/>
    </row>
    <row r="271" spans="1:11" x14ac:dyDescent="0.95">
      <c r="C271" s="1"/>
      <c r="D271" s="21"/>
      <c r="E271" s="1"/>
      <c r="F271" s="1"/>
      <c r="G271" s="1"/>
      <c r="H271" s="1"/>
      <c r="I271" s="1"/>
      <c r="K271" s="1"/>
    </row>
    <row r="272" spans="1:11" x14ac:dyDescent="0.95">
      <c r="C272" s="1"/>
      <c r="D272" s="21"/>
      <c r="E272" s="1"/>
      <c r="F272" s="1"/>
      <c r="G272" s="1"/>
      <c r="H272" s="1"/>
      <c r="I272" s="1"/>
      <c r="K272" s="1"/>
    </row>
    <row r="273" spans="3:11" x14ac:dyDescent="0.95">
      <c r="C273" s="1"/>
      <c r="D273" s="21"/>
      <c r="E273" s="1"/>
      <c r="F273" s="1"/>
      <c r="G273" s="1"/>
      <c r="H273" s="1"/>
      <c r="I273" s="1"/>
      <c r="K273" s="1"/>
    </row>
  </sheetData>
  <mergeCells count="12">
    <mergeCell ref="A65:J65"/>
    <mergeCell ref="A214:J214"/>
    <mergeCell ref="A240:J240"/>
    <mergeCell ref="A1:J1"/>
    <mergeCell ref="A2:J2"/>
    <mergeCell ref="A4:A5"/>
    <mergeCell ref="B4:B5"/>
    <mergeCell ref="C4:C5"/>
    <mergeCell ref="D4:D5"/>
    <mergeCell ref="E4:F4"/>
    <mergeCell ref="G4:H4"/>
    <mergeCell ref="J4:J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B5E90-F33C-4627-823B-D2DDC2B4DCA0}">
  <dimension ref="A1:K273"/>
  <sheetViews>
    <sheetView workbookViewId="0">
      <selection activeCell="F8" sqref="F8"/>
    </sheetView>
  </sheetViews>
  <sheetFormatPr defaultRowHeight="23.25" x14ac:dyDescent="0.95"/>
  <cols>
    <col min="1" max="1" width="7.1328125" style="20" customWidth="1"/>
    <col min="2" max="2" width="49.73046875" style="2" customWidth="1"/>
    <col min="3" max="3" width="14.265625" style="2" customWidth="1"/>
    <col min="4" max="4" width="14.265625" style="20" customWidth="1"/>
    <col min="5" max="9" width="14.265625" style="2" customWidth="1"/>
    <col min="10" max="10" width="11.86328125" style="2" customWidth="1"/>
    <col min="11" max="11" width="10.53125" style="2" customWidth="1"/>
    <col min="12" max="16384" width="9.06640625" style="2"/>
  </cols>
  <sheetData>
    <row r="1" spans="1:11" x14ac:dyDescent="0.95">
      <c r="A1" s="24" t="s">
        <v>281</v>
      </c>
      <c r="B1" s="24"/>
      <c r="C1" s="24"/>
      <c r="D1" s="24"/>
      <c r="E1" s="24"/>
      <c r="F1" s="24"/>
      <c r="G1" s="24"/>
      <c r="H1" s="24"/>
      <c r="I1" s="24"/>
      <c r="J1" s="24"/>
      <c r="K1" s="1"/>
    </row>
    <row r="2" spans="1:11" x14ac:dyDescent="0.95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1"/>
    </row>
    <row r="3" spans="1:11" x14ac:dyDescent="0.95">
      <c r="A3" s="22"/>
      <c r="B3" s="4"/>
      <c r="C3" s="5"/>
      <c r="D3" s="6"/>
      <c r="E3" s="5"/>
      <c r="F3" s="5"/>
      <c r="G3" s="5"/>
      <c r="H3" s="5"/>
      <c r="I3" s="4" t="s">
        <v>1</v>
      </c>
      <c r="J3" s="4"/>
      <c r="K3" s="1"/>
    </row>
    <row r="4" spans="1:11" s="4" customFormat="1" x14ac:dyDescent="0.95">
      <c r="A4" s="28" t="s">
        <v>2</v>
      </c>
      <c r="B4" s="28" t="s">
        <v>3</v>
      </c>
      <c r="C4" s="29" t="s">
        <v>4</v>
      </c>
      <c r="D4" s="29" t="s">
        <v>5</v>
      </c>
      <c r="E4" s="29" t="s">
        <v>6</v>
      </c>
      <c r="F4" s="29"/>
      <c r="G4" s="29" t="s">
        <v>7</v>
      </c>
      <c r="H4" s="29"/>
      <c r="I4" s="23" t="s">
        <v>8</v>
      </c>
      <c r="J4" s="28" t="s">
        <v>9</v>
      </c>
      <c r="K4" s="5"/>
    </row>
    <row r="5" spans="1:11" s="4" customFormat="1" x14ac:dyDescent="0.95">
      <c r="A5" s="28"/>
      <c r="B5" s="28"/>
      <c r="C5" s="29"/>
      <c r="D5" s="29"/>
      <c r="E5" s="23" t="s">
        <v>10</v>
      </c>
      <c r="F5" s="23" t="s">
        <v>11</v>
      </c>
      <c r="G5" s="23" t="s">
        <v>10</v>
      </c>
      <c r="H5" s="23" t="s">
        <v>11</v>
      </c>
      <c r="I5" s="23" t="s">
        <v>12</v>
      </c>
      <c r="J5" s="28"/>
      <c r="K5" s="5"/>
    </row>
    <row r="6" spans="1:11" s="4" customFormat="1" x14ac:dyDescent="0.95">
      <c r="A6" s="8">
        <v>1</v>
      </c>
      <c r="B6" s="9" t="s">
        <v>13</v>
      </c>
      <c r="C6" s="10"/>
      <c r="D6" s="11"/>
      <c r="E6" s="10"/>
      <c r="F6" s="10"/>
      <c r="G6" s="10"/>
      <c r="H6" s="10"/>
      <c r="I6" s="10"/>
      <c r="J6" s="9"/>
      <c r="K6" s="5"/>
    </row>
    <row r="7" spans="1:11" s="4" customFormat="1" x14ac:dyDescent="0.95">
      <c r="A7" s="17"/>
      <c r="B7" s="13" t="s">
        <v>14</v>
      </c>
      <c r="C7" s="18"/>
      <c r="D7" s="19"/>
      <c r="E7" s="18"/>
      <c r="F7" s="18"/>
      <c r="G7" s="18"/>
      <c r="H7" s="18"/>
      <c r="I7" s="18"/>
      <c r="J7" s="13"/>
      <c r="K7" s="5"/>
    </row>
    <row r="8" spans="1:11" x14ac:dyDescent="0.95">
      <c r="A8" s="12"/>
      <c r="B8" s="16" t="s">
        <v>15</v>
      </c>
      <c r="C8" s="14">
        <v>13.33</v>
      </c>
      <c r="D8" s="15" t="s">
        <v>16</v>
      </c>
      <c r="E8" s="14">
        <v>3500</v>
      </c>
      <c r="F8" s="14">
        <v>46666.67</v>
      </c>
      <c r="G8" s="14">
        <v>0</v>
      </c>
      <c r="H8" s="14">
        <v>0</v>
      </c>
      <c r="I8" s="14">
        <f>ROUND(F8+H8,2)</f>
        <v>46666.67</v>
      </c>
      <c r="J8" s="16"/>
      <c r="K8" s="1"/>
    </row>
    <row r="9" spans="1:11" x14ac:dyDescent="0.95">
      <c r="A9" s="12"/>
      <c r="B9" s="16" t="s">
        <v>17</v>
      </c>
      <c r="C9" s="14">
        <v>7.33</v>
      </c>
      <c r="D9" s="15" t="s">
        <v>18</v>
      </c>
      <c r="E9" s="14">
        <v>1500</v>
      </c>
      <c r="F9" s="14">
        <v>11000</v>
      </c>
      <c r="G9" s="14">
        <v>0</v>
      </c>
      <c r="H9" s="14">
        <v>9000</v>
      </c>
      <c r="I9" s="14">
        <f>ROUND(F9+H9,2)</f>
        <v>20000</v>
      </c>
      <c r="J9" s="16"/>
      <c r="K9" s="1"/>
    </row>
    <row r="10" spans="1:11" x14ac:dyDescent="0.95">
      <c r="A10" s="12"/>
      <c r="B10" s="16" t="s">
        <v>19</v>
      </c>
      <c r="C10" s="14">
        <v>0</v>
      </c>
      <c r="D10" s="15" t="s">
        <v>18</v>
      </c>
      <c r="E10" s="14">
        <v>0</v>
      </c>
      <c r="F10" s="14">
        <v>0</v>
      </c>
      <c r="G10" s="14">
        <v>0</v>
      </c>
      <c r="H10" s="14">
        <v>0</v>
      </c>
      <c r="I10" s="14">
        <f>ROUND(F10+H10,2)</f>
        <v>0</v>
      </c>
      <c r="J10" s="16"/>
      <c r="K10" s="1"/>
    </row>
    <row r="11" spans="1:11" x14ac:dyDescent="0.95">
      <c r="A11" s="12"/>
      <c r="B11" s="16" t="s">
        <v>20</v>
      </c>
      <c r="C11" s="14">
        <v>53.33</v>
      </c>
      <c r="D11" s="15" t="s">
        <v>18</v>
      </c>
      <c r="E11" s="14">
        <v>100</v>
      </c>
      <c r="F11" s="14">
        <v>5333.33</v>
      </c>
      <c r="G11" s="14">
        <v>0</v>
      </c>
      <c r="H11" s="14">
        <v>1800</v>
      </c>
      <c r="I11" s="14">
        <f>ROUND(F11+H11,2)</f>
        <v>7133.33</v>
      </c>
      <c r="J11" s="16"/>
      <c r="K11" s="1"/>
    </row>
    <row r="12" spans="1:11" s="4" customFormat="1" x14ac:dyDescent="0.95">
      <c r="A12" s="17"/>
      <c r="B12" s="13" t="s">
        <v>21</v>
      </c>
      <c r="C12" s="18"/>
      <c r="D12" s="19"/>
      <c r="E12" s="18"/>
      <c r="F12" s="18">
        <f>ROUND(SUM(F8,F9,F10,F11),2)</f>
        <v>63000</v>
      </c>
      <c r="G12" s="18"/>
      <c r="H12" s="18">
        <f>ROUND(SUM(H8,H9,H10,H11),2)</f>
        <v>10800</v>
      </c>
      <c r="I12" s="18">
        <f>ROUND(F12+H12,2)</f>
        <v>73800</v>
      </c>
      <c r="J12" s="13"/>
      <c r="K12" s="5"/>
    </row>
    <row r="13" spans="1:11" s="4" customFormat="1" x14ac:dyDescent="0.95">
      <c r="A13" s="17"/>
      <c r="B13" s="13" t="s">
        <v>22</v>
      </c>
      <c r="C13" s="18"/>
      <c r="D13" s="19"/>
      <c r="E13" s="18"/>
      <c r="F13" s="18"/>
      <c r="G13" s="18"/>
      <c r="H13" s="18"/>
      <c r="I13" s="18"/>
      <c r="J13" s="13"/>
      <c r="K13" s="5"/>
    </row>
    <row r="14" spans="1:11" x14ac:dyDescent="0.95">
      <c r="A14" s="12"/>
      <c r="B14" s="16" t="s">
        <v>23</v>
      </c>
      <c r="C14" s="14">
        <v>60</v>
      </c>
      <c r="D14" s="15" t="s">
        <v>24</v>
      </c>
      <c r="E14" s="14">
        <v>2080</v>
      </c>
      <c r="F14" s="14">
        <f>E14*C14</f>
        <v>124800</v>
      </c>
      <c r="G14" s="14">
        <v>750</v>
      </c>
      <c r="H14" s="14">
        <v>53000</v>
      </c>
      <c r="I14" s="14">
        <f>ROUND(F14+H14,2)</f>
        <v>177800</v>
      </c>
      <c r="J14" s="16"/>
      <c r="K14" s="1"/>
    </row>
    <row r="15" spans="1:11" x14ac:dyDescent="0.95">
      <c r="A15" s="12"/>
      <c r="B15" s="16" t="s">
        <v>25</v>
      </c>
      <c r="C15" s="14">
        <v>0</v>
      </c>
      <c r="D15" s="15" t="s">
        <v>24</v>
      </c>
      <c r="E15" s="14">
        <v>0</v>
      </c>
      <c r="F15" s="14">
        <v>0</v>
      </c>
      <c r="G15" s="14">
        <v>0</v>
      </c>
      <c r="H15" s="14">
        <v>0</v>
      </c>
      <c r="I15" s="14">
        <f>ROUND(F15+H15,2)</f>
        <v>0</v>
      </c>
      <c r="J15" s="16"/>
      <c r="K15" s="1"/>
    </row>
    <row r="16" spans="1:11" s="4" customFormat="1" x14ac:dyDescent="0.95">
      <c r="A16" s="17"/>
      <c r="B16" s="13" t="s">
        <v>26</v>
      </c>
      <c r="C16" s="18"/>
      <c r="D16" s="19"/>
      <c r="E16" s="18"/>
      <c r="F16" s="18">
        <f>ROUND(SUM(F14,F15),2)</f>
        <v>124800</v>
      </c>
      <c r="G16" s="18"/>
      <c r="H16" s="18">
        <f>ROUND(SUM(H14,H15),2)</f>
        <v>53000</v>
      </c>
      <c r="I16" s="18">
        <f>ROUND(F16+H16,2)</f>
        <v>177800</v>
      </c>
      <c r="J16" s="13"/>
      <c r="K16" s="5"/>
    </row>
    <row r="17" spans="1:11" s="4" customFormat="1" x14ac:dyDescent="0.95">
      <c r="A17" s="17"/>
      <c r="B17" s="13" t="s">
        <v>27</v>
      </c>
      <c r="C17" s="18"/>
      <c r="D17" s="19"/>
      <c r="E17" s="18"/>
      <c r="F17" s="18"/>
      <c r="G17" s="18"/>
      <c r="H17" s="18"/>
      <c r="I17" s="18"/>
      <c r="J17" s="13"/>
      <c r="K17" s="5"/>
    </row>
    <row r="18" spans="1:11" x14ac:dyDescent="0.95">
      <c r="A18" s="12"/>
      <c r="B18" s="16" t="s">
        <v>28</v>
      </c>
      <c r="C18" s="14">
        <v>26.67</v>
      </c>
      <c r="D18" s="15" t="s">
        <v>29</v>
      </c>
      <c r="E18" s="14">
        <v>590</v>
      </c>
      <c r="F18" s="14">
        <v>15733.33</v>
      </c>
      <c r="G18" s="14">
        <v>0</v>
      </c>
      <c r="H18" s="14">
        <v>0</v>
      </c>
      <c r="I18" s="14">
        <f t="shared" ref="I18:I23" si="0">ROUND(F18+H18,2)</f>
        <v>15733.33</v>
      </c>
      <c r="J18" s="16"/>
      <c r="K18" s="1"/>
    </row>
    <row r="19" spans="1:11" x14ac:dyDescent="0.95">
      <c r="A19" s="12"/>
      <c r="B19" s="16" t="s">
        <v>30</v>
      </c>
      <c r="C19" s="14">
        <v>0</v>
      </c>
      <c r="D19" s="15" t="s">
        <v>31</v>
      </c>
      <c r="E19" s="14">
        <v>0</v>
      </c>
      <c r="F19" s="14">
        <v>0</v>
      </c>
      <c r="G19" s="14">
        <v>0</v>
      </c>
      <c r="H19" s="14">
        <v>0</v>
      </c>
      <c r="I19" s="14">
        <f t="shared" si="0"/>
        <v>0</v>
      </c>
      <c r="J19" s="16"/>
      <c r="K19" s="1"/>
    </row>
    <row r="20" spans="1:11" x14ac:dyDescent="0.95">
      <c r="A20" s="12"/>
      <c r="B20" s="16" t="s">
        <v>32</v>
      </c>
      <c r="C20" s="14">
        <v>266.67</v>
      </c>
      <c r="D20" s="15" t="s">
        <v>24</v>
      </c>
      <c r="E20" s="14">
        <v>25</v>
      </c>
      <c r="F20" s="14">
        <v>6666.67</v>
      </c>
      <c r="G20" s="14">
        <v>0</v>
      </c>
      <c r="H20" s="14">
        <v>0</v>
      </c>
      <c r="I20" s="14">
        <f t="shared" si="0"/>
        <v>6666.67</v>
      </c>
      <c r="J20" s="16"/>
      <c r="K20" s="1"/>
    </row>
    <row r="21" spans="1:11" x14ac:dyDescent="0.95">
      <c r="A21" s="12"/>
      <c r="B21" s="16" t="s">
        <v>33</v>
      </c>
      <c r="C21" s="14">
        <v>0</v>
      </c>
      <c r="D21" s="15" t="s">
        <v>34</v>
      </c>
      <c r="E21" s="14">
        <v>0</v>
      </c>
      <c r="F21" s="14">
        <v>0</v>
      </c>
      <c r="G21" s="14">
        <v>0</v>
      </c>
      <c r="H21" s="14">
        <v>0</v>
      </c>
      <c r="I21" s="14">
        <f t="shared" si="0"/>
        <v>0</v>
      </c>
      <c r="J21" s="16"/>
      <c r="K21" s="1"/>
    </row>
    <row r="22" spans="1:11" x14ac:dyDescent="0.95">
      <c r="A22" s="12"/>
      <c r="B22" s="16" t="s">
        <v>35</v>
      </c>
      <c r="C22" s="14">
        <v>0</v>
      </c>
      <c r="D22" s="15" t="s">
        <v>36</v>
      </c>
      <c r="E22" s="14">
        <v>0</v>
      </c>
      <c r="F22" s="14">
        <v>0</v>
      </c>
      <c r="G22" s="14">
        <v>0</v>
      </c>
      <c r="H22" s="14">
        <v>0</v>
      </c>
      <c r="I22" s="14">
        <f t="shared" si="0"/>
        <v>0</v>
      </c>
      <c r="J22" s="16"/>
      <c r="K22" s="1"/>
    </row>
    <row r="23" spans="1:11" s="4" customFormat="1" x14ac:dyDescent="0.95">
      <c r="A23" s="17"/>
      <c r="B23" s="13" t="s">
        <v>37</v>
      </c>
      <c r="C23" s="18"/>
      <c r="D23" s="19"/>
      <c r="E23" s="18"/>
      <c r="F23" s="18">
        <f>ROUND(SUM(F18,F19,F20,F21,F22),2)</f>
        <v>22400</v>
      </c>
      <c r="G23" s="18"/>
      <c r="H23" s="18">
        <f>ROUND(SUM(H18,H19,H20,H21,H22),2)</f>
        <v>0</v>
      </c>
      <c r="I23" s="18">
        <f t="shared" si="0"/>
        <v>22400</v>
      </c>
      <c r="J23" s="13"/>
      <c r="K23" s="5"/>
    </row>
    <row r="24" spans="1:11" s="4" customFormat="1" x14ac:dyDescent="0.95">
      <c r="A24" s="17"/>
      <c r="B24" s="13" t="s">
        <v>38</v>
      </c>
      <c r="C24" s="18"/>
      <c r="D24" s="19"/>
      <c r="E24" s="18"/>
      <c r="F24" s="18"/>
      <c r="G24" s="18"/>
      <c r="H24" s="18"/>
      <c r="I24" s="18"/>
      <c r="J24" s="13"/>
      <c r="K24" s="5"/>
    </row>
    <row r="25" spans="1:11" x14ac:dyDescent="0.95">
      <c r="A25" s="12"/>
      <c r="B25" s="16" t="s">
        <v>39</v>
      </c>
      <c r="C25" s="14">
        <v>20</v>
      </c>
      <c r="D25" s="15" t="s">
        <v>18</v>
      </c>
      <c r="E25" s="14">
        <v>1300</v>
      </c>
      <c r="F25" s="14">
        <v>26000</v>
      </c>
      <c r="G25" s="14">
        <v>173.47</v>
      </c>
      <c r="H25" s="14">
        <v>69388</v>
      </c>
      <c r="I25" s="14">
        <f>ROUND(F25+H25,2)</f>
        <v>95388</v>
      </c>
      <c r="J25" s="16"/>
      <c r="K25" s="1"/>
    </row>
    <row r="26" spans="1:11" x14ac:dyDescent="0.95">
      <c r="A26" s="12"/>
      <c r="B26" s="16" t="s">
        <v>17</v>
      </c>
      <c r="C26" s="14">
        <v>73.33</v>
      </c>
      <c r="D26" s="15" t="s">
        <v>18</v>
      </c>
      <c r="E26" s="14">
        <v>1500</v>
      </c>
      <c r="F26" s="14">
        <v>110000</v>
      </c>
      <c r="G26" s="14">
        <v>0</v>
      </c>
      <c r="H26" s="14">
        <v>0</v>
      </c>
      <c r="I26" s="14">
        <f>ROUND(F26+H26,2)</f>
        <v>110000</v>
      </c>
      <c r="J26" s="16"/>
      <c r="K26" s="1"/>
    </row>
    <row r="27" spans="1:11" x14ac:dyDescent="0.95">
      <c r="A27" s="12"/>
      <c r="B27" s="16" t="s">
        <v>40</v>
      </c>
      <c r="C27" s="14">
        <v>0</v>
      </c>
      <c r="D27" s="15" t="s">
        <v>18</v>
      </c>
      <c r="E27" s="14">
        <v>1600</v>
      </c>
      <c r="F27" s="14">
        <v>0</v>
      </c>
      <c r="G27" s="14">
        <v>0</v>
      </c>
      <c r="H27" s="14">
        <v>9600</v>
      </c>
      <c r="I27" s="14">
        <f>ROUND(F27+H27,2)</f>
        <v>9600</v>
      </c>
      <c r="J27" s="16"/>
      <c r="K27" s="1"/>
    </row>
    <row r="28" spans="1:11" x14ac:dyDescent="0.95">
      <c r="A28" s="12"/>
      <c r="B28" s="16" t="s">
        <v>41</v>
      </c>
      <c r="C28" s="14">
        <v>800</v>
      </c>
      <c r="D28" s="15" t="s">
        <v>36</v>
      </c>
      <c r="E28" s="14">
        <v>74.2</v>
      </c>
      <c r="F28" s="14">
        <v>59360</v>
      </c>
      <c r="G28" s="14">
        <v>0</v>
      </c>
      <c r="H28" s="14">
        <v>890.4</v>
      </c>
      <c r="I28" s="14">
        <f>ROUND(F28+H28,2)</f>
        <v>60250.400000000001</v>
      </c>
      <c r="J28" s="16"/>
      <c r="K28" s="1"/>
    </row>
    <row r="29" spans="1:11" s="4" customFormat="1" x14ac:dyDescent="0.95">
      <c r="A29" s="17"/>
      <c r="B29" s="13" t="s">
        <v>42</v>
      </c>
      <c r="C29" s="18"/>
      <c r="D29" s="19"/>
      <c r="E29" s="18"/>
      <c r="F29" s="18">
        <f>ROUND(SUM(F25,F26,F27,F28),2)</f>
        <v>195360</v>
      </c>
      <c r="G29" s="18"/>
      <c r="H29" s="18">
        <f>ROUND(SUM(H25,H26,H27,H28),2)</f>
        <v>79878.399999999994</v>
      </c>
      <c r="I29" s="18">
        <f>ROUND(F29+H29,2)</f>
        <v>275238.40000000002</v>
      </c>
      <c r="J29" s="13"/>
      <c r="K29" s="5"/>
    </row>
    <row r="30" spans="1:11" s="4" customFormat="1" x14ac:dyDescent="0.95">
      <c r="A30" s="17"/>
      <c r="B30" s="13" t="s">
        <v>43</v>
      </c>
      <c r="C30" s="18"/>
      <c r="D30" s="19"/>
      <c r="E30" s="18"/>
      <c r="F30" s="18"/>
      <c r="G30" s="18"/>
      <c r="H30" s="18"/>
      <c r="I30" s="18"/>
      <c r="J30" s="13"/>
      <c r="K30" s="5"/>
    </row>
    <row r="31" spans="1:11" x14ac:dyDescent="0.95">
      <c r="A31" s="12"/>
      <c r="B31" s="16" t="s">
        <v>44</v>
      </c>
      <c r="C31" s="14">
        <v>0.15</v>
      </c>
      <c r="D31" s="15" t="s">
        <v>45</v>
      </c>
      <c r="E31" s="14">
        <v>64</v>
      </c>
      <c r="F31" s="14">
        <v>4266.67</v>
      </c>
      <c r="G31" s="14">
        <v>0</v>
      </c>
      <c r="H31" s="14">
        <v>0</v>
      </c>
      <c r="I31" s="14">
        <f t="shared" ref="I31:I36" si="1">ROUND(F31+H31,2)</f>
        <v>4266.67</v>
      </c>
      <c r="J31" s="16"/>
      <c r="K31" s="1"/>
    </row>
    <row r="32" spans="1:11" x14ac:dyDescent="0.95">
      <c r="A32" s="12"/>
      <c r="B32" s="16" t="s">
        <v>46</v>
      </c>
      <c r="C32" s="14">
        <v>0.43</v>
      </c>
      <c r="D32" s="15" t="s">
        <v>45</v>
      </c>
      <c r="E32" s="14">
        <v>137</v>
      </c>
      <c r="F32" s="14">
        <v>11873.33</v>
      </c>
      <c r="G32" s="14">
        <v>1</v>
      </c>
      <c r="H32" s="14">
        <v>274</v>
      </c>
      <c r="I32" s="14">
        <f t="shared" si="1"/>
        <v>12147.33</v>
      </c>
      <c r="J32" s="16"/>
      <c r="K32" s="1"/>
    </row>
    <row r="33" spans="1:11" x14ac:dyDescent="0.95">
      <c r="A33" s="12"/>
      <c r="B33" s="16" t="s">
        <v>47</v>
      </c>
      <c r="C33" s="14">
        <v>2.5499999999999998</v>
      </c>
      <c r="D33" s="15" t="s">
        <v>45</v>
      </c>
      <c r="E33" s="14">
        <v>240</v>
      </c>
      <c r="F33" s="14">
        <v>68800</v>
      </c>
      <c r="G33" s="14">
        <v>2</v>
      </c>
      <c r="H33" s="14">
        <v>960</v>
      </c>
      <c r="I33" s="14">
        <f t="shared" si="1"/>
        <v>69760</v>
      </c>
      <c r="J33" s="16"/>
      <c r="K33" s="1"/>
    </row>
    <row r="34" spans="1:11" x14ac:dyDescent="0.95">
      <c r="A34" s="12"/>
      <c r="B34" s="16" t="s">
        <v>48</v>
      </c>
      <c r="C34" s="14">
        <v>0</v>
      </c>
      <c r="D34" s="15" t="s">
        <v>45</v>
      </c>
      <c r="E34" s="14">
        <v>425</v>
      </c>
      <c r="F34" s="14">
        <v>0</v>
      </c>
      <c r="G34" s="14">
        <v>3</v>
      </c>
      <c r="H34" s="14">
        <v>2550</v>
      </c>
      <c r="I34" s="14">
        <f t="shared" si="1"/>
        <v>2550</v>
      </c>
      <c r="J34" s="16"/>
      <c r="K34" s="1"/>
    </row>
    <row r="35" spans="1:11" x14ac:dyDescent="0.95">
      <c r="A35" s="12"/>
      <c r="B35" s="16" t="s">
        <v>49</v>
      </c>
      <c r="C35" s="14">
        <v>0</v>
      </c>
      <c r="D35" s="15" t="s">
        <v>34</v>
      </c>
      <c r="E35" s="14">
        <v>0</v>
      </c>
      <c r="F35" s="14">
        <v>0</v>
      </c>
      <c r="G35" s="14">
        <v>4</v>
      </c>
      <c r="H35" s="14">
        <v>0</v>
      </c>
      <c r="I35" s="14">
        <f t="shared" si="1"/>
        <v>0</v>
      </c>
      <c r="J35" s="16"/>
      <c r="K35" s="1"/>
    </row>
    <row r="36" spans="1:11" s="4" customFormat="1" x14ac:dyDescent="0.95">
      <c r="A36" s="17"/>
      <c r="B36" s="13" t="s">
        <v>50</v>
      </c>
      <c r="C36" s="18"/>
      <c r="D36" s="19"/>
      <c r="E36" s="18"/>
      <c r="F36" s="18">
        <f>ROUND(SUM(F31,F32,F33,F34,F35),2)</f>
        <v>84940</v>
      </c>
      <c r="G36" s="18"/>
      <c r="H36" s="18">
        <f>ROUND(SUM(H31,H32,H33,H34,H35),2)</f>
        <v>3784</v>
      </c>
      <c r="I36" s="18">
        <f t="shared" si="1"/>
        <v>88724</v>
      </c>
      <c r="J36" s="13"/>
      <c r="K36" s="5"/>
    </row>
    <row r="37" spans="1:11" s="4" customFormat="1" x14ac:dyDescent="0.95">
      <c r="A37" s="17"/>
      <c r="B37" s="13" t="s">
        <v>51</v>
      </c>
      <c r="C37" s="18"/>
      <c r="D37" s="19"/>
      <c r="E37" s="18"/>
      <c r="F37" s="18"/>
      <c r="G37" s="18"/>
      <c r="H37" s="18"/>
      <c r="I37" s="18"/>
      <c r="J37" s="13"/>
      <c r="K37" s="5"/>
    </row>
    <row r="38" spans="1:11" x14ac:dyDescent="0.95">
      <c r="A38" s="12"/>
      <c r="B38" s="16" t="s">
        <v>46</v>
      </c>
      <c r="C38" s="14">
        <v>0.4</v>
      </c>
      <c r="D38" s="15" t="s">
        <v>45</v>
      </c>
      <c r="E38" s="14">
        <v>137</v>
      </c>
      <c r="F38" s="14">
        <v>10945.36</v>
      </c>
      <c r="G38" s="14">
        <v>115</v>
      </c>
      <c r="H38" s="14">
        <v>92000</v>
      </c>
      <c r="I38" s="14">
        <f>ROUND(F38+H38,2)</f>
        <v>102945.36</v>
      </c>
      <c r="J38" s="16"/>
      <c r="K38" s="1"/>
    </row>
    <row r="39" spans="1:11" x14ac:dyDescent="0.95">
      <c r="A39" s="12"/>
      <c r="B39" s="16" t="s">
        <v>47</v>
      </c>
      <c r="C39" s="14">
        <v>0.71</v>
      </c>
      <c r="D39" s="15" t="s">
        <v>45</v>
      </c>
      <c r="E39" s="14">
        <v>240</v>
      </c>
      <c r="F39" s="14">
        <v>19099.099999999999</v>
      </c>
      <c r="G39" s="14">
        <v>0</v>
      </c>
      <c r="H39" s="14">
        <v>0</v>
      </c>
      <c r="I39" s="14">
        <f>ROUND(F39+H39,2)</f>
        <v>19099.099999999999</v>
      </c>
      <c r="J39" s="16"/>
      <c r="K39" s="1"/>
    </row>
    <row r="40" spans="1:11" x14ac:dyDescent="0.95">
      <c r="A40" s="12"/>
      <c r="B40" s="16" t="s">
        <v>52</v>
      </c>
      <c r="C40" s="14">
        <v>78.67</v>
      </c>
      <c r="D40" s="15" t="s">
        <v>18</v>
      </c>
      <c r="E40" s="14">
        <v>1600</v>
      </c>
      <c r="F40" s="14">
        <v>125866.67</v>
      </c>
      <c r="G40" s="14">
        <v>1</v>
      </c>
      <c r="H40" s="14">
        <v>3200</v>
      </c>
      <c r="I40" s="14">
        <f>ROUND(F40+H40,2)</f>
        <v>129066.67</v>
      </c>
      <c r="J40" s="16"/>
      <c r="K40" s="1"/>
    </row>
    <row r="41" spans="1:11" x14ac:dyDescent="0.95">
      <c r="A41" s="12"/>
      <c r="B41" s="16" t="s">
        <v>53</v>
      </c>
      <c r="C41" s="14">
        <v>800</v>
      </c>
      <c r="D41" s="15" t="s">
        <v>36</v>
      </c>
      <c r="E41" s="14">
        <v>74.2</v>
      </c>
      <c r="F41" s="14">
        <v>59360</v>
      </c>
      <c r="G41" s="14">
        <v>2</v>
      </c>
      <c r="H41" s="14">
        <v>296.8</v>
      </c>
      <c r="I41" s="14">
        <f>ROUND(F41+H41,2)</f>
        <v>59656.800000000003</v>
      </c>
      <c r="J41" s="16"/>
      <c r="K41" s="1"/>
    </row>
    <row r="42" spans="1:11" s="4" customFormat="1" x14ac:dyDescent="0.95">
      <c r="A42" s="17"/>
      <c r="B42" s="13" t="s">
        <v>54</v>
      </c>
      <c r="C42" s="18"/>
      <c r="D42" s="19"/>
      <c r="E42" s="18"/>
      <c r="F42" s="18">
        <f>ROUND(SUM(F38,F39,F40,F41),2)</f>
        <v>215271.13</v>
      </c>
      <c r="G42" s="18"/>
      <c r="H42" s="18">
        <f>ROUND(SUM(H38,H39,H40,H41),2)</f>
        <v>95496.8</v>
      </c>
      <c r="I42" s="18">
        <f>ROUND(F42+H42,2)</f>
        <v>310767.93</v>
      </c>
      <c r="J42" s="13"/>
      <c r="K42" s="5"/>
    </row>
    <row r="43" spans="1:11" s="4" customFormat="1" x14ac:dyDescent="0.95">
      <c r="A43" s="17"/>
      <c r="B43" s="13" t="s">
        <v>55</v>
      </c>
      <c r="C43" s="18"/>
      <c r="D43" s="19"/>
      <c r="E43" s="18"/>
      <c r="F43" s="18"/>
      <c r="G43" s="18"/>
      <c r="H43" s="18"/>
      <c r="I43" s="18"/>
      <c r="J43" s="13"/>
      <c r="K43" s="5"/>
    </row>
    <row r="44" spans="1:11" x14ac:dyDescent="0.95">
      <c r="A44" s="12"/>
      <c r="B44" s="16" t="s">
        <v>56</v>
      </c>
      <c r="C44" s="14">
        <v>16</v>
      </c>
      <c r="D44" s="15" t="s">
        <v>57</v>
      </c>
      <c r="E44" s="14">
        <v>225</v>
      </c>
      <c r="F44" s="14">
        <v>3600</v>
      </c>
      <c r="G44" s="14">
        <v>0</v>
      </c>
      <c r="H44" s="14">
        <v>0</v>
      </c>
      <c r="I44" s="14">
        <f t="shared" ref="I44:I64" si="2">ROUND(F44+H44,2)</f>
        <v>3600</v>
      </c>
      <c r="J44" s="16"/>
      <c r="K44" s="1"/>
    </row>
    <row r="45" spans="1:11" x14ac:dyDescent="0.95">
      <c r="A45" s="12"/>
      <c r="B45" s="16" t="s">
        <v>58</v>
      </c>
      <c r="C45" s="14">
        <v>97.33</v>
      </c>
      <c r="D45" s="15" t="s">
        <v>57</v>
      </c>
      <c r="E45" s="14">
        <v>500</v>
      </c>
      <c r="F45" s="14">
        <v>48666.67</v>
      </c>
      <c r="G45" s="14">
        <v>0</v>
      </c>
      <c r="H45" s="14">
        <v>0</v>
      </c>
      <c r="I45" s="14">
        <f t="shared" si="2"/>
        <v>48666.67</v>
      </c>
      <c r="J45" s="16"/>
      <c r="K45" s="1"/>
    </row>
    <row r="46" spans="1:11" x14ac:dyDescent="0.95">
      <c r="A46" s="12"/>
      <c r="B46" s="16" t="s">
        <v>59</v>
      </c>
      <c r="C46" s="14">
        <v>61.33</v>
      </c>
      <c r="D46" s="15" t="s">
        <v>57</v>
      </c>
      <c r="E46" s="14">
        <v>650</v>
      </c>
      <c r="F46" s="14">
        <v>39866.67</v>
      </c>
      <c r="G46" s="14">
        <v>0</v>
      </c>
      <c r="H46" s="14">
        <v>0</v>
      </c>
      <c r="I46" s="14">
        <f t="shared" si="2"/>
        <v>39866.67</v>
      </c>
      <c r="J46" s="16"/>
      <c r="K46" s="1"/>
    </row>
    <row r="47" spans="1:11" x14ac:dyDescent="0.95">
      <c r="A47" s="12"/>
      <c r="B47" s="16" t="s">
        <v>60</v>
      </c>
      <c r="C47" s="14">
        <v>37.33</v>
      </c>
      <c r="D47" s="15" t="s">
        <v>57</v>
      </c>
      <c r="E47" s="14">
        <v>740</v>
      </c>
      <c r="F47" s="14">
        <v>27626.67</v>
      </c>
      <c r="G47" s="14">
        <v>0</v>
      </c>
      <c r="H47" s="14">
        <v>0</v>
      </c>
      <c r="I47" s="14">
        <f t="shared" si="2"/>
        <v>27626.67</v>
      </c>
      <c r="J47" s="16"/>
      <c r="K47" s="1"/>
    </row>
    <row r="48" spans="1:11" x14ac:dyDescent="0.95">
      <c r="A48" s="12"/>
      <c r="B48" s="16" t="s">
        <v>61</v>
      </c>
      <c r="C48" s="14">
        <v>2.67</v>
      </c>
      <c r="D48" s="15" t="s">
        <v>57</v>
      </c>
      <c r="E48" s="14">
        <v>1900</v>
      </c>
      <c r="F48" s="14">
        <v>5066.67</v>
      </c>
      <c r="G48" s="14">
        <v>0</v>
      </c>
      <c r="H48" s="14">
        <v>0</v>
      </c>
      <c r="I48" s="14">
        <f t="shared" si="2"/>
        <v>5066.67</v>
      </c>
      <c r="J48" s="16"/>
      <c r="K48" s="1"/>
    </row>
    <row r="49" spans="1:11" x14ac:dyDescent="0.95">
      <c r="A49" s="12"/>
      <c r="B49" s="16" t="s">
        <v>62</v>
      </c>
      <c r="C49" s="14">
        <v>1.33</v>
      </c>
      <c r="D49" s="15" t="s">
        <v>57</v>
      </c>
      <c r="E49" s="14">
        <v>905</v>
      </c>
      <c r="F49" s="14">
        <v>1206.67</v>
      </c>
      <c r="G49" s="14">
        <v>0</v>
      </c>
      <c r="H49" s="14">
        <v>0</v>
      </c>
      <c r="I49" s="14">
        <f t="shared" si="2"/>
        <v>1206.67</v>
      </c>
      <c r="J49" s="16"/>
      <c r="K49" s="1"/>
    </row>
    <row r="50" spans="1:11" x14ac:dyDescent="0.95">
      <c r="A50" s="12"/>
      <c r="B50" s="16" t="s">
        <v>63</v>
      </c>
      <c r="C50" s="14">
        <v>10.67</v>
      </c>
      <c r="D50" s="15" t="s">
        <v>57</v>
      </c>
      <c r="E50" s="14">
        <v>1040</v>
      </c>
      <c r="F50" s="14">
        <v>11093.33</v>
      </c>
      <c r="G50" s="14">
        <v>0</v>
      </c>
      <c r="H50" s="14">
        <v>0</v>
      </c>
      <c r="I50" s="14">
        <f t="shared" si="2"/>
        <v>11093.33</v>
      </c>
      <c r="J50" s="16"/>
      <c r="K50" s="1"/>
    </row>
    <row r="51" spans="1:11" x14ac:dyDescent="0.95">
      <c r="A51" s="12"/>
      <c r="B51" s="16" t="s">
        <v>64</v>
      </c>
      <c r="C51" s="14">
        <v>8</v>
      </c>
      <c r="D51" s="15" t="s">
        <v>29</v>
      </c>
      <c r="E51" s="14">
        <v>109</v>
      </c>
      <c r="F51" s="14">
        <v>872</v>
      </c>
      <c r="G51" s="14">
        <v>0</v>
      </c>
      <c r="H51" s="14">
        <v>0</v>
      </c>
      <c r="I51" s="14">
        <f t="shared" si="2"/>
        <v>872</v>
      </c>
      <c r="J51" s="16"/>
      <c r="K51" s="1"/>
    </row>
    <row r="52" spans="1:11" x14ac:dyDescent="0.95">
      <c r="A52" s="12"/>
      <c r="B52" s="16" t="s">
        <v>65</v>
      </c>
      <c r="C52" s="14">
        <v>18.670000000000002</v>
      </c>
      <c r="D52" s="15" t="s">
        <v>29</v>
      </c>
      <c r="E52" s="14">
        <v>53</v>
      </c>
      <c r="F52" s="14">
        <v>989.33</v>
      </c>
      <c r="G52" s="14">
        <v>0</v>
      </c>
      <c r="H52" s="14">
        <v>0</v>
      </c>
      <c r="I52" s="14">
        <f t="shared" si="2"/>
        <v>989.33</v>
      </c>
      <c r="J52" s="16"/>
      <c r="K52" s="1"/>
    </row>
    <row r="53" spans="1:11" x14ac:dyDescent="0.95">
      <c r="A53" s="12"/>
      <c r="B53" s="16" t="s">
        <v>66</v>
      </c>
      <c r="C53" s="14">
        <v>1.33</v>
      </c>
      <c r="D53" s="15" t="s">
        <v>29</v>
      </c>
      <c r="E53" s="14">
        <v>670</v>
      </c>
      <c r="F53" s="14">
        <v>893.33</v>
      </c>
      <c r="G53" s="14">
        <v>0</v>
      </c>
      <c r="H53" s="14">
        <v>0</v>
      </c>
      <c r="I53" s="14">
        <f t="shared" si="2"/>
        <v>893.33</v>
      </c>
      <c r="J53" s="16"/>
      <c r="K53" s="1"/>
    </row>
    <row r="54" spans="1:11" x14ac:dyDescent="0.95">
      <c r="A54" s="12"/>
      <c r="B54" s="16" t="s">
        <v>67</v>
      </c>
      <c r="C54" s="14">
        <v>1.33</v>
      </c>
      <c r="D54" s="15" t="s">
        <v>68</v>
      </c>
      <c r="E54" s="14">
        <v>1500</v>
      </c>
      <c r="F54" s="14">
        <v>2000</v>
      </c>
      <c r="G54" s="14">
        <v>0</v>
      </c>
      <c r="H54" s="14">
        <v>0</v>
      </c>
      <c r="I54" s="14">
        <f t="shared" si="2"/>
        <v>2000</v>
      </c>
      <c r="J54" s="16"/>
      <c r="K54" s="1"/>
    </row>
    <row r="55" spans="1:11" x14ac:dyDescent="0.95">
      <c r="A55" s="12"/>
      <c r="B55" s="16" t="s">
        <v>69</v>
      </c>
      <c r="C55" s="14">
        <v>8</v>
      </c>
      <c r="D55" s="15" t="s">
        <v>70</v>
      </c>
      <c r="E55" s="14">
        <v>1189</v>
      </c>
      <c r="F55" s="14">
        <v>9512</v>
      </c>
      <c r="G55" s="14">
        <v>0</v>
      </c>
      <c r="H55" s="14">
        <v>0</v>
      </c>
      <c r="I55" s="14">
        <f t="shared" si="2"/>
        <v>9512</v>
      </c>
      <c r="J55" s="16"/>
      <c r="K55" s="1"/>
    </row>
    <row r="56" spans="1:11" x14ac:dyDescent="0.95">
      <c r="A56" s="12"/>
      <c r="B56" s="16" t="s">
        <v>71</v>
      </c>
      <c r="C56" s="14">
        <v>13.33</v>
      </c>
      <c r="D56" s="15" t="s">
        <v>70</v>
      </c>
      <c r="E56" s="14">
        <v>499</v>
      </c>
      <c r="F56" s="14">
        <v>6653.33</v>
      </c>
      <c r="G56" s="14">
        <v>0</v>
      </c>
      <c r="H56" s="14">
        <v>0</v>
      </c>
      <c r="I56" s="14">
        <f t="shared" si="2"/>
        <v>6653.33</v>
      </c>
      <c r="J56" s="16"/>
      <c r="K56" s="1"/>
    </row>
    <row r="57" spans="1:11" x14ac:dyDescent="0.95">
      <c r="A57" s="12"/>
      <c r="B57" s="16" t="s">
        <v>72</v>
      </c>
      <c r="C57" s="14">
        <v>13.33</v>
      </c>
      <c r="D57" s="15" t="s">
        <v>73</v>
      </c>
      <c r="E57" s="14">
        <v>98</v>
      </c>
      <c r="F57" s="14">
        <v>1306.67</v>
      </c>
      <c r="G57" s="14">
        <v>0</v>
      </c>
      <c r="H57" s="14">
        <v>0</v>
      </c>
      <c r="I57" s="14">
        <f t="shared" si="2"/>
        <v>1306.67</v>
      </c>
      <c r="J57" s="16"/>
      <c r="K57" s="1"/>
    </row>
    <row r="58" spans="1:11" x14ac:dyDescent="0.95">
      <c r="A58" s="12"/>
      <c r="B58" s="16" t="s">
        <v>74</v>
      </c>
      <c r="C58" s="14">
        <v>595.24</v>
      </c>
      <c r="D58" s="15" t="s">
        <v>75</v>
      </c>
      <c r="E58" s="14">
        <v>0</v>
      </c>
      <c r="F58" s="14">
        <v>0</v>
      </c>
      <c r="G58" s="14">
        <v>0</v>
      </c>
      <c r="H58" s="14">
        <v>60268.05</v>
      </c>
      <c r="I58" s="14">
        <f t="shared" si="2"/>
        <v>60268.05</v>
      </c>
      <c r="J58" s="16"/>
      <c r="K58" s="1"/>
    </row>
    <row r="59" spans="1:11" x14ac:dyDescent="0.95">
      <c r="A59" s="12"/>
      <c r="B59" s="16" t="s">
        <v>76</v>
      </c>
      <c r="C59" s="14">
        <v>2</v>
      </c>
      <c r="D59" s="15" t="s">
        <v>77</v>
      </c>
      <c r="E59" s="14">
        <v>0</v>
      </c>
      <c r="F59" s="14">
        <v>0</v>
      </c>
      <c r="G59" s="14">
        <v>1000</v>
      </c>
      <c r="H59" s="14">
        <v>2000</v>
      </c>
      <c r="I59" s="14">
        <f t="shared" si="2"/>
        <v>2000</v>
      </c>
      <c r="J59" s="16"/>
      <c r="K59" s="1"/>
    </row>
    <row r="60" spans="1:11" x14ac:dyDescent="0.95">
      <c r="A60" s="12"/>
      <c r="B60" s="16" t="s">
        <v>78</v>
      </c>
      <c r="C60" s="14">
        <v>14.67</v>
      </c>
      <c r="D60" s="15" t="s">
        <v>24</v>
      </c>
      <c r="E60" s="14">
        <v>0</v>
      </c>
      <c r="F60" s="14">
        <v>0</v>
      </c>
      <c r="G60" s="14">
        <v>300</v>
      </c>
      <c r="H60" s="14">
        <v>4400</v>
      </c>
      <c r="I60" s="14">
        <f t="shared" si="2"/>
        <v>4400</v>
      </c>
      <c r="J60" s="16"/>
      <c r="K60" s="1"/>
    </row>
    <row r="61" spans="1:11" x14ac:dyDescent="0.95">
      <c r="A61" s="12"/>
      <c r="B61" s="16" t="s">
        <v>79</v>
      </c>
      <c r="C61" s="14">
        <v>10.67</v>
      </c>
      <c r="D61" s="15" t="s">
        <v>24</v>
      </c>
      <c r="E61" s="14">
        <v>0</v>
      </c>
      <c r="F61" s="14">
        <v>0</v>
      </c>
      <c r="G61" s="14">
        <v>500</v>
      </c>
      <c r="H61" s="14">
        <v>5333.33</v>
      </c>
      <c r="I61" s="14">
        <f t="shared" si="2"/>
        <v>5333.33</v>
      </c>
      <c r="J61" s="16"/>
      <c r="K61" s="1"/>
    </row>
    <row r="62" spans="1:11" x14ac:dyDescent="0.95">
      <c r="A62" s="12"/>
      <c r="B62" s="16" t="s">
        <v>80</v>
      </c>
      <c r="C62" s="14">
        <v>32</v>
      </c>
      <c r="D62" s="15" t="s">
        <v>81</v>
      </c>
      <c r="E62" s="14">
        <v>0</v>
      </c>
      <c r="F62" s="14">
        <v>0</v>
      </c>
      <c r="G62" s="14">
        <v>80</v>
      </c>
      <c r="H62" s="14">
        <v>2560</v>
      </c>
      <c r="I62" s="14">
        <f t="shared" si="2"/>
        <v>2560</v>
      </c>
      <c r="J62" s="16"/>
      <c r="K62" s="1"/>
    </row>
    <row r="63" spans="1:11" s="4" customFormat="1" x14ac:dyDescent="0.95">
      <c r="A63" s="17"/>
      <c r="B63" s="13" t="s">
        <v>82</v>
      </c>
      <c r="C63" s="18"/>
      <c r="D63" s="19"/>
      <c r="E63" s="18"/>
      <c r="F63" s="18">
        <f>ROUND(SUM(F44,F45,F46,F47,F48,F49,F50,F51,F52,F53,F54,F55,F56,F57,F58,F59,F60,F61,F62),2)</f>
        <v>159353.34</v>
      </c>
      <c r="G63" s="18"/>
      <c r="H63" s="18">
        <f>ROUND(SUM(H44,H45,H46,H47,H48,H49,H50,H51,H52,H53,H54,H55,H56,H57,H58,H59,H60,H61,H62),2)</f>
        <v>74561.38</v>
      </c>
      <c r="I63" s="18">
        <f t="shared" si="2"/>
        <v>233914.72</v>
      </c>
      <c r="J63" s="13"/>
      <c r="K63" s="5"/>
    </row>
    <row r="64" spans="1:11" s="4" customFormat="1" x14ac:dyDescent="0.95">
      <c r="A64" s="8">
        <v>1</v>
      </c>
      <c r="B64" s="9" t="s">
        <v>83</v>
      </c>
      <c r="C64" s="10"/>
      <c r="D64" s="11" t="s">
        <v>84</v>
      </c>
      <c r="E64" s="10"/>
      <c r="F64" s="10">
        <f>ROUND(SUM(F8,F9,F10,F11,F14,F15,F18,F19,F20,F21,F22,F25,F26,F27,F28,F31,F32,F33,F34,F35,F38,F39,F40,F41,F44,F45,F46,F47,F48,F49,F50,F51,F52,F53,F54,F55,F56,F57,F58,F59,F60,F61,F62),2)</f>
        <v>865124.47</v>
      </c>
      <c r="G64" s="10"/>
      <c r="H64" s="10">
        <f>ROUND(SUM(H8,H9,H10,H11,H14,H15,H18,H19,H20,H21,H22,H25,H26,H27,H28,H31,H32,H33,H34,H35,H38,H39,H40,H41,H44,H45,H46,H47,H48,H49,H50,H51,H52,H53,H54,H55,H56,H57,H58,H59,H60,H61,H62),2)</f>
        <v>317520.58</v>
      </c>
      <c r="I64" s="10">
        <f t="shared" si="2"/>
        <v>1182645.05</v>
      </c>
      <c r="J64" s="9"/>
      <c r="K64" s="5"/>
    </row>
    <row r="65" spans="1:11" x14ac:dyDescent="0.95">
      <c r="A65" s="25"/>
      <c r="B65" s="26"/>
      <c r="C65" s="26"/>
      <c r="D65" s="26"/>
      <c r="E65" s="26"/>
      <c r="F65" s="26"/>
      <c r="G65" s="26"/>
      <c r="H65" s="26"/>
      <c r="I65" s="26"/>
      <c r="J65" s="27"/>
      <c r="K65" s="1"/>
    </row>
    <row r="66" spans="1:11" s="4" customFormat="1" x14ac:dyDescent="0.95">
      <c r="A66" s="8">
        <v>2</v>
      </c>
      <c r="B66" s="9" t="s">
        <v>85</v>
      </c>
      <c r="C66" s="10"/>
      <c r="D66" s="11"/>
      <c r="E66" s="10"/>
      <c r="F66" s="10"/>
      <c r="G66" s="10"/>
      <c r="H66" s="10"/>
      <c r="I66" s="10"/>
      <c r="J66" s="9"/>
      <c r="K66" s="5"/>
    </row>
    <row r="67" spans="1:11" s="4" customFormat="1" x14ac:dyDescent="0.95">
      <c r="A67" s="17"/>
      <c r="B67" s="13" t="s">
        <v>86</v>
      </c>
      <c r="C67" s="18"/>
      <c r="D67" s="19"/>
      <c r="E67" s="18"/>
      <c r="F67" s="18"/>
      <c r="G67" s="18"/>
      <c r="H67" s="18"/>
      <c r="I67" s="18"/>
      <c r="J67" s="13"/>
      <c r="K67" s="5"/>
    </row>
    <row r="68" spans="1:11" x14ac:dyDescent="0.95">
      <c r="A68" s="12"/>
      <c r="B68" s="16" t="s">
        <v>87</v>
      </c>
      <c r="C68" s="14">
        <v>40</v>
      </c>
      <c r="D68" s="15" t="s">
        <v>57</v>
      </c>
      <c r="E68" s="14">
        <v>1090</v>
      </c>
      <c r="F68" s="14">
        <v>43600</v>
      </c>
      <c r="G68" s="14">
        <v>0</v>
      </c>
      <c r="H68" s="14">
        <v>0</v>
      </c>
      <c r="I68" s="14">
        <f t="shared" ref="I68:I94" si="3">ROUND(F68+H68,2)</f>
        <v>43600</v>
      </c>
      <c r="J68" s="16"/>
      <c r="K68" s="1"/>
    </row>
    <row r="69" spans="1:11" x14ac:dyDescent="0.95">
      <c r="A69" s="12"/>
      <c r="B69" s="16" t="s">
        <v>88</v>
      </c>
      <c r="C69" s="14">
        <v>16</v>
      </c>
      <c r="D69" s="15" t="s">
        <v>57</v>
      </c>
      <c r="E69" s="14">
        <v>510</v>
      </c>
      <c r="F69" s="14">
        <v>8160</v>
      </c>
      <c r="G69" s="14">
        <v>0</v>
      </c>
      <c r="H69" s="14">
        <v>0</v>
      </c>
      <c r="I69" s="14">
        <f t="shared" si="3"/>
        <v>8160</v>
      </c>
      <c r="J69" s="16"/>
      <c r="K69" s="1"/>
    </row>
    <row r="70" spans="1:11" x14ac:dyDescent="0.95">
      <c r="A70" s="12"/>
      <c r="B70" s="16" t="s">
        <v>89</v>
      </c>
      <c r="C70" s="14">
        <v>8</v>
      </c>
      <c r="D70" s="15" t="s">
        <v>57</v>
      </c>
      <c r="E70" s="14">
        <v>234</v>
      </c>
      <c r="F70" s="14">
        <v>1872</v>
      </c>
      <c r="G70" s="14">
        <v>0</v>
      </c>
      <c r="H70" s="14">
        <v>0</v>
      </c>
      <c r="I70" s="14">
        <f t="shared" si="3"/>
        <v>1872</v>
      </c>
      <c r="J70" s="16"/>
      <c r="K70" s="1"/>
    </row>
    <row r="71" spans="1:11" x14ac:dyDescent="0.95">
      <c r="A71" s="12"/>
      <c r="B71" s="16" t="s">
        <v>90</v>
      </c>
      <c r="C71" s="14">
        <v>16</v>
      </c>
      <c r="D71" s="15" t="s">
        <v>57</v>
      </c>
      <c r="E71" s="14">
        <v>144</v>
      </c>
      <c r="F71" s="14">
        <v>2304</v>
      </c>
      <c r="G71" s="14">
        <v>0</v>
      </c>
      <c r="H71" s="14">
        <v>0</v>
      </c>
      <c r="I71" s="14">
        <f t="shared" si="3"/>
        <v>2304</v>
      </c>
      <c r="J71" s="16"/>
      <c r="K71" s="1"/>
    </row>
    <row r="72" spans="1:11" x14ac:dyDescent="0.95">
      <c r="A72" s="12"/>
      <c r="B72" s="16" t="s">
        <v>91</v>
      </c>
      <c r="C72" s="14">
        <v>8</v>
      </c>
      <c r="D72" s="15" t="s">
        <v>57</v>
      </c>
      <c r="E72" s="14">
        <v>53</v>
      </c>
      <c r="F72" s="14">
        <v>424</v>
      </c>
      <c r="G72" s="14">
        <v>0</v>
      </c>
      <c r="H72" s="14">
        <v>0</v>
      </c>
      <c r="I72" s="14">
        <f t="shared" si="3"/>
        <v>424</v>
      </c>
      <c r="J72" s="16"/>
      <c r="K72" s="1"/>
    </row>
    <row r="73" spans="1:11" x14ac:dyDescent="0.95">
      <c r="A73" s="12"/>
      <c r="B73" s="16" t="s">
        <v>92</v>
      </c>
      <c r="C73" s="14">
        <v>8</v>
      </c>
      <c r="D73" s="15" t="s">
        <v>57</v>
      </c>
      <c r="E73" s="14">
        <v>48</v>
      </c>
      <c r="F73" s="14">
        <v>384</v>
      </c>
      <c r="G73" s="14">
        <v>0</v>
      </c>
      <c r="H73" s="14">
        <v>0</v>
      </c>
      <c r="I73" s="14">
        <f t="shared" si="3"/>
        <v>384</v>
      </c>
      <c r="J73" s="16"/>
      <c r="K73" s="1"/>
    </row>
    <row r="74" spans="1:11" x14ac:dyDescent="0.95">
      <c r="A74" s="12"/>
      <c r="B74" s="16" t="s">
        <v>93</v>
      </c>
      <c r="C74" s="14">
        <v>8</v>
      </c>
      <c r="D74" s="15" t="s">
        <v>57</v>
      </c>
      <c r="E74" s="14">
        <v>64</v>
      </c>
      <c r="F74" s="14">
        <v>512</v>
      </c>
      <c r="G74" s="14">
        <v>0</v>
      </c>
      <c r="H74" s="14">
        <v>0</v>
      </c>
      <c r="I74" s="14">
        <f t="shared" si="3"/>
        <v>512</v>
      </c>
      <c r="J74" s="16"/>
      <c r="K74" s="1"/>
    </row>
    <row r="75" spans="1:11" x14ac:dyDescent="0.95">
      <c r="A75" s="12"/>
      <c r="B75" s="16" t="s">
        <v>94</v>
      </c>
      <c r="C75" s="14">
        <v>8</v>
      </c>
      <c r="D75" s="15" t="s">
        <v>95</v>
      </c>
      <c r="E75" s="14">
        <v>84.6</v>
      </c>
      <c r="F75" s="14">
        <v>676.8</v>
      </c>
      <c r="G75" s="14">
        <v>0</v>
      </c>
      <c r="H75" s="14">
        <v>0</v>
      </c>
      <c r="I75" s="14">
        <f t="shared" si="3"/>
        <v>676.8</v>
      </c>
      <c r="J75" s="16"/>
      <c r="K75" s="1"/>
    </row>
    <row r="76" spans="1:11" x14ac:dyDescent="0.95">
      <c r="A76" s="12"/>
      <c r="B76" s="16" t="s">
        <v>96</v>
      </c>
      <c r="C76" s="14">
        <v>24</v>
      </c>
      <c r="D76" s="15" t="s">
        <v>95</v>
      </c>
      <c r="E76" s="14">
        <v>84.6</v>
      </c>
      <c r="F76" s="14">
        <v>2030.4</v>
      </c>
      <c r="G76" s="14">
        <v>0</v>
      </c>
      <c r="H76" s="14">
        <v>0</v>
      </c>
      <c r="I76" s="14">
        <f t="shared" si="3"/>
        <v>2030.4</v>
      </c>
      <c r="J76" s="16"/>
      <c r="K76" s="1"/>
    </row>
    <row r="77" spans="1:11" x14ac:dyDescent="0.95">
      <c r="A77" s="12"/>
      <c r="B77" s="16" t="s">
        <v>97</v>
      </c>
      <c r="C77" s="14">
        <v>32</v>
      </c>
      <c r="D77" s="15" t="s">
        <v>95</v>
      </c>
      <c r="E77" s="14">
        <v>22.8</v>
      </c>
      <c r="F77" s="14">
        <v>729.6</v>
      </c>
      <c r="G77" s="14">
        <v>0</v>
      </c>
      <c r="H77" s="14">
        <v>0</v>
      </c>
      <c r="I77" s="14">
        <f t="shared" si="3"/>
        <v>729.6</v>
      </c>
      <c r="J77" s="16"/>
      <c r="K77" s="1"/>
    </row>
    <row r="78" spans="1:11" x14ac:dyDescent="0.95">
      <c r="A78" s="12"/>
      <c r="B78" s="16" t="s">
        <v>98</v>
      </c>
      <c r="C78" s="14">
        <v>16</v>
      </c>
      <c r="D78" s="15" t="s">
        <v>95</v>
      </c>
      <c r="E78" s="14">
        <v>31.3</v>
      </c>
      <c r="F78" s="14">
        <v>500.8</v>
      </c>
      <c r="G78" s="14">
        <v>0</v>
      </c>
      <c r="H78" s="14">
        <v>0</v>
      </c>
      <c r="I78" s="14">
        <f t="shared" si="3"/>
        <v>500.8</v>
      </c>
      <c r="J78" s="16"/>
      <c r="K78" s="1"/>
    </row>
    <row r="79" spans="1:11" x14ac:dyDescent="0.95">
      <c r="A79" s="12"/>
      <c r="B79" s="16" t="s">
        <v>99</v>
      </c>
      <c r="C79" s="14">
        <v>32</v>
      </c>
      <c r="D79" s="15" t="s">
        <v>95</v>
      </c>
      <c r="E79" s="14">
        <v>13.9</v>
      </c>
      <c r="F79" s="14">
        <v>444.8</v>
      </c>
      <c r="G79" s="14">
        <v>0</v>
      </c>
      <c r="H79" s="14">
        <v>0</v>
      </c>
      <c r="I79" s="14">
        <f t="shared" si="3"/>
        <v>444.8</v>
      </c>
      <c r="J79" s="16"/>
      <c r="K79" s="1"/>
    </row>
    <row r="80" spans="1:11" x14ac:dyDescent="0.95">
      <c r="A80" s="12"/>
      <c r="B80" s="16" t="s">
        <v>100</v>
      </c>
      <c r="C80" s="14">
        <v>8</v>
      </c>
      <c r="D80" s="15" t="s">
        <v>95</v>
      </c>
      <c r="E80" s="14">
        <v>8.0500000000000007</v>
      </c>
      <c r="F80" s="14">
        <v>64.400000000000006</v>
      </c>
      <c r="G80" s="14">
        <v>0</v>
      </c>
      <c r="H80" s="14">
        <v>0</v>
      </c>
      <c r="I80" s="14">
        <f t="shared" si="3"/>
        <v>64.400000000000006</v>
      </c>
      <c r="J80" s="16"/>
      <c r="K80" s="1"/>
    </row>
    <row r="81" spans="1:11" x14ac:dyDescent="0.95">
      <c r="A81" s="12"/>
      <c r="B81" s="16" t="s">
        <v>101</v>
      </c>
      <c r="C81" s="14">
        <v>16</v>
      </c>
      <c r="D81" s="15" t="s">
        <v>95</v>
      </c>
      <c r="E81" s="14">
        <v>18.600000000000001</v>
      </c>
      <c r="F81" s="14">
        <v>297.60000000000002</v>
      </c>
      <c r="G81" s="14">
        <v>0</v>
      </c>
      <c r="H81" s="14">
        <v>0</v>
      </c>
      <c r="I81" s="14">
        <f t="shared" si="3"/>
        <v>297.60000000000002</v>
      </c>
      <c r="J81" s="16"/>
      <c r="K81" s="1"/>
    </row>
    <row r="82" spans="1:11" x14ac:dyDescent="0.95">
      <c r="A82" s="12"/>
      <c r="B82" s="16" t="s">
        <v>102</v>
      </c>
      <c r="C82" s="14">
        <v>8</v>
      </c>
      <c r="D82" s="15" t="s">
        <v>95</v>
      </c>
      <c r="E82" s="14">
        <v>13.8</v>
      </c>
      <c r="F82" s="14">
        <v>110.4</v>
      </c>
      <c r="G82" s="14">
        <v>0</v>
      </c>
      <c r="H82" s="14">
        <v>0</v>
      </c>
      <c r="I82" s="14">
        <f t="shared" si="3"/>
        <v>110.4</v>
      </c>
      <c r="J82" s="16"/>
      <c r="K82" s="1"/>
    </row>
    <row r="83" spans="1:11" x14ac:dyDescent="0.95">
      <c r="A83" s="12"/>
      <c r="B83" s="16" t="s">
        <v>103</v>
      </c>
      <c r="C83" s="14">
        <v>8</v>
      </c>
      <c r="D83" s="15" t="s">
        <v>95</v>
      </c>
      <c r="E83" s="14">
        <v>15</v>
      </c>
      <c r="F83" s="14">
        <v>120</v>
      </c>
      <c r="G83" s="14">
        <v>0</v>
      </c>
      <c r="H83" s="14">
        <v>0</v>
      </c>
      <c r="I83" s="14">
        <f t="shared" si="3"/>
        <v>120</v>
      </c>
      <c r="J83" s="16"/>
      <c r="K83" s="1"/>
    </row>
    <row r="84" spans="1:11" x14ac:dyDescent="0.95">
      <c r="A84" s="12"/>
      <c r="B84" s="16" t="s">
        <v>104</v>
      </c>
      <c r="C84" s="14">
        <v>8</v>
      </c>
      <c r="D84" s="15" t="s">
        <v>95</v>
      </c>
      <c r="E84" s="14">
        <v>13</v>
      </c>
      <c r="F84" s="14">
        <v>104</v>
      </c>
      <c r="G84" s="14">
        <v>0</v>
      </c>
      <c r="H84" s="14">
        <v>0</v>
      </c>
      <c r="I84" s="14">
        <f t="shared" si="3"/>
        <v>104</v>
      </c>
      <c r="J84" s="16"/>
      <c r="K84" s="1"/>
    </row>
    <row r="85" spans="1:11" x14ac:dyDescent="0.95">
      <c r="A85" s="12"/>
      <c r="B85" s="16" t="s">
        <v>105</v>
      </c>
      <c r="C85" s="14">
        <v>8</v>
      </c>
      <c r="D85" s="15" t="s">
        <v>95</v>
      </c>
      <c r="E85" s="14">
        <v>12</v>
      </c>
      <c r="F85" s="14">
        <v>96</v>
      </c>
      <c r="G85" s="14">
        <v>0</v>
      </c>
      <c r="H85" s="14">
        <v>0</v>
      </c>
      <c r="I85" s="14">
        <f t="shared" si="3"/>
        <v>96</v>
      </c>
      <c r="J85" s="16"/>
      <c r="K85" s="1"/>
    </row>
    <row r="86" spans="1:11" x14ac:dyDescent="0.95">
      <c r="A86" s="12"/>
      <c r="B86" s="16" t="s">
        <v>106</v>
      </c>
      <c r="C86" s="14">
        <v>8</v>
      </c>
      <c r="D86" s="15" t="s">
        <v>95</v>
      </c>
      <c r="E86" s="14">
        <v>4.7</v>
      </c>
      <c r="F86" s="14">
        <v>37.6</v>
      </c>
      <c r="G86" s="14">
        <v>0</v>
      </c>
      <c r="H86" s="14">
        <v>0</v>
      </c>
      <c r="I86" s="14">
        <f t="shared" si="3"/>
        <v>37.6</v>
      </c>
      <c r="J86" s="16"/>
      <c r="K86" s="1"/>
    </row>
    <row r="87" spans="1:11" x14ac:dyDescent="0.95">
      <c r="A87" s="12"/>
      <c r="B87" s="16" t="s">
        <v>107</v>
      </c>
      <c r="C87" s="14">
        <v>10</v>
      </c>
      <c r="D87" s="15" t="s">
        <v>108</v>
      </c>
      <c r="E87" s="14">
        <v>434</v>
      </c>
      <c r="F87" s="14">
        <v>4340</v>
      </c>
      <c r="G87" s="14">
        <v>0</v>
      </c>
      <c r="H87" s="14">
        <v>0</v>
      </c>
      <c r="I87" s="14">
        <f t="shared" si="3"/>
        <v>4340</v>
      </c>
      <c r="J87" s="16"/>
      <c r="K87" s="1"/>
    </row>
    <row r="88" spans="1:11" x14ac:dyDescent="0.95">
      <c r="A88" s="12"/>
      <c r="B88" s="16" t="s">
        <v>109</v>
      </c>
      <c r="C88" s="14">
        <v>8</v>
      </c>
      <c r="D88" s="15" t="s">
        <v>70</v>
      </c>
      <c r="E88" s="14">
        <v>3600</v>
      </c>
      <c r="F88" s="14">
        <v>28800</v>
      </c>
      <c r="G88" s="14">
        <v>0</v>
      </c>
      <c r="H88" s="14">
        <v>0</v>
      </c>
      <c r="I88" s="14">
        <f t="shared" si="3"/>
        <v>28800</v>
      </c>
      <c r="J88" s="16"/>
      <c r="K88" s="1"/>
    </row>
    <row r="89" spans="1:11" x14ac:dyDescent="0.95">
      <c r="A89" s="12"/>
      <c r="B89" s="16" t="s">
        <v>110</v>
      </c>
      <c r="C89" s="14">
        <v>2.67</v>
      </c>
      <c r="D89" s="15" t="s">
        <v>111</v>
      </c>
      <c r="E89" s="14">
        <v>600</v>
      </c>
      <c r="F89" s="14">
        <v>1600</v>
      </c>
      <c r="G89" s="14">
        <v>0</v>
      </c>
      <c r="H89" s="14">
        <v>0</v>
      </c>
      <c r="I89" s="14">
        <f t="shared" si="3"/>
        <v>1600</v>
      </c>
      <c r="J89" s="16"/>
      <c r="K89" s="1"/>
    </row>
    <row r="90" spans="1:11" x14ac:dyDescent="0.95">
      <c r="A90" s="12"/>
      <c r="B90" s="16" t="s">
        <v>112</v>
      </c>
      <c r="C90" s="14">
        <v>8</v>
      </c>
      <c r="D90" s="15" t="s">
        <v>70</v>
      </c>
      <c r="E90" s="14">
        <v>1100</v>
      </c>
      <c r="F90" s="14">
        <v>8800</v>
      </c>
      <c r="G90" s="14">
        <v>0</v>
      </c>
      <c r="H90" s="14">
        <v>0</v>
      </c>
      <c r="I90" s="14">
        <f t="shared" si="3"/>
        <v>8800</v>
      </c>
      <c r="J90" s="16"/>
      <c r="K90" s="1"/>
    </row>
    <row r="91" spans="1:11" x14ac:dyDescent="0.95">
      <c r="A91" s="12"/>
      <c r="B91" s="16" t="s">
        <v>113</v>
      </c>
      <c r="C91" s="14">
        <v>4.67</v>
      </c>
      <c r="D91" s="15" t="s">
        <v>111</v>
      </c>
      <c r="E91" s="14">
        <v>160</v>
      </c>
      <c r="F91" s="14">
        <v>746.67</v>
      </c>
      <c r="G91" s="14">
        <v>0</v>
      </c>
      <c r="H91" s="14">
        <v>0</v>
      </c>
      <c r="I91" s="14">
        <f t="shared" si="3"/>
        <v>746.67</v>
      </c>
      <c r="J91" s="16"/>
      <c r="K91" s="1"/>
    </row>
    <row r="92" spans="1:11" x14ac:dyDescent="0.95">
      <c r="A92" s="12"/>
      <c r="B92" s="16" t="s">
        <v>114</v>
      </c>
      <c r="C92" s="14">
        <v>16</v>
      </c>
      <c r="D92" s="15" t="s">
        <v>115</v>
      </c>
      <c r="E92" s="14">
        <v>108</v>
      </c>
      <c r="F92" s="14">
        <v>1728</v>
      </c>
      <c r="G92" s="14">
        <v>0</v>
      </c>
      <c r="H92" s="14">
        <v>0</v>
      </c>
      <c r="I92" s="14">
        <f t="shared" si="3"/>
        <v>1728</v>
      </c>
      <c r="J92" s="16"/>
      <c r="K92" s="1"/>
    </row>
    <row r="93" spans="1:11" x14ac:dyDescent="0.95">
      <c r="A93" s="12"/>
      <c r="B93" s="16" t="s">
        <v>116</v>
      </c>
      <c r="C93" s="14">
        <v>16</v>
      </c>
      <c r="D93" s="15" t="s">
        <v>117</v>
      </c>
      <c r="E93" s="14">
        <v>42</v>
      </c>
      <c r="F93" s="14">
        <v>672</v>
      </c>
      <c r="G93" s="14">
        <v>0</v>
      </c>
      <c r="H93" s="14">
        <v>0</v>
      </c>
      <c r="I93" s="14">
        <f t="shared" si="3"/>
        <v>672</v>
      </c>
      <c r="J93" s="16"/>
      <c r="K93" s="1"/>
    </row>
    <row r="94" spans="1:11" s="4" customFormat="1" x14ac:dyDescent="0.95">
      <c r="A94" s="17"/>
      <c r="B94" s="13" t="s">
        <v>118</v>
      </c>
      <c r="C94" s="18"/>
      <c r="D94" s="19"/>
      <c r="E94" s="18"/>
      <c r="F94" s="18">
        <f>ROUND(SUM(F68,F69,F70,F71,F72,F73,F74,F75,F76,F77,F78,F79,F80,F81,F82,F83,F84,F85,F86,F87,F88,F89,F90,F91,F92,F93),2)</f>
        <v>109155.07</v>
      </c>
      <c r="G94" s="18"/>
      <c r="H94" s="18">
        <f>ROUND(SUM(H68,H69,H70,H71,H72,H73,H74,H75,H76,H77,H78,H79,H80,H81,H82,H83,H84,H85,H86,H87,H88,H89,H90,H91,H92,H93),2)</f>
        <v>0</v>
      </c>
      <c r="I94" s="18">
        <f t="shared" si="3"/>
        <v>109155.07</v>
      </c>
      <c r="J94" s="13"/>
      <c r="K94" s="5"/>
    </row>
    <row r="95" spans="1:11" s="4" customFormat="1" x14ac:dyDescent="0.95">
      <c r="A95" s="17"/>
      <c r="B95" s="13" t="s">
        <v>119</v>
      </c>
      <c r="C95" s="18"/>
      <c r="D95" s="19"/>
      <c r="E95" s="18"/>
      <c r="F95" s="18"/>
      <c r="G95" s="18"/>
      <c r="H95" s="18"/>
      <c r="I95" s="18"/>
      <c r="J95" s="13"/>
      <c r="K95" s="5"/>
    </row>
    <row r="96" spans="1:11" x14ac:dyDescent="0.95">
      <c r="A96" s="12"/>
      <c r="B96" s="16" t="s">
        <v>120</v>
      </c>
      <c r="C96" s="14">
        <v>8</v>
      </c>
      <c r="D96" s="15" t="s">
        <v>121</v>
      </c>
      <c r="E96" s="14">
        <v>109</v>
      </c>
      <c r="F96" s="14">
        <v>872</v>
      </c>
      <c r="G96" s="14">
        <v>6000</v>
      </c>
      <c r="H96" s="14">
        <v>48000</v>
      </c>
      <c r="I96" s="14">
        <f>ROUND(F96+H96,2)</f>
        <v>48872</v>
      </c>
      <c r="J96" s="16"/>
      <c r="K96" s="1"/>
    </row>
    <row r="97" spans="1:11" x14ac:dyDescent="0.95">
      <c r="A97" s="12"/>
      <c r="B97" s="16" t="s">
        <v>122</v>
      </c>
      <c r="C97" s="14">
        <v>26.67</v>
      </c>
      <c r="D97" s="15" t="s">
        <v>121</v>
      </c>
      <c r="E97" s="14">
        <v>75</v>
      </c>
      <c r="F97" s="14">
        <v>2000</v>
      </c>
      <c r="G97" s="14">
        <v>0</v>
      </c>
      <c r="H97" s="14">
        <v>0</v>
      </c>
      <c r="I97" s="14">
        <f>ROUND(F97+H97,2)</f>
        <v>2000</v>
      </c>
      <c r="J97" s="16"/>
      <c r="K97" s="1"/>
    </row>
    <row r="98" spans="1:11" s="4" customFormat="1" x14ac:dyDescent="0.95">
      <c r="A98" s="17"/>
      <c r="B98" s="13" t="s">
        <v>123</v>
      </c>
      <c r="C98" s="18"/>
      <c r="D98" s="19"/>
      <c r="E98" s="18"/>
      <c r="F98" s="18">
        <f>ROUND(SUM(F96,F97),2)</f>
        <v>2872</v>
      </c>
      <c r="G98" s="18"/>
      <c r="H98" s="18">
        <f>ROUND(SUM(H96,H97),2)</f>
        <v>48000</v>
      </c>
      <c r="I98" s="18">
        <f>ROUND(F98+H98,2)</f>
        <v>50872</v>
      </c>
      <c r="J98" s="13"/>
      <c r="K98" s="5"/>
    </row>
    <row r="99" spans="1:11" s="4" customFormat="1" x14ac:dyDescent="0.95">
      <c r="A99" s="17"/>
      <c r="B99" s="13" t="s">
        <v>124</v>
      </c>
      <c r="C99" s="18"/>
      <c r="D99" s="19"/>
      <c r="E99" s="18"/>
      <c r="F99" s="18"/>
      <c r="G99" s="18"/>
      <c r="H99" s="18"/>
      <c r="I99" s="18"/>
      <c r="J99" s="13"/>
      <c r="K99" s="5"/>
    </row>
    <row r="100" spans="1:11" x14ac:dyDescent="0.95">
      <c r="A100" s="12"/>
      <c r="B100" s="16" t="s">
        <v>125</v>
      </c>
      <c r="C100" s="14">
        <v>700</v>
      </c>
      <c r="D100" s="15" t="s">
        <v>126</v>
      </c>
      <c r="E100" s="14">
        <v>5.5</v>
      </c>
      <c r="F100" s="14">
        <v>3850</v>
      </c>
      <c r="G100" s="14">
        <v>0</v>
      </c>
      <c r="H100" s="14">
        <v>0</v>
      </c>
      <c r="I100" s="14">
        <f t="shared" ref="I100:I109" si="4">ROUND(F100+H100,2)</f>
        <v>3850</v>
      </c>
      <c r="J100" s="16"/>
      <c r="K100" s="1"/>
    </row>
    <row r="101" spans="1:11" x14ac:dyDescent="0.95">
      <c r="A101" s="12"/>
      <c r="B101" s="16" t="s">
        <v>127</v>
      </c>
      <c r="C101" s="14">
        <v>2.67</v>
      </c>
      <c r="D101" s="15" t="s">
        <v>128</v>
      </c>
      <c r="E101" s="14">
        <v>500</v>
      </c>
      <c r="F101" s="14">
        <v>1333.33</v>
      </c>
      <c r="G101" s="14">
        <v>0</v>
      </c>
      <c r="H101" s="14">
        <v>0</v>
      </c>
      <c r="I101" s="14">
        <f t="shared" si="4"/>
        <v>1333.33</v>
      </c>
      <c r="J101" s="16"/>
      <c r="K101" s="1"/>
    </row>
    <row r="102" spans="1:11" x14ac:dyDescent="0.95">
      <c r="A102" s="12"/>
      <c r="B102" s="16" t="s">
        <v>129</v>
      </c>
      <c r="C102" s="14">
        <v>2.67</v>
      </c>
      <c r="D102" s="15" t="s">
        <v>128</v>
      </c>
      <c r="E102" s="14">
        <v>400</v>
      </c>
      <c r="F102" s="14">
        <v>1066.67</v>
      </c>
      <c r="G102" s="14">
        <v>0</v>
      </c>
      <c r="H102" s="14">
        <v>0</v>
      </c>
      <c r="I102" s="14">
        <f t="shared" si="4"/>
        <v>1066.67</v>
      </c>
      <c r="J102" s="16"/>
      <c r="K102" s="1"/>
    </row>
    <row r="103" spans="1:11" x14ac:dyDescent="0.95">
      <c r="A103" s="12"/>
      <c r="B103" s="16" t="s">
        <v>130</v>
      </c>
      <c r="C103" s="14">
        <v>26.67</v>
      </c>
      <c r="D103" s="15" t="s">
        <v>121</v>
      </c>
      <c r="E103" s="14">
        <v>92</v>
      </c>
      <c r="F103" s="14">
        <v>2453.33</v>
      </c>
      <c r="G103" s="14">
        <v>0</v>
      </c>
      <c r="H103" s="14">
        <v>0</v>
      </c>
      <c r="I103" s="14">
        <f t="shared" si="4"/>
        <v>2453.33</v>
      </c>
      <c r="J103" s="16"/>
      <c r="K103" s="1"/>
    </row>
    <row r="104" spans="1:11" x14ac:dyDescent="0.95">
      <c r="A104" s="12"/>
      <c r="B104" s="16" t="s">
        <v>131</v>
      </c>
      <c r="C104" s="14">
        <v>80</v>
      </c>
      <c r="D104" s="15" t="s">
        <v>121</v>
      </c>
      <c r="E104" s="14">
        <v>61</v>
      </c>
      <c r="F104" s="14">
        <v>4880</v>
      </c>
      <c r="G104" s="14">
        <v>0</v>
      </c>
      <c r="H104" s="14">
        <v>0</v>
      </c>
      <c r="I104" s="14">
        <f t="shared" si="4"/>
        <v>4880</v>
      </c>
      <c r="J104" s="16"/>
      <c r="K104" s="1"/>
    </row>
    <row r="105" spans="1:11" x14ac:dyDescent="0.95">
      <c r="A105" s="12"/>
      <c r="B105" s="16" t="s">
        <v>132</v>
      </c>
      <c r="C105" s="14">
        <v>13.33</v>
      </c>
      <c r="D105" s="15" t="s">
        <v>57</v>
      </c>
      <c r="E105" s="14">
        <v>110</v>
      </c>
      <c r="F105" s="14">
        <v>1466.67</v>
      </c>
      <c r="G105" s="14">
        <v>0</v>
      </c>
      <c r="H105" s="14">
        <v>0</v>
      </c>
      <c r="I105" s="14">
        <f t="shared" si="4"/>
        <v>1466.67</v>
      </c>
      <c r="J105" s="16"/>
      <c r="K105" s="1"/>
    </row>
    <row r="106" spans="1:11" x14ac:dyDescent="0.95">
      <c r="A106" s="12"/>
      <c r="B106" s="16" t="s">
        <v>44</v>
      </c>
      <c r="C106" s="14">
        <v>13.33</v>
      </c>
      <c r="D106" s="15" t="s">
        <v>57</v>
      </c>
      <c r="E106" s="14">
        <v>64</v>
      </c>
      <c r="F106" s="14">
        <v>853.33</v>
      </c>
      <c r="G106" s="14">
        <v>0</v>
      </c>
      <c r="H106" s="14">
        <v>0</v>
      </c>
      <c r="I106" s="14">
        <f t="shared" si="4"/>
        <v>853.33</v>
      </c>
      <c r="J106" s="16"/>
      <c r="K106" s="1"/>
    </row>
    <row r="107" spans="1:11" x14ac:dyDescent="0.95">
      <c r="A107" s="12"/>
      <c r="B107" s="16" t="s">
        <v>133</v>
      </c>
      <c r="C107" s="14">
        <v>1.33</v>
      </c>
      <c r="D107" s="15" t="s">
        <v>111</v>
      </c>
      <c r="E107" s="14">
        <v>0</v>
      </c>
      <c r="F107" s="14">
        <v>0</v>
      </c>
      <c r="G107" s="14">
        <v>0</v>
      </c>
      <c r="H107" s="14">
        <v>0</v>
      </c>
      <c r="I107" s="14">
        <f t="shared" si="4"/>
        <v>0</v>
      </c>
      <c r="J107" s="16"/>
      <c r="K107" s="1"/>
    </row>
    <row r="108" spans="1:11" x14ac:dyDescent="0.95">
      <c r="A108" s="12"/>
      <c r="B108" s="16" t="s">
        <v>134</v>
      </c>
      <c r="C108" s="14">
        <v>8</v>
      </c>
      <c r="D108" s="15" t="s">
        <v>77</v>
      </c>
      <c r="E108" s="14">
        <v>0</v>
      </c>
      <c r="F108" s="14">
        <v>0</v>
      </c>
      <c r="G108" s="14">
        <v>1012</v>
      </c>
      <c r="H108" s="14">
        <v>56672</v>
      </c>
      <c r="I108" s="14">
        <f t="shared" si="4"/>
        <v>56672</v>
      </c>
      <c r="J108" s="16"/>
      <c r="K108" s="1"/>
    </row>
    <row r="109" spans="1:11" s="4" customFormat="1" x14ac:dyDescent="0.95">
      <c r="A109" s="17"/>
      <c r="B109" s="13" t="s">
        <v>135</v>
      </c>
      <c r="C109" s="18"/>
      <c r="D109" s="19"/>
      <c r="E109" s="18"/>
      <c r="F109" s="18">
        <f>ROUND(SUM(F100,F101,F102,F103,F104,F105,F106,F107,F108),2)</f>
        <v>15903.33</v>
      </c>
      <c r="G109" s="18"/>
      <c r="H109" s="18">
        <f>ROUND(SUM(H100,H101,H102,H103,H104,H105,H106,H107,H108),2)</f>
        <v>56672</v>
      </c>
      <c r="I109" s="18">
        <f t="shared" si="4"/>
        <v>72575.33</v>
      </c>
      <c r="J109" s="13"/>
      <c r="K109" s="5"/>
    </row>
    <row r="110" spans="1:11" s="4" customFormat="1" x14ac:dyDescent="0.95">
      <c r="A110" s="17"/>
      <c r="B110" s="13" t="s">
        <v>136</v>
      </c>
      <c r="C110" s="18"/>
      <c r="D110" s="19"/>
      <c r="E110" s="18"/>
      <c r="F110" s="18"/>
      <c r="G110" s="18"/>
      <c r="H110" s="18"/>
      <c r="I110" s="18"/>
      <c r="J110" s="13"/>
      <c r="K110" s="5"/>
    </row>
    <row r="111" spans="1:11" x14ac:dyDescent="0.95">
      <c r="A111" s="12"/>
      <c r="B111" s="16" t="s">
        <v>137</v>
      </c>
      <c r="C111" s="14">
        <v>192</v>
      </c>
      <c r="D111" s="15" t="s">
        <v>36</v>
      </c>
      <c r="E111" s="14">
        <v>45</v>
      </c>
      <c r="F111" s="14">
        <v>8640</v>
      </c>
      <c r="G111" s="14">
        <v>80</v>
      </c>
      <c r="H111" s="14">
        <v>15360</v>
      </c>
      <c r="I111" s="14">
        <f>ROUND(F111+H111,2)</f>
        <v>24000</v>
      </c>
      <c r="J111" s="16"/>
      <c r="K111" s="1"/>
    </row>
    <row r="112" spans="1:11" x14ac:dyDescent="0.95">
      <c r="A112" s="12"/>
      <c r="B112" s="16" t="s">
        <v>17</v>
      </c>
      <c r="C112" s="14">
        <v>22.67</v>
      </c>
      <c r="D112" s="15" t="s">
        <v>18</v>
      </c>
      <c r="E112" s="14">
        <v>1500</v>
      </c>
      <c r="F112" s="14">
        <v>34000</v>
      </c>
      <c r="G112" s="14">
        <v>0</v>
      </c>
      <c r="H112" s="14">
        <v>0</v>
      </c>
      <c r="I112" s="14">
        <f>ROUND(F112+H112,2)</f>
        <v>34000</v>
      </c>
      <c r="J112" s="16"/>
      <c r="K112" s="1"/>
    </row>
    <row r="113" spans="1:11" s="4" customFormat="1" x14ac:dyDescent="0.95">
      <c r="A113" s="17"/>
      <c r="B113" s="13" t="s">
        <v>138</v>
      </c>
      <c r="C113" s="18"/>
      <c r="D113" s="19"/>
      <c r="E113" s="18"/>
      <c r="F113" s="18">
        <f>ROUND(SUM(F111,F112),2)</f>
        <v>42640</v>
      </c>
      <c r="G113" s="18"/>
      <c r="H113" s="18">
        <f>ROUND(SUM(H111,H112),2)</f>
        <v>15360</v>
      </c>
      <c r="I113" s="18">
        <f>ROUND(F113+H113,2)</f>
        <v>58000</v>
      </c>
      <c r="J113" s="13"/>
      <c r="K113" s="5"/>
    </row>
    <row r="114" spans="1:11" s="4" customFormat="1" x14ac:dyDescent="0.95">
      <c r="A114" s="17"/>
      <c r="B114" s="13" t="s">
        <v>139</v>
      </c>
      <c r="C114" s="18"/>
      <c r="D114" s="19"/>
      <c r="E114" s="18"/>
      <c r="F114" s="18"/>
      <c r="G114" s="18"/>
      <c r="H114" s="18"/>
      <c r="I114" s="18"/>
      <c r="J114" s="13"/>
      <c r="K114" s="5"/>
    </row>
    <row r="115" spans="1:11" x14ac:dyDescent="0.95">
      <c r="A115" s="12"/>
      <c r="B115" s="16" t="s">
        <v>46</v>
      </c>
      <c r="C115" s="14">
        <v>7.0000000000000007E-2</v>
      </c>
      <c r="D115" s="15" t="s">
        <v>45</v>
      </c>
      <c r="E115" s="14">
        <v>137</v>
      </c>
      <c r="F115" s="14">
        <v>1830.33</v>
      </c>
      <c r="G115" s="14">
        <v>0</v>
      </c>
      <c r="H115" s="14">
        <v>0</v>
      </c>
      <c r="I115" s="14">
        <f t="shared" ref="I115:I120" si="5">ROUND(F115+H115,2)</f>
        <v>1830.33</v>
      </c>
      <c r="J115" s="16"/>
      <c r="K115" s="1"/>
    </row>
    <row r="116" spans="1:11" x14ac:dyDescent="0.95">
      <c r="A116" s="12"/>
      <c r="B116" s="16" t="s">
        <v>47</v>
      </c>
      <c r="C116" s="14">
        <v>0.05</v>
      </c>
      <c r="D116" s="15" t="s">
        <v>45</v>
      </c>
      <c r="E116" s="14">
        <v>240</v>
      </c>
      <c r="F116" s="14">
        <v>1441.44</v>
      </c>
      <c r="G116" s="14">
        <v>1</v>
      </c>
      <c r="H116" s="14">
        <v>6.01</v>
      </c>
      <c r="I116" s="14">
        <f t="shared" si="5"/>
        <v>1447.45</v>
      </c>
      <c r="J116" s="16"/>
      <c r="K116" s="1"/>
    </row>
    <row r="117" spans="1:11" x14ac:dyDescent="0.95">
      <c r="A117" s="12"/>
      <c r="B117" s="16" t="s">
        <v>52</v>
      </c>
      <c r="C117" s="14">
        <v>17.329999999999998</v>
      </c>
      <c r="D117" s="15" t="s">
        <v>18</v>
      </c>
      <c r="E117" s="14">
        <v>1600</v>
      </c>
      <c r="F117" s="14">
        <v>27733.33</v>
      </c>
      <c r="G117" s="14">
        <v>2</v>
      </c>
      <c r="H117" s="14">
        <v>8.67</v>
      </c>
      <c r="I117" s="14">
        <f t="shared" si="5"/>
        <v>27742</v>
      </c>
      <c r="J117" s="16"/>
      <c r="K117" s="1"/>
    </row>
    <row r="118" spans="1:11" x14ac:dyDescent="0.95">
      <c r="A118" s="12"/>
      <c r="B118" s="16" t="s">
        <v>53</v>
      </c>
      <c r="C118" s="14">
        <v>173.33</v>
      </c>
      <c r="D118" s="15" t="s">
        <v>36</v>
      </c>
      <c r="E118" s="14">
        <v>74.2</v>
      </c>
      <c r="F118" s="14">
        <v>12861.33</v>
      </c>
      <c r="G118" s="14">
        <v>3</v>
      </c>
      <c r="H118" s="14">
        <v>130</v>
      </c>
      <c r="I118" s="14">
        <f t="shared" si="5"/>
        <v>12991.33</v>
      </c>
      <c r="J118" s="16"/>
      <c r="K118" s="1"/>
    </row>
    <row r="119" spans="1:11" x14ac:dyDescent="0.95">
      <c r="A119" s="12"/>
      <c r="B119" s="16" t="s">
        <v>140</v>
      </c>
      <c r="C119" s="14">
        <v>8</v>
      </c>
      <c r="D119" s="15" t="s">
        <v>77</v>
      </c>
      <c r="E119" s="14">
        <v>0</v>
      </c>
      <c r="F119" s="14">
        <v>0</v>
      </c>
      <c r="G119" s="14">
        <v>2500</v>
      </c>
      <c r="H119" s="14">
        <v>20000</v>
      </c>
      <c r="I119" s="14">
        <f t="shared" si="5"/>
        <v>20000</v>
      </c>
      <c r="J119" s="16"/>
      <c r="K119" s="1"/>
    </row>
    <row r="120" spans="1:11" s="4" customFormat="1" x14ac:dyDescent="0.95">
      <c r="A120" s="17"/>
      <c r="B120" s="13" t="s">
        <v>141</v>
      </c>
      <c r="C120" s="18"/>
      <c r="D120" s="19"/>
      <c r="E120" s="18"/>
      <c r="F120" s="18">
        <f>ROUND(SUM(F115,F116,F117,F118,F119),2)</f>
        <v>43866.43</v>
      </c>
      <c r="G120" s="18">
        <f>SUM(G115:G119)</f>
        <v>2506</v>
      </c>
      <c r="H120" s="18">
        <f>ROUND(SUM(H115,H116,H117,H118,H119),2)</f>
        <v>20144.68</v>
      </c>
      <c r="I120" s="18">
        <f t="shared" si="5"/>
        <v>64011.11</v>
      </c>
      <c r="J120" s="13"/>
      <c r="K120" s="5"/>
    </row>
    <row r="121" spans="1:11" s="4" customFormat="1" x14ac:dyDescent="0.95">
      <c r="A121" s="17"/>
      <c r="B121" s="13" t="s">
        <v>142</v>
      </c>
      <c r="C121" s="18"/>
      <c r="D121" s="19"/>
      <c r="E121" s="18"/>
      <c r="F121" s="18"/>
      <c r="G121" s="18"/>
      <c r="H121" s="18"/>
      <c r="I121" s="18"/>
      <c r="J121" s="13"/>
      <c r="K121" s="5"/>
    </row>
    <row r="122" spans="1:11" x14ac:dyDescent="0.95">
      <c r="A122" s="12"/>
      <c r="B122" s="16" t="s">
        <v>143</v>
      </c>
      <c r="C122" s="14">
        <v>832</v>
      </c>
      <c r="D122" s="15" t="s">
        <v>29</v>
      </c>
      <c r="E122" s="14">
        <v>67</v>
      </c>
      <c r="F122" s="14">
        <v>55744</v>
      </c>
      <c r="G122" s="14">
        <v>0</v>
      </c>
      <c r="H122" s="14">
        <v>0</v>
      </c>
      <c r="I122" s="14">
        <f t="shared" ref="I122:I135" si="6">ROUND(F122+H122,2)</f>
        <v>55744</v>
      </c>
      <c r="J122" s="16"/>
      <c r="K122" s="1"/>
    </row>
    <row r="123" spans="1:11" x14ac:dyDescent="0.95">
      <c r="A123" s="12"/>
      <c r="B123" s="16" t="s">
        <v>144</v>
      </c>
      <c r="C123" s="14">
        <v>208</v>
      </c>
      <c r="D123" s="15" t="s">
        <v>29</v>
      </c>
      <c r="E123" s="14">
        <v>82</v>
      </c>
      <c r="F123" s="14">
        <v>17056</v>
      </c>
      <c r="G123" s="14">
        <v>0</v>
      </c>
      <c r="H123" s="14">
        <v>0</v>
      </c>
      <c r="I123" s="14">
        <f t="shared" si="6"/>
        <v>17056</v>
      </c>
      <c r="J123" s="16"/>
      <c r="K123" s="1"/>
    </row>
    <row r="124" spans="1:11" x14ac:dyDescent="0.95">
      <c r="A124" s="12"/>
      <c r="B124" s="16" t="s">
        <v>145</v>
      </c>
      <c r="C124" s="14">
        <v>20</v>
      </c>
      <c r="D124" s="15" t="s">
        <v>146</v>
      </c>
      <c r="E124" s="14">
        <v>870</v>
      </c>
      <c r="F124" s="14">
        <v>17400</v>
      </c>
      <c r="G124" s="14">
        <v>0</v>
      </c>
      <c r="H124" s="14">
        <v>0</v>
      </c>
      <c r="I124" s="14">
        <f t="shared" si="6"/>
        <v>17400</v>
      </c>
      <c r="J124" s="16"/>
      <c r="K124" s="1"/>
    </row>
    <row r="125" spans="1:11" x14ac:dyDescent="0.95">
      <c r="A125" s="12"/>
      <c r="B125" s="16" t="s">
        <v>147</v>
      </c>
      <c r="C125" s="14">
        <v>8</v>
      </c>
      <c r="D125" s="15" t="s">
        <v>29</v>
      </c>
      <c r="E125" s="14">
        <v>53</v>
      </c>
      <c r="F125" s="14">
        <v>424</v>
      </c>
      <c r="G125" s="14">
        <v>0</v>
      </c>
      <c r="H125" s="14">
        <v>0</v>
      </c>
      <c r="I125" s="14">
        <f t="shared" si="6"/>
        <v>424</v>
      </c>
      <c r="J125" s="16"/>
      <c r="K125" s="1"/>
    </row>
    <row r="126" spans="1:11" x14ac:dyDescent="0.95">
      <c r="A126" s="12"/>
      <c r="B126" s="16" t="s">
        <v>148</v>
      </c>
      <c r="C126" s="14">
        <v>16</v>
      </c>
      <c r="D126" s="15" t="s">
        <v>29</v>
      </c>
      <c r="E126" s="14">
        <v>63</v>
      </c>
      <c r="F126" s="14">
        <v>1008</v>
      </c>
      <c r="G126" s="14">
        <v>0</v>
      </c>
      <c r="H126" s="14">
        <v>0</v>
      </c>
      <c r="I126" s="14">
        <f t="shared" si="6"/>
        <v>1008</v>
      </c>
      <c r="J126" s="16"/>
      <c r="K126" s="1"/>
    </row>
    <row r="127" spans="1:11" x14ac:dyDescent="0.95">
      <c r="A127" s="12"/>
      <c r="B127" s="16" t="s">
        <v>149</v>
      </c>
      <c r="C127" s="14">
        <v>32</v>
      </c>
      <c r="D127" s="15" t="s">
        <v>29</v>
      </c>
      <c r="E127" s="14">
        <v>137</v>
      </c>
      <c r="F127" s="14">
        <v>4384</v>
      </c>
      <c r="G127" s="14">
        <v>0</v>
      </c>
      <c r="H127" s="14">
        <v>0</v>
      </c>
      <c r="I127" s="14">
        <f t="shared" si="6"/>
        <v>4384</v>
      </c>
      <c r="J127" s="16"/>
      <c r="K127" s="1"/>
    </row>
    <row r="128" spans="1:11" x14ac:dyDescent="0.95">
      <c r="A128" s="12"/>
      <c r="B128" s="16" t="s">
        <v>150</v>
      </c>
      <c r="C128" s="14">
        <v>141.33000000000001</v>
      </c>
      <c r="D128" s="15" t="s">
        <v>29</v>
      </c>
      <c r="E128" s="14">
        <v>39</v>
      </c>
      <c r="F128" s="14">
        <v>5512</v>
      </c>
      <c r="G128" s="14">
        <v>0</v>
      </c>
      <c r="H128" s="14">
        <v>0</v>
      </c>
      <c r="I128" s="14">
        <f t="shared" si="6"/>
        <v>5512</v>
      </c>
      <c r="J128" s="16"/>
      <c r="K128" s="1"/>
    </row>
    <row r="129" spans="1:11" x14ac:dyDescent="0.95">
      <c r="A129" s="12"/>
      <c r="B129" s="16" t="s">
        <v>151</v>
      </c>
      <c r="C129" s="14">
        <v>88</v>
      </c>
      <c r="D129" s="15" t="s">
        <v>29</v>
      </c>
      <c r="E129" s="14">
        <v>39</v>
      </c>
      <c r="F129" s="14">
        <v>3432</v>
      </c>
      <c r="G129" s="14">
        <v>0</v>
      </c>
      <c r="H129" s="14">
        <v>0</v>
      </c>
      <c r="I129" s="14">
        <f t="shared" si="6"/>
        <v>3432</v>
      </c>
      <c r="J129" s="16"/>
      <c r="K129" s="1"/>
    </row>
    <row r="130" spans="1:11" x14ac:dyDescent="0.95">
      <c r="A130" s="12"/>
      <c r="B130" s="16" t="s">
        <v>152</v>
      </c>
      <c r="C130" s="14">
        <v>2</v>
      </c>
      <c r="D130" s="15" t="s">
        <v>29</v>
      </c>
      <c r="E130" s="14">
        <v>52</v>
      </c>
      <c r="F130" s="14">
        <v>104</v>
      </c>
      <c r="G130" s="14">
        <v>0</v>
      </c>
      <c r="H130" s="14">
        <v>0</v>
      </c>
      <c r="I130" s="14">
        <f t="shared" si="6"/>
        <v>104</v>
      </c>
      <c r="J130" s="16"/>
      <c r="K130" s="1"/>
    </row>
    <row r="131" spans="1:11" x14ac:dyDescent="0.95">
      <c r="A131" s="12"/>
      <c r="B131" s="16" t="s">
        <v>153</v>
      </c>
      <c r="C131" s="14">
        <v>18.670000000000002</v>
      </c>
      <c r="D131" s="15" t="s">
        <v>146</v>
      </c>
      <c r="E131" s="14">
        <v>170</v>
      </c>
      <c r="F131" s="14">
        <v>3173.33</v>
      </c>
      <c r="G131" s="14">
        <v>0</v>
      </c>
      <c r="H131" s="14">
        <v>0</v>
      </c>
      <c r="I131" s="14">
        <f t="shared" si="6"/>
        <v>3173.33</v>
      </c>
      <c r="J131" s="16"/>
      <c r="K131" s="1"/>
    </row>
    <row r="132" spans="1:11" x14ac:dyDescent="0.95">
      <c r="A132" s="12"/>
      <c r="B132" s="16" t="s">
        <v>154</v>
      </c>
      <c r="C132" s="14">
        <v>4</v>
      </c>
      <c r="D132" s="15" t="s">
        <v>111</v>
      </c>
      <c r="E132" s="14">
        <v>1359</v>
      </c>
      <c r="F132" s="14">
        <v>5436</v>
      </c>
      <c r="G132" s="14">
        <v>0</v>
      </c>
      <c r="H132" s="14">
        <v>0</v>
      </c>
      <c r="I132" s="14">
        <f t="shared" si="6"/>
        <v>5436</v>
      </c>
      <c r="J132" s="16"/>
      <c r="K132" s="1"/>
    </row>
    <row r="133" spans="1:11" x14ac:dyDescent="0.95">
      <c r="A133" s="12"/>
      <c r="B133" s="16" t="s">
        <v>155</v>
      </c>
      <c r="C133" s="14">
        <v>19.2</v>
      </c>
      <c r="D133" s="15" t="s">
        <v>81</v>
      </c>
      <c r="E133" s="14"/>
      <c r="F133" s="14">
        <v>0</v>
      </c>
      <c r="G133" s="14">
        <v>400</v>
      </c>
      <c r="H133" s="14">
        <v>7680</v>
      </c>
      <c r="I133" s="14">
        <f t="shared" si="6"/>
        <v>7680</v>
      </c>
      <c r="J133" s="16"/>
      <c r="K133" s="1"/>
    </row>
    <row r="134" spans="1:11" x14ac:dyDescent="0.95">
      <c r="A134" s="12"/>
      <c r="B134" s="16" t="s">
        <v>156</v>
      </c>
      <c r="C134" s="14">
        <v>8</v>
      </c>
      <c r="D134" s="15" t="s">
        <v>77</v>
      </c>
      <c r="E134" s="14">
        <v>0</v>
      </c>
      <c r="F134" s="14">
        <v>0</v>
      </c>
      <c r="G134" s="14">
        <v>70</v>
      </c>
      <c r="H134" s="14">
        <v>32200</v>
      </c>
      <c r="I134" s="14">
        <f t="shared" si="6"/>
        <v>32200</v>
      </c>
      <c r="J134" s="16"/>
      <c r="K134" s="1"/>
    </row>
    <row r="135" spans="1:11" s="4" customFormat="1" x14ac:dyDescent="0.95">
      <c r="A135" s="17"/>
      <c r="B135" s="13" t="s">
        <v>157</v>
      </c>
      <c r="C135" s="18"/>
      <c r="D135" s="19"/>
      <c r="E135" s="18"/>
      <c r="F135" s="18">
        <f>ROUND(SUM(F122,F123,F124,F125,F126,F127,F128,F129,F130,F131,F132,F133,F134),2)</f>
        <v>113673.33</v>
      </c>
      <c r="G135" s="18"/>
      <c r="H135" s="18">
        <f>ROUND(SUM(H122,H123,H124,H125,H126,H127,H128,H129,H130,H131,H132,H133,H134),2)</f>
        <v>39880</v>
      </c>
      <c r="I135" s="18">
        <f t="shared" si="6"/>
        <v>153553.32999999999</v>
      </c>
      <c r="J135" s="13"/>
      <c r="K135" s="5"/>
    </row>
    <row r="136" spans="1:11" s="4" customFormat="1" x14ac:dyDescent="0.95">
      <c r="A136" s="17"/>
      <c r="B136" s="13" t="s">
        <v>158</v>
      </c>
      <c r="C136" s="18"/>
      <c r="D136" s="19"/>
      <c r="E136" s="18"/>
      <c r="F136" s="18"/>
      <c r="G136" s="18"/>
      <c r="H136" s="18"/>
      <c r="I136" s="18"/>
      <c r="J136" s="13"/>
      <c r="K136" s="5"/>
    </row>
    <row r="137" spans="1:11" x14ac:dyDescent="0.95">
      <c r="A137" s="12"/>
      <c r="B137" s="16" t="s">
        <v>159</v>
      </c>
      <c r="C137" s="14">
        <v>56</v>
      </c>
      <c r="D137" s="15" t="s">
        <v>36</v>
      </c>
      <c r="E137" s="14"/>
      <c r="F137" s="14">
        <v>0</v>
      </c>
      <c r="G137" s="14">
        <f>320</f>
        <v>320</v>
      </c>
      <c r="H137" s="14">
        <v>17920</v>
      </c>
      <c r="I137" s="14">
        <f t="shared" ref="I137:I144" si="7">ROUND(F137+H137,2)</f>
        <v>17920</v>
      </c>
      <c r="J137" s="16" t="s">
        <v>160</v>
      </c>
      <c r="K137" s="1"/>
    </row>
    <row r="138" spans="1:11" x14ac:dyDescent="0.95">
      <c r="A138" s="12"/>
      <c r="B138" s="16" t="s">
        <v>161</v>
      </c>
      <c r="C138" s="14">
        <v>144</v>
      </c>
      <c r="D138" s="15" t="s">
        <v>36</v>
      </c>
      <c r="E138" s="14"/>
      <c r="F138" s="14">
        <v>0</v>
      </c>
      <c r="G138" s="14">
        <v>280</v>
      </c>
      <c r="H138" s="14">
        <v>40320</v>
      </c>
      <c r="I138" s="14">
        <f t="shared" si="7"/>
        <v>40320</v>
      </c>
      <c r="J138" s="16" t="s">
        <v>162</v>
      </c>
      <c r="K138" s="1"/>
    </row>
    <row r="139" spans="1:11" x14ac:dyDescent="0.95">
      <c r="A139" s="12"/>
      <c r="B139" s="16" t="s">
        <v>163</v>
      </c>
      <c r="C139" s="14">
        <v>240</v>
      </c>
      <c r="D139" s="15" t="s">
        <v>36</v>
      </c>
      <c r="E139" s="14"/>
      <c r="F139" s="14">
        <v>0</v>
      </c>
      <c r="G139" s="14">
        <v>240</v>
      </c>
      <c r="H139" s="14">
        <v>57600</v>
      </c>
      <c r="I139" s="14">
        <f t="shared" si="7"/>
        <v>57600</v>
      </c>
      <c r="J139" s="16"/>
      <c r="K139" s="1"/>
    </row>
    <row r="140" spans="1:11" x14ac:dyDescent="0.95">
      <c r="A140" s="12"/>
      <c r="B140" s="16" t="s">
        <v>164</v>
      </c>
      <c r="C140" s="14">
        <v>460.8</v>
      </c>
      <c r="D140" s="15" t="s">
        <v>81</v>
      </c>
      <c r="E140" s="14"/>
      <c r="F140" s="14">
        <v>0</v>
      </c>
      <c r="G140" s="14">
        <v>70</v>
      </c>
      <c r="H140" s="14">
        <v>32256</v>
      </c>
      <c r="I140" s="14">
        <f t="shared" si="7"/>
        <v>32256</v>
      </c>
      <c r="J140" s="16"/>
      <c r="K140" s="1"/>
    </row>
    <row r="141" spans="1:11" x14ac:dyDescent="0.95">
      <c r="A141" s="12"/>
      <c r="B141" s="16" t="s">
        <v>165</v>
      </c>
      <c r="C141" s="14">
        <v>8</v>
      </c>
      <c r="D141" s="15" t="s">
        <v>166</v>
      </c>
      <c r="E141" s="14"/>
      <c r="F141" s="14">
        <v>64536</v>
      </c>
      <c r="G141" s="14">
        <v>2000</v>
      </c>
      <c r="H141" s="14">
        <v>16000</v>
      </c>
      <c r="I141" s="14">
        <f t="shared" si="7"/>
        <v>80536</v>
      </c>
      <c r="J141" s="16"/>
      <c r="K141" s="1"/>
    </row>
    <row r="142" spans="1:11" x14ac:dyDescent="0.95">
      <c r="A142" s="12"/>
      <c r="B142" s="16" t="s">
        <v>167</v>
      </c>
      <c r="C142" s="14">
        <v>16</v>
      </c>
      <c r="D142" s="15" t="s">
        <v>36</v>
      </c>
      <c r="E142" s="14"/>
      <c r="F142" s="14">
        <v>0</v>
      </c>
      <c r="G142" s="14">
        <v>280</v>
      </c>
      <c r="H142" s="14">
        <v>4480</v>
      </c>
      <c r="I142" s="14">
        <f t="shared" si="7"/>
        <v>4480</v>
      </c>
      <c r="J142" s="16"/>
      <c r="K142" s="1"/>
    </row>
    <row r="143" spans="1:11" x14ac:dyDescent="0.95">
      <c r="A143" s="12"/>
      <c r="B143" s="16" t="s">
        <v>168</v>
      </c>
      <c r="C143" s="14">
        <v>16</v>
      </c>
      <c r="D143" s="15" t="s">
        <v>36</v>
      </c>
      <c r="E143" s="14"/>
      <c r="F143" s="14">
        <v>0</v>
      </c>
      <c r="G143" s="14">
        <v>965</v>
      </c>
      <c r="H143" s="14">
        <v>15440</v>
      </c>
      <c r="I143" s="14">
        <f t="shared" si="7"/>
        <v>15440</v>
      </c>
      <c r="J143" s="16"/>
      <c r="K143" s="1"/>
    </row>
    <row r="144" spans="1:11" s="4" customFormat="1" x14ac:dyDescent="0.95">
      <c r="A144" s="17"/>
      <c r="B144" s="13" t="s">
        <v>169</v>
      </c>
      <c r="C144" s="18"/>
      <c r="D144" s="19"/>
      <c r="E144" s="18"/>
      <c r="F144" s="18">
        <f>ROUND(SUM(F137,F138,F139,F140,F141,F142,F143),2)</f>
        <v>64536</v>
      </c>
      <c r="G144" s="18"/>
      <c r="H144" s="18">
        <f>ROUND(SUM(H137,H138,H139,H140,H141,H142,H143),2)</f>
        <v>184016</v>
      </c>
      <c r="I144" s="18">
        <f t="shared" si="7"/>
        <v>248552</v>
      </c>
      <c r="J144" s="13"/>
      <c r="K144" s="5"/>
    </row>
    <row r="145" spans="1:11" s="4" customFormat="1" x14ac:dyDescent="0.95">
      <c r="A145" s="17"/>
      <c r="B145" s="13" t="s">
        <v>170</v>
      </c>
      <c r="C145" s="18"/>
      <c r="D145" s="19"/>
      <c r="E145" s="18"/>
      <c r="F145" s="18"/>
      <c r="G145" s="18"/>
      <c r="H145" s="18"/>
      <c r="I145" s="18"/>
      <c r="J145" s="13"/>
      <c r="K145" s="5"/>
    </row>
    <row r="146" spans="1:11" x14ac:dyDescent="0.95">
      <c r="A146" s="12"/>
      <c r="B146" s="16" t="s">
        <v>171</v>
      </c>
      <c r="C146" s="14">
        <v>8</v>
      </c>
      <c r="D146" s="15" t="s">
        <v>172</v>
      </c>
      <c r="E146" s="14">
        <v>1869</v>
      </c>
      <c r="F146" s="14">
        <v>14952</v>
      </c>
      <c r="G146" s="14">
        <v>0</v>
      </c>
      <c r="H146" s="14">
        <v>0</v>
      </c>
      <c r="I146" s="14">
        <f t="shared" ref="I146:I164" si="8">ROUND(F146+H146,2)</f>
        <v>14952</v>
      </c>
      <c r="J146" s="16"/>
      <c r="K146" s="1"/>
    </row>
    <row r="147" spans="1:11" x14ac:dyDescent="0.95">
      <c r="A147" s="12"/>
      <c r="B147" s="16" t="s">
        <v>173</v>
      </c>
      <c r="C147" s="14">
        <v>8</v>
      </c>
      <c r="D147" s="15" t="s">
        <v>172</v>
      </c>
      <c r="E147" s="14">
        <v>640</v>
      </c>
      <c r="F147" s="14">
        <v>5120</v>
      </c>
      <c r="G147" s="14">
        <v>0</v>
      </c>
      <c r="H147" s="14">
        <v>0</v>
      </c>
      <c r="I147" s="14">
        <f t="shared" si="8"/>
        <v>5120</v>
      </c>
      <c r="J147" s="16"/>
      <c r="K147" s="1"/>
    </row>
    <row r="148" spans="1:11" x14ac:dyDescent="0.95">
      <c r="A148" s="12"/>
      <c r="B148" s="16" t="s">
        <v>174</v>
      </c>
      <c r="C148" s="14">
        <v>8</v>
      </c>
      <c r="D148" s="15" t="s">
        <v>172</v>
      </c>
      <c r="E148" s="14">
        <v>664</v>
      </c>
      <c r="F148" s="14">
        <v>5312</v>
      </c>
      <c r="G148" s="14">
        <v>0</v>
      </c>
      <c r="H148" s="14">
        <v>0</v>
      </c>
      <c r="I148" s="14">
        <f t="shared" si="8"/>
        <v>5312</v>
      </c>
      <c r="J148" s="16"/>
      <c r="K148" s="1"/>
    </row>
    <row r="149" spans="1:11" x14ac:dyDescent="0.95">
      <c r="A149" s="12"/>
      <c r="B149" s="16" t="s">
        <v>175</v>
      </c>
      <c r="C149" s="14">
        <v>8</v>
      </c>
      <c r="D149" s="15" t="s">
        <v>172</v>
      </c>
      <c r="E149" s="14">
        <v>159</v>
      </c>
      <c r="F149" s="14">
        <v>1272</v>
      </c>
      <c r="G149" s="14">
        <v>0</v>
      </c>
      <c r="H149" s="14">
        <v>0</v>
      </c>
      <c r="I149" s="14">
        <f t="shared" si="8"/>
        <v>1272</v>
      </c>
      <c r="J149" s="16"/>
      <c r="K149" s="1"/>
    </row>
    <row r="150" spans="1:11" x14ac:dyDescent="0.95">
      <c r="A150" s="12"/>
      <c r="B150" s="16" t="s">
        <v>176</v>
      </c>
      <c r="C150" s="14">
        <v>8</v>
      </c>
      <c r="D150" s="15" t="s">
        <v>172</v>
      </c>
      <c r="E150" s="14">
        <v>425</v>
      </c>
      <c r="F150" s="14">
        <v>3400</v>
      </c>
      <c r="G150" s="14">
        <v>0</v>
      </c>
      <c r="H150" s="14">
        <v>0</v>
      </c>
      <c r="I150" s="14">
        <f t="shared" si="8"/>
        <v>3400</v>
      </c>
      <c r="J150" s="16"/>
      <c r="K150" s="1"/>
    </row>
    <row r="151" spans="1:11" x14ac:dyDescent="0.95">
      <c r="A151" s="12"/>
      <c r="B151" s="16" t="s">
        <v>177</v>
      </c>
      <c r="C151" s="14">
        <v>8</v>
      </c>
      <c r="D151" s="15" t="s">
        <v>172</v>
      </c>
      <c r="E151" s="14">
        <v>183</v>
      </c>
      <c r="F151" s="14">
        <v>1464</v>
      </c>
      <c r="G151" s="14">
        <v>0</v>
      </c>
      <c r="H151" s="14">
        <v>0</v>
      </c>
      <c r="I151" s="14">
        <f t="shared" si="8"/>
        <v>1464</v>
      </c>
      <c r="J151" s="16"/>
      <c r="K151" s="1"/>
    </row>
    <row r="152" spans="1:11" x14ac:dyDescent="0.95">
      <c r="A152" s="12"/>
      <c r="B152" s="16" t="s">
        <v>178</v>
      </c>
      <c r="C152" s="14">
        <v>8</v>
      </c>
      <c r="D152" s="15" t="s">
        <v>115</v>
      </c>
      <c r="E152" s="14">
        <v>151</v>
      </c>
      <c r="F152" s="14">
        <v>1208</v>
      </c>
      <c r="G152" s="14">
        <v>0</v>
      </c>
      <c r="H152" s="14">
        <v>0</v>
      </c>
      <c r="I152" s="14">
        <f t="shared" si="8"/>
        <v>1208</v>
      </c>
      <c r="J152" s="16"/>
      <c r="K152" s="1"/>
    </row>
    <row r="153" spans="1:11" x14ac:dyDescent="0.95">
      <c r="A153" s="12"/>
      <c r="B153" s="16" t="s">
        <v>179</v>
      </c>
      <c r="C153" s="14">
        <v>8</v>
      </c>
      <c r="D153" s="15" t="s">
        <v>180</v>
      </c>
      <c r="E153" s="14">
        <v>0</v>
      </c>
      <c r="F153" s="14">
        <v>0</v>
      </c>
      <c r="G153" s="14">
        <v>0</v>
      </c>
      <c r="H153" s="14">
        <v>0</v>
      </c>
      <c r="I153" s="14">
        <f t="shared" si="8"/>
        <v>0</v>
      </c>
      <c r="J153" s="16"/>
      <c r="K153" s="1"/>
    </row>
    <row r="154" spans="1:11" x14ac:dyDescent="0.95">
      <c r="A154" s="12"/>
      <c r="B154" s="16" t="s">
        <v>181</v>
      </c>
      <c r="C154" s="14">
        <v>8</v>
      </c>
      <c r="D154" s="15" t="s">
        <v>115</v>
      </c>
      <c r="E154" s="14">
        <v>77</v>
      </c>
      <c r="F154" s="14">
        <v>616</v>
      </c>
      <c r="G154" s="14">
        <v>0</v>
      </c>
      <c r="H154" s="14">
        <v>0</v>
      </c>
      <c r="I154" s="14">
        <f t="shared" si="8"/>
        <v>616</v>
      </c>
      <c r="J154" s="16"/>
      <c r="K154" s="1"/>
    </row>
    <row r="155" spans="1:11" x14ac:dyDescent="0.95">
      <c r="A155" s="12"/>
      <c r="B155" s="16" t="s">
        <v>182</v>
      </c>
      <c r="C155" s="14">
        <v>8</v>
      </c>
      <c r="D155" s="15" t="s">
        <v>115</v>
      </c>
      <c r="E155" s="14">
        <v>234</v>
      </c>
      <c r="F155" s="14">
        <v>1872</v>
      </c>
      <c r="G155" s="14">
        <v>0</v>
      </c>
      <c r="H155" s="14">
        <v>0</v>
      </c>
      <c r="I155" s="14">
        <f t="shared" si="8"/>
        <v>1872</v>
      </c>
      <c r="J155" s="16"/>
      <c r="K155" s="1"/>
    </row>
    <row r="156" spans="1:11" x14ac:dyDescent="0.95">
      <c r="A156" s="12"/>
      <c r="B156" s="16" t="s">
        <v>183</v>
      </c>
      <c r="C156" s="14">
        <v>8</v>
      </c>
      <c r="D156" s="15" t="s">
        <v>115</v>
      </c>
      <c r="E156" s="14">
        <v>151</v>
      </c>
      <c r="F156" s="14">
        <v>1208</v>
      </c>
      <c r="G156" s="14">
        <v>0</v>
      </c>
      <c r="H156" s="14">
        <v>0</v>
      </c>
      <c r="I156" s="14">
        <f t="shared" si="8"/>
        <v>1208</v>
      </c>
      <c r="J156" s="16"/>
      <c r="K156" s="1"/>
    </row>
    <row r="157" spans="1:11" x14ac:dyDescent="0.95">
      <c r="A157" s="12"/>
      <c r="B157" s="16" t="s">
        <v>184</v>
      </c>
      <c r="C157" s="14">
        <v>8</v>
      </c>
      <c r="D157" s="15" t="s">
        <v>115</v>
      </c>
      <c r="E157" s="14">
        <v>584</v>
      </c>
      <c r="F157" s="14">
        <v>4672</v>
      </c>
      <c r="G157" s="14">
        <v>0</v>
      </c>
      <c r="H157" s="14">
        <v>0</v>
      </c>
      <c r="I157" s="14">
        <f t="shared" si="8"/>
        <v>4672</v>
      </c>
      <c r="J157" s="16"/>
      <c r="K157" s="1"/>
    </row>
    <row r="158" spans="1:11" x14ac:dyDescent="0.95">
      <c r="A158" s="12"/>
      <c r="B158" s="16" t="s">
        <v>185</v>
      </c>
      <c r="C158" s="14">
        <v>16</v>
      </c>
      <c r="D158" s="15" t="s">
        <v>115</v>
      </c>
      <c r="E158" s="14">
        <v>140</v>
      </c>
      <c r="F158" s="14">
        <v>2240</v>
      </c>
      <c r="G158" s="14">
        <v>0</v>
      </c>
      <c r="H158" s="14">
        <v>0</v>
      </c>
      <c r="I158" s="14">
        <f t="shared" si="8"/>
        <v>2240</v>
      </c>
      <c r="J158" s="16"/>
      <c r="K158" s="1"/>
    </row>
    <row r="159" spans="1:11" x14ac:dyDescent="0.95">
      <c r="A159" s="12"/>
      <c r="B159" s="16" t="s">
        <v>186</v>
      </c>
      <c r="C159" s="14">
        <v>8</v>
      </c>
      <c r="D159" s="15" t="s">
        <v>115</v>
      </c>
      <c r="E159" s="14">
        <v>45</v>
      </c>
      <c r="F159" s="14">
        <v>360</v>
      </c>
      <c r="G159" s="14">
        <v>0</v>
      </c>
      <c r="H159" s="14">
        <v>12</v>
      </c>
      <c r="I159" s="14">
        <f t="shared" si="8"/>
        <v>372</v>
      </c>
      <c r="J159" s="16"/>
      <c r="K159" s="1"/>
    </row>
    <row r="160" spans="1:11" x14ac:dyDescent="0.95">
      <c r="A160" s="12"/>
      <c r="B160" s="16" t="s">
        <v>187</v>
      </c>
      <c r="C160" s="14">
        <v>8</v>
      </c>
      <c r="D160" s="15" t="s">
        <v>115</v>
      </c>
      <c r="E160" s="14">
        <v>215</v>
      </c>
      <c r="F160" s="14">
        <v>1720</v>
      </c>
      <c r="G160" s="14">
        <v>0</v>
      </c>
      <c r="H160" s="14">
        <v>0</v>
      </c>
      <c r="I160" s="14">
        <f t="shared" si="8"/>
        <v>1720</v>
      </c>
      <c r="J160" s="16"/>
      <c r="K160" s="1"/>
    </row>
    <row r="161" spans="1:11" x14ac:dyDescent="0.95">
      <c r="A161" s="12"/>
      <c r="B161" s="16" t="s">
        <v>188</v>
      </c>
      <c r="C161" s="14">
        <v>8</v>
      </c>
      <c r="D161" s="15" t="s">
        <v>115</v>
      </c>
      <c r="E161" s="14">
        <v>0</v>
      </c>
      <c r="F161" s="14">
        <v>0</v>
      </c>
      <c r="G161" s="14">
        <v>0</v>
      </c>
      <c r="H161" s="14">
        <v>0</v>
      </c>
      <c r="I161" s="14">
        <f t="shared" si="8"/>
        <v>0</v>
      </c>
      <c r="J161" s="16"/>
      <c r="K161" s="1"/>
    </row>
    <row r="162" spans="1:11" x14ac:dyDescent="0.95">
      <c r="A162" s="12"/>
      <c r="B162" s="16" t="s">
        <v>189</v>
      </c>
      <c r="C162" s="14">
        <v>16</v>
      </c>
      <c r="D162" s="15" t="s">
        <v>115</v>
      </c>
      <c r="E162" s="14">
        <v>110</v>
      </c>
      <c r="F162" s="14">
        <v>1760</v>
      </c>
      <c r="G162" s="14">
        <v>0</v>
      </c>
      <c r="H162" s="14">
        <v>24</v>
      </c>
      <c r="I162" s="14">
        <f t="shared" si="8"/>
        <v>1784</v>
      </c>
      <c r="J162" s="16"/>
      <c r="K162" s="1"/>
    </row>
    <row r="163" spans="1:11" x14ac:dyDescent="0.95">
      <c r="A163" s="12"/>
      <c r="B163" s="16" t="s">
        <v>190</v>
      </c>
      <c r="C163" s="14">
        <v>8</v>
      </c>
      <c r="D163" s="15" t="s">
        <v>77</v>
      </c>
      <c r="E163" s="14">
        <v>0</v>
      </c>
      <c r="F163" s="14">
        <v>0</v>
      </c>
      <c r="G163" s="14">
        <v>810</v>
      </c>
      <c r="H163" s="14">
        <v>6480</v>
      </c>
      <c r="I163" s="14">
        <f t="shared" si="8"/>
        <v>6480</v>
      </c>
      <c r="J163" s="16"/>
      <c r="K163" s="1"/>
    </row>
    <row r="164" spans="1:11" s="4" customFormat="1" x14ac:dyDescent="0.95">
      <c r="A164" s="17"/>
      <c r="B164" s="13" t="s">
        <v>191</v>
      </c>
      <c r="C164" s="18"/>
      <c r="D164" s="19"/>
      <c r="E164" s="18"/>
      <c r="F164" s="18">
        <f>ROUND(SUM(F146,F147,F148,F149,F150,F151,F152,F153,F154,F155,F156,F157,F158,F159,F160,F161,F162,F163),2)</f>
        <v>47176</v>
      </c>
      <c r="G164" s="18"/>
      <c r="H164" s="18">
        <f>ROUND(SUM(H146,H147,H148,H149,H150,H151,H152,H153,H154,H155,H156,H157,H158,H159,H160,H161,H162,H163),2)</f>
        <v>6516</v>
      </c>
      <c r="I164" s="18">
        <f t="shared" si="8"/>
        <v>53692</v>
      </c>
      <c r="J164" s="13"/>
      <c r="K164" s="5"/>
    </row>
    <row r="165" spans="1:11" s="4" customFormat="1" x14ac:dyDescent="0.95">
      <c r="A165" s="17"/>
      <c r="B165" s="13" t="s">
        <v>192</v>
      </c>
      <c r="C165" s="18"/>
      <c r="D165" s="19"/>
      <c r="E165" s="18"/>
      <c r="F165" s="18"/>
      <c r="G165" s="18"/>
      <c r="H165" s="18"/>
      <c r="I165" s="18"/>
      <c r="J165" s="13"/>
      <c r="K165" s="5"/>
    </row>
    <row r="166" spans="1:11" x14ac:dyDescent="0.95">
      <c r="A166" s="12"/>
      <c r="B166" s="16" t="s">
        <v>193</v>
      </c>
      <c r="C166" s="14">
        <v>8</v>
      </c>
      <c r="D166" s="15" t="s">
        <v>172</v>
      </c>
      <c r="E166" s="14">
        <v>0</v>
      </c>
      <c r="F166" s="14">
        <v>0</v>
      </c>
      <c r="G166" s="14">
        <v>8000</v>
      </c>
      <c r="H166" s="14">
        <v>64000</v>
      </c>
      <c r="I166" s="14">
        <f t="shared" ref="I166:I175" si="9">ROUND(F166+H166,2)</f>
        <v>64000</v>
      </c>
      <c r="J166" s="16" t="s">
        <v>194</v>
      </c>
      <c r="K166" s="1"/>
    </row>
    <row r="167" spans="1:11" x14ac:dyDescent="0.95">
      <c r="A167" s="12"/>
      <c r="B167" s="16" t="s">
        <v>195</v>
      </c>
      <c r="C167" s="14">
        <v>8</v>
      </c>
      <c r="D167" s="15" t="s">
        <v>172</v>
      </c>
      <c r="E167" s="14">
        <v>2670</v>
      </c>
      <c r="F167" s="14">
        <v>21360</v>
      </c>
      <c r="G167" s="14">
        <v>400</v>
      </c>
      <c r="H167" s="14">
        <v>3200</v>
      </c>
      <c r="I167" s="14">
        <f t="shared" si="9"/>
        <v>24560</v>
      </c>
      <c r="J167" s="16"/>
      <c r="K167" s="1"/>
    </row>
    <row r="168" spans="1:11" x14ac:dyDescent="0.95">
      <c r="A168" s="12"/>
      <c r="B168" s="16" t="s">
        <v>196</v>
      </c>
      <c r="C168" s="14">
        <v>8</v>
      </c>
      <c r="D168" s="15" t="s">
        <v>172</v>
      </c>
      <c r="E168" s="14">
        <v>2670</v>
      </c>
      <c r="F168" s="14">
        <v>21360</v>
      </c>
      <c r="G168" s="14">
        <v>400</v>
      </c>
      <c r="H168" s="14">
        <v>3200</v>
      </c>
      <c r="I168" s="14">
        <f t="shared" si="9"/>
        <v>24560</v>
      </c>
      <c r="J168" s="16"/>
      <c r="K168" s="1"/>
    </row>
    <row r="169" spans="1:11" x14ac:dyDescent="0.95">
      <c r="A169" s="12"/>
      <c r="B169" s="16" t="s">
        <v>197</v>
      </c>
      <c r="C169" s="14">
        <v>16</v>
      </c>
      <c r="D169" s="15" t="s">
        <v>172</v>
      </c>
      <c r="E169" s="14">
        <v>1458</v>
      </c>
      <c r="F169" s="14">
        <v>23328</v>
      </c>
      <c r="G169" s="14">
        <v>400</v>
      </c>
      <c r="H169" s="14">
        <v>6400</v>
      </c>
      <c r="I169" s="14">
        <f t="shared" si="9"/>
        <v>29728</v>
      </c>
      <c r="J169" s="16"/>
      <c r="K169" s="1"/>
    </row>
    <row r="170" spans="1:11" x14ac:dyDescent="0.95">
      <c r="A170" s="12"/>
      <c r="B170" s="16" t="s">
        <v>198</v>
      </c>
      <c r="C170" s="14">
        <v>2</v>
      </c>
      <c r="D170" s="15" t="s">
        <v>172</v>
      </c>
      <c r="E170" s="14">
        <v>0</v>
      </c>
      <c r="F170" s="14">
        <v>0</v>
      </c>
      <c r="G170" s="14">
        <v>3300</v>
      </c>
      <c r="H170" s="14">
        <v>6600</v>
      </c>
      <c r="I170" s="14">
        <f t="shared" si="9"/>
        <v>6600</v>
      </c>
      <c r="J170" s="16" t="s">
        <v>194</v>
      </c>
      <c r="K170" s="1"/>
    </row>
    <row r="171" spans="1:11" x14ac:dyDescent="0.95">
      <c r="A171" s="12"/>
      <c r="B171" s="16" t="s">
        <v>199</v>
      </c>
      <c r="C171" s="14">
        <v>8</v>
      </c>
      <c r="D171" s="15" t="s">
        <v>172</v>
      </c>
      <c r="E171" s="14">
        <v>0</v>
      </c>
      <c r="F171" s="14">
        <v>0</v>
      </c>
      <c r="G171" s="14">
        <v>2500</v>
      </c>
      <c r="H171" s="14">
        <v>20000</v>
      </c>
      <c r="I171" s="14">
        <f t="shared" si="9"/>
        <v>20000</v>
      </c>
      <c r="J171" s="16" t="s">
        <v>194</v>
      </c>
      <c r="K171" s="1"/>
    </row>
    <row r="172" spans="1:11" x14ac:dyDescent="0.95">
      <c r="A172" s="12"/>
      <c r="B172" s="16" t="s">
        <v>200</v>
      </c>
      <c r="C172" s="14">
        <v>8</v>
      </c>
      <c r="D172" s="15" t="s">
        <v>172</v>
      </c>
      <c r="E172" s="14">
        <v>0</v>
      </c>
      <c r="F172" s="14">
        <v>0</v>
      </c>
      <c r="G172" s="14">
        <v>1200</v>
      </c>
      <c r="H172" s="14">
        <v>9600</v>
      </c>
      <c r="I172" s="14">
        <f t="shared" si="9"/>
        <v>9600</v>
      </c>
      <c r="J172" s="16" t="s">
        <v>194</v>
      </c>
      <c r="K172" s="1"/>
    </row>
    <row r="173" spans="1:11" x14ac:dyDescent="0.95">
      <c r="A173" s="12"/>
      <c r="B173" s="16" t="s">
        <v>201</v>
      </c>
      <c r="C173" s="14">
        <v>2</v>
      </c>
      <c r="D173" s="15" t="s">
        <v>172</v>
      </c>
      <c r="E173" s="14">
        <v>0</v>
      </c>
      <c r="F173" s="14">
        <v>0</v>
      </c>
      <c r="G173" s="14">
        <v>4400</v>
      </c>
      <c r="H173" s="14">
        <v>8800</v>
      </c>
      <c r="I173" s="14">
        <f t="shared" si="9"/>
        <v>8800</v>
      </c>
      <c r="J173" s="16" t="s">
        <v>194</v>
      </c>
      <c r="K173" s="1"/>
    </row>
    <row r="174" spans="1:11" x14ac:dyDescent="0.95">
      <c r="A174" s="12"/>
      <c r="B174" s="16" t="s">
        <v>202</v>
      </c>
      <c r="C174" s="14">
        <v>2</v>
      </c>
      <c r="D174" s="15" t="s">
        <v>172</v>
      </c>
      <c r="E174" s="14">
        <v>0</v>
      </c>
      <c r="F174" s="14">
        <v>0</v>
      </c>
      <c r="G174" s="14">
        <v>5300</v>
      </c>
      <c r="H174" s="14">
        <v>10600</v>
      </c>
      <c r="I174" s="14">
        <f t="shared" si="9"/>
        <v>10600</v>
      </c>
      <c r="J174" s="16" t="s">
        <v>194</v>
      </c>
      <c r="K174" s="1"/>
    </row>
    <row r="175" spans="1:11" s="4" customFormat="1" x14ac:dyDescent="0.95">
      <c r="A175" s="17"/>
      <c r="B175" s="13" t="s">
        <v>203</v>
      </c>
      <c r="C175" s="18"/>
      <c r="D175" s="19"/>
      <c r="E175" s="18"/>
      <c r="F175" s="18">
        <f>ROUND(SUM(F166,F167,F168,F169,F170,F171,F172,F173,F174),2)</f>
        <v>66048</v>
      </c>
      <c r="G175" s="18"/>
      <c r="H175" s="18">
        <f>ROUND(SUM(H166,H167,H168,H169,H170,H171,H172,H173,H174),2)</f>
        <v>132400</v>
      </c>
      <c r="I175" s="18">
        <f t="shared" si="9"/>
        <v>198448</v>
      </c>
      <c r="J175" s="13"/>
      <c r="K175" s="5"/>
    </row>
    <row r="176" spans="1:11" s="4" customFormat="1" x14ac:dyDescent="0.95">
      <c r="A176" s="17"/>
      <c r="B176" s="13" t="s">
        <v>204</v>
      </c>
      <c r="C176" s="18"/>
      <c r="D176" s="19"/>
      <c r="E176" s="18"/>
      <c r="F176" s="18"/>
      <c r="G176" s="18"/>
      <c r="H176" s="18"/>
      <c r="I176" s="18"/>
      <c r="J176" s="13"/>
      <c r="K176" s="5"/>
    </row>
    <row r="177" spans="1:11" x14ac:dyDescent="0.95">
      <c r="A177" s="12"/>
      <c r="B177" s="16" t="s">
        <v>205</v>
      </c>
      <c r="C177" s="14">
        <v>256</v>
      </c>
      <c r="D177" s="15" t="s">
        <v>36</v>
      </c>
      <c r="E177" s="14">
        <v>250</v>
      </c>
      <c r="F177" s="14">
        <v>64000</v>
      </c>
      <c r="G177" s="14">
        <v>150</v>
      </c>
      <c r="H177" s="14">
        <v>38400</v>
      </c>
      <c r="I177" s="14">
        <f t="shared" ref="I177:I182" si="10">ROUND(F177+H177,2)</f>
        <v>102400</v>
      </c>
      <c r="J177" s="16"/>
      <c r="K177" s="1"/>
    </row>
    <row r="178" spans="1:11" x14ac:dyDescent="0.95">
      <c r="A178" s="12"/>
      <c r="B178" s="16" t="s">
        <v>206</v>
      </c>
      <c r="C178" s="14">
        <v>32</v>
      </c>
      <c r="D178" s="15" t="s">
        <v>36</v>
      </c>
      <c r="E178" s="14">
        <v>250</v>
      </c>
      <c r="F178" s="14">
        <v>8000</v>
      </c>
      <c r="G178" s="14">
        <v>150</v>
      </c>
      <c r="H178" s="14">
        <v>4800</v>
      </c>
      <c r="I178" s="14">
        <f t="shared" si="10"/>
        <v>12800</v>
      </c>
      <c r="J178" s="16"/>
      <c r="K178" s="1"/>
    </row>
    <row r="179" spans="1:11" x14ac:dyDescent="0.95">
      <c r="A179" s="12"/>
      <c r="B179" s="16" t="s">
        <v>207</v>
      </c>
      <c r="C179" s="14">
        <v>48</v>
      </c>
      <c r="D179" s="15" t="s">
        <v>36</v>
      </c>
      <c r="E179" s="14">
        <v>300</v>
      </c>
      <c r="F179" s="14">
        <v>14400</v>
      </c>
      <c r="G179" s="14">
        <v>150</v>
      </c>
      <c r="H179" s="14">
        <v>7200</v>
      </c>
      <c r="I179" s="14">
        <f t="shared" si="10"/>
        <v>21600</v>
      </c>
      <c r="J179" s="16"/>
      <c r="K179" s="1"/>
    </row>
    <row r="180" spans="1:11" x14ac:dyDescent="0.95">
      <c r="A180" s="12"/>
      <c r="B180" s="16" t="s">
        <v>208</v>
      </c>
      <c r="C180" s="14">
        <v>192</v>
      </c>
      <c r="D180" s="15" t="s">
        <v>36</v>
      </c>
      <c r="E180" s="14">
        <v>250</v>
      </c>
      <c r="F180" s="14">
        <v>48000</v>
      </c>
      <c r="G180" s="14">
        <v>170</v>
      </c>
      <c r="H180" s="14">
        <v>32640</v>
      </c>
      <c r="I180" s="14">
        <f t="shared" si="10"/>
        <v>80640</v>
      </c>
      <c r="J180" s="16"/>
      <c r="K180" s="1"/>
    </row>
    <row r="181" spans="1:11" x14ac:dyDescent="0.95">
      <c r="A181" s="12"/>
      <c r="B181" s="16" t="s">
        <v>209</v>
      </c>
      <c r="C181" s="14">
        <v>192</v>
      </c>
      <c r="D181" s="15" t="s">
        <v>36</v>
      </c>
      <c r="E181" s="14">
        <v>38</v>
      </c>
      <c r="F181" s="14">
        <v>7296</v>
      </c>
      <c r="G181" s="14">
        <v>1000</v>
      </c>
      <c r="H181" s="14">
        <v>48000</v>
      </c>
      <c r="I181" s="14">
        <f t="shared" si="10"/>
        <v>55296</v>
      </c>
      <c r="J181" s="16"/>
      <c r="K181" s="1"/>
    </row>
    <row r="182" spans="1:11" s="4" customFormat="1" x14ac:dyDescent="0.95">
      <c r="A182" s="17"/>
      <c r="B182" s="13" t="s">
        <v>210</v>
      </c>
      <c r="C182" s="18"/>
      <c r="D182" s="19"/>
      <c r="E182" s="18"/>
      <c r="F182" s="18">
        <f>ROUND(SUM(F177,F178,F179,F180,F181),2)</f>
        <v>141696</v>
      </c>
      <c r="G182" s="18"/>
      <c r="H182" s="18">
        <f>ROUND(SUM(H177,H178,H179,H180,H181),2)</f>
        <v>131040</v>
      </c>
      <c r="I182" s="18">
        <f t="shared" si="10"/>
        <v>272736</v>
      </c>
      <c r="J182" s="13"/>
      <c r="K182" s="5"/>
    </row>
    <row r="183" spans="1:11" s="4" customFormat="1" x14ac:dyDescent="0.95">
      <c r="A183" s="17"/>
      <c r="B183" s="13" t="s">
        <v>211</v>
      </c>
      <c r="C183" s="18"/>
      <c r="D183" s="19"/>
      <c r="E183" s="18"/>
      <c r="F183" s="18"/>
      <c r="G183" s="18"/>
      <c r="H183" s="18"/>
      <c r="I183" s="18"/>
      <c r="J183" s="13"/>
      <c r="K183" s="5"/>
    </row>
    <row r="184" spans="1:11" x14ac:dyDescent="0.95">
      <c r="A184" s="12"/>
      <c r="B184" s="16" t="s">
        <v>212</v>
      </c>
      <c r="C184" s="14">
        <v>366.32</v>
      </c>
      <c r="D184" s="15" t="s">
        <v>36</v>
      </c>
      <c r="E184" s="14">
        <v>60</v>
      </c>
      <c r="F184" s="14">
        <v>21979.200000000001</v>
      </c>
      <c r="G184" s="14">
        <v>25</v>
      </c>
      <c r="H184" s="14">
        <v>9158</v>
      </c>
      <c r="I184" s="14">
        <f t="shared" ref="I184:I198" si="11">ROUND(F184+H184,2)</f>
        <v>31137.200000000001</v>
      </c>
      <c r="J184" s="16"/>
      <c r="K184" s="1"/>
    </row>
    <row r="185" spans="1:11" x14ac:dyDescent="0.95">
      <c r="A185" s="12"/>
      <c r="B185" s="16" t="s">
        <v>213</v>
      </c>
      <c r="C185" s="14">
        <v>888</v>
      </c>
      <c r="D185" s="15" t="s">
        <v>36</v>
      </c>
      <c r="E185" s="14">
        <v>60</v>
      </c>
      <c r="F185" s="14">
        <v>53280</v>
      </c>
      <c r="G185" s="14">
        <v>25</v>
      </c>
      <c r="H185" s="14">
        <v>22200</v>
      </c>
      <c r="I185" s="14">
        <f t="shared" si="11"/>
        <v>75480</v>
      </c>
      <c r="J185" s="16"/>
      <c r="K185" s="1"/>
    </row>
    <row r="186" spans="1:11" x14ac:dyDescent="0.95">
      <c r="A186" s="12"/>
      <c r="B186" s="16" t="s">
        <v>214</v>
      </c>
      <c r="C186" s="14">
        <v>370.24</v>
      </c>
      <c r="D186" s="15" t="s">
        <v>36</v>
      </c>
      <c r="E186" s="14">
        <v>45</v>
      </c>
      <c r="F186" s="14">
        <v>16660.8</v>
      </c>
      <c r="G186" s="14">
        <v>25</v>
      </c>
      <c r="H186" s="14">
        <v>9256</v>
      </c>
      <c r="I186" s="14">
        <f t="shared" si="11"/>
        <v>25916.799999999999</v>
      </c>
      <c r="J186" s="16"/>
      <c r="K186" s="1"/>
    </row>
    <row r="187" spans="1:11" x14ac:dyDescent="0.95">
      <c r="A187" s="12"/>
      <c r="B187" s="16" t="s">
        <v>215</v>
      </c>
      <c r="C187" s="14">
        <v>60</v>
      </c>
      <c r="D187" s="15" t="s">
        <v>36</v>
      </c>
      <c r="E187" s="14">
        <v>45</v>
      </c>
      <c r="F187" s="14">
        <v>2700</v>
      </c>
      <c r="G187" s="14">
        <v>25</v>
      </c>
      <c r="H187" s="14">
        <v>1500</v>
      </c>
      <c r="I187" s="14">
        <f t="shared" si="11"/>
        <v>4200</v>
      </c>
      <c r="J187" s="16"/>
      <c r="K187" s="1"/>
    </row>
    <row r="188" spans="1:11" x14ac:dyDescent="0.95">
      <c r="A188" s="12"/>
      <c r="B188" s="16" t="s">
        <v>216</v>
      </c>
      <c r="C188" s="14">
        <v>216</v>
      </c>
      <c r="D188" s="15" t="s">
        <v>36</v>
      </c>
      <c r="E188" s="14">
        <v>45</v>
      </c>
      <c r="F188" s="14">
        <v>9720</v>
      </c>
      <c r="G188" s="14">
        <v>25</v>
      </c>
      <c r="H188" s="14">
        <v>5400</v>
      </c>
      <c r="I188" s="14">
        <f t="shared" si="11"/>
        <v>15120</v>
      </c>
      <c r="J188" s="16"/>
      <c r="K188" s="1"/>
    </row>
    <row r="189" spans="1:11" x14ac:dyDescent="0.95">
      <c r="A189" s="12"/>
      <c r="B189" s="16" t="s">
        <v>217</v>
      </c>
      <c r="C189" s="14">
        <v>204.96</v>
      </c>
      <c r="D189" s="15" t="s">
        <v>36</v>
      </c>
      <c r="E189" s="14">
        <v>45</v>
      </c>
      <c r="F189" s="14">
        <v>9223.2000000000007</v>
      </c>
      <c r="G189" s="14">
        <v>25</v>
      </c>
      <c r="H189" s="14">
        <v>5124</v>
      </c>
      <c r="I189" s="14">
        <f t="shared" si="11"/>
        <v>14347.2</v>
      </c>
      <c r="J189" s="16"/>
      <c r="K189" s="1"/>
    </row>
    <row r="190" spans="1:11" x14ac:dyDescent="0.95">
      <c r="A190" s="12"/>
      <c r="B190" s="16" t="s">
        <v>218</v>
      </c>
      <c r="C190" s="14">
        <v>40</v>
      </c>
      <c r="D190" s="15" t="s">
        <v>36</v>
      </c>
      <c r="E190" s="14">
        <v>45</v>
      </c>
      <c r="F190" s="14">
        <v>1800</v>
      </c>
      <c r="G190" s="14">
        <v>25</v>
      </c>
      <c r="H190" s="14">
        <v>1000</v>
      </c>
      <c r="I190" s="14">
        <f t="shared" si="11"/>
        <v>2800</v>
      </c>
      <c r="J190" s="16"/>
      <c r="K190" s="1"/>
    </row>
    <row r="191" spans="1:11" x14ac:dyDescent="0.95">
      <c r="A191" s="12"/>
      <c r="B191" s="16" t="s">
        <v>219</v>
      </c>
      <c r="C191" s="14">
        <v>8.94</v>
      </c>
      <c r="D191" s="15" t="s">
        <v>36</v>
      </c>
      <c r="E191" s="14">
        <v>45</v>
      </c>
      <c r="F191" s="14">
        <v>402.3</v>
      </c>
      <c r="G191" s="14">
        <v>25</v>
      </c>
      <c r="H191" s="14">
        <v>223.5</v>
      </c>
      <c r="I191" s="14">
        <f t="shared" si="11"/>
        <v>625.79999999999995</v>
      </c>
      <c r="J191" s="16"/>
      <c r="K191" s="1"/>
    </row>
    <row r="192" spans="1:11" x14ac:dyDescent="0.95">
      <c r="A192" s="12"/>
      <c r="B192" s="16" t="s">
        <v>220</v>
      </c>
      <c r="C192" s="14">
        <v>16</v>
      </c>
      <c r="D192" s="15" t="s">
        <v>36</v>
      </c>
      <c r="E192" s="14">
        <v>45</v>
      </c>
      <c r="F192" s="14">
        <v>720</v>
      </c>
      <c r="G192" s="14">
        <v>25</v>
      </c>
      <c r="H192" s="14">
        <v>400</v>
      </c>
      <c r="I192" s="14">
        <f t="shared" si="11"/>
        <v>1120</v>
      </c>
      <c r="J192" s="16"/>
      <c r="K192" s="1"/>
    </row>
    <row r="193" spans="1:11" x14ac:dyDescent="0.95">
      <c r="A193" s="12"/>
      <c r="B193" s="16" t="s">
        <v>221</v>
      </c>
      <c r="C193" s="14">
        <v>40</v>
      </c>
      <c r="D193" s="15" t="s">
        <v>36</v>
      </c>
      <c r="E193" s="14">
        <v>45</v>
      </c>
      <c r="F193" s="14">
        <v>1800</v>
      </c>
      <c r="G193" s="14">
        <v>25</v>
      </c>
      <c r="H193" s="14">
        <v>1000</v>
      </c>
      <c r="I193" s="14">
        <f t="shared" si="11"/>
        <v>2800</v>
      </c>
      <c r="J193" s="16"/>
      <c r="K193" s="1"/>
    </row>
    <row r="194" spans="1:11" x14ac:dyDescent="0.95">
      <c r="A194" s="12"/>
      <c r="B194" s="16" t="s">
        <v>222</v>
      </c>
      <c r="C194" s="14">
        <v>49.92</v>
      </c>
      <c r="D194" s="15" t="s">
        <v>36</v>
      </c>
      <c r="E194" s="14">
        <v>45</v>
      </c>
      <c r="F194" s="14">
        <v>2246.4</v>
      </c>
      <c r="G194" s="14">
        <v>25</v>
      </c>
      <c r="H194" s="14">
        <v>1248</v>
      </c>
      <c r="I194" s="14">
        <f t="shared" si="11"/>
        <v>3494.4</v>
      </c>
      <c r="J194" s="16"/>
      <c r="K194" s="1"/>
    </row>
    <row r="195" spans="1:11" x14ac:dyDescent="0.95">
      <c r="A195" s="12"/>
      <c r="B195" s="16" t="s">
        <v>223</v>
      </c>
      <c r="C195" s="14">
        <v>8</v>
      </c>
      <c r="D195" s="15" t="s">
        <v>224</v>
      </c>
      <c r="E195" s="14"/>
      <c r="F195" s="14">
        <v>0</v>
      </c>
      <c r="G195" s="14">
        <v>2000</v>
      </c>
      <c r="H195" s="14">
        <v>13000</v>
      </c>
      <c r="I195" s="14">
        <f t="shared" si="11"/>
        <v>13000</v>
      </c>
      <c r="J195" s="16"/>
      <c r="K195" s="1"/>
    </row>
    <row r="196" spans="1:11" x14ac:dyDescent="0.95">
      <c r="A196" s="12"/>
      <c r="B196" s="16" t="s">
        <v>225</v>
      </c>
      <c r="C196" s="14">
        <v>1417.44</v>
      </c>
      <c r="D196" s="15" t="s">
        <v>36</v>
      </c>
      <c r="E196" s="14">
        <v>15</v>
      </c>
      <c r="F196" s="14">
        <v>21261.599999999999</v>
      </c>
      <c r="G196" s="14">
        <v>20</v>
      </c>
      <c r="H196" s="14">
        <v>28348.799999999999</v>
      </c>
      <c r="I196" s="14">
        <f t="shared" si="11"/>
        <v>49610.400000000001</v>
      </c>
      <c r="J196" s="16"/>
      <c r="K196" s="1"/>
    </row>
    <row r="197" spans="1:11" x14ac:dyDescent="0.95">
      <c r="A197" s="12"/>
      <c r="B197" s="16" t="s">
        <v>226</v>
      </c>
      <c r="C197" s="14">
        <v>8</v>
      </c>
      <c r="D197" s="15" t="s">
        <v>166</v>
      </c>
      <c r="E197" s="14">
        <v>0</v>
      </c>
      <c r="F197" s="14">
        <v>0</v>
      </c>
      <c r="G197" s="14">
        <v>100</v>
      </c>
      <c r="H197" s="14">
        <v>800</v>
      </c>
      <c r="I197" s="14">
        <f t="shared" si="11"/>
        <v>800</v>
      </c>
      <c r="J197" s="16"/>
      <c r="K197" s="1"/>
    </row>
    <row r="198" spans="1:11" s="4" customFormat="1" x14ac:dyDescent="0.95">
      <c r="A198" s="17"/>
      <c r="B198" s="13" t="s">
        <v>227</v>
      </c>
      <c r="C198" s="18"/>
      <c r="D198" s="19"/>
      <c r="E198" s="18"/>
      <c r="F198" s="18">
        <f>ROUND(SUM(F184,F185,F186,F187,F188,F189,F190,F191,F192,F193,F194,F195,F196,F197),2)</f>
        <v>141793.5</v>
      </c>
      <c r="G198" s="18"/>
      <c r="H198" s="18">
        <f>ROUND(SUM(H184,H185,H186,H187,H188,H189,H190,H191,H192,H193,H194,H195,H196,H197),2)</f>
        <v>98658.3</v>
      </c>
      <c r="I198" s="18">
        <f t="shared" si="11"/>
        <v>240451.8</v>
      </c>
      <c r="J198" s="13"/>
      <c r="K198" s="5"/>
    </row>
    <row r="199" spans="1:11" s="4" customFormat="1" x14ac:dyDescent="0.95">
      <c r="A199" s="17"/>
      <c r="B199" s="13" t="s">
        <v>228</v>
      </c>
      <c r="C199" s="18"/>
      <c r="D199" s="19"/>
      <c r="E199" s="18"/>
      <c r="F199" s="18"/>
      <c r="G199" s="18"/>
      <c r="H199" s="18"/>
      <c r="I199" s="18"/>
      <c r="J199" s="13"/>
      <c r="K199" s="5"/>
    </row>
    <row r="200" spans="1:11" x14ac:dyDescent="0.95">
      <c r="A200" s="12"/>
      <c r="B200" s="16" t="s">
        <v>56</v>
      </c>
      <c r="C200" s="14">
        <v>64</v>
      </c>
      <c r="D200" s="15" t="s">
        <v>57</v>
      </c>
      <c r="E200" s="14">
        <v>225</v>
      </c>
      <c r="F200" s="14">
        <v>14400</v>
      </c>
      <c r="G200" s="14">
        <v>0</v>
      </c>
      <c r="H200" s="14">
        <v>0</v>
      </c>
      <c r="I200" s="14">
        <f t="shared" ref="I200:I213" si="12">ROUND(F200+H200,2)</f>
        <v>14400</v>
      </c>
      <c r="J200" s="16"/>
      <c r="K200" s="1"/>
    </row>
    <row r="201" spans="1:11" x14ac:dyDescent="0.95">
      <c r="A201" s="12"/>
      <c r="B201" s="16" t="s">
        <v>229</v>
      </c>
      <c r="C201" s="14">
        <v>64</v>
      </c>
      <c r="D201" s="15" t="s">
        <v>172</v>
      </c>
      <c r="E201" s="14">
        <v>25</v>
      </c>
      <c r="F201" s="14">
        <v>1600</v>
      </c>
      <c r="G201" s="14">
        <v>0</v>
      </c>
      <c r="H201" s="14">
        <v>0</v>
      </c>
      <c r="I201" s="14">
        <f t="shared" si="12"/>
        <v>1600</v>
      </c>
      <c r="J201" s="16"/>
      <c r="K201" s="1"/>
    </row>
    <row r="202" spans="1:11" x14ac:dyDescent="0.95">
      <c r="A202" s="12"/>
      <c r="B202" s="16" t="s">
        <v>230</v>
      </c>
      <c r="C202" s="14">
        <v>16</v>
      </c>
      <c r="D202" s="15" t="s">
        <v>172</v>
      </c>
      <c r="E202" s="14">
        <v>99</v>
      </c>
      <c r="F202" s="14">
        <v>1584</v>
      </c>
      <c r="G202" s="14">
        <v>0</v>
      </c>
      <c r="H202" s="14">
        <v>0</v>
      </c>
      <c r="I202" s="14">
        <f t="shared" si="12"/>
        <v>1584</v>
      </c>
      <c r="J202" s="16"/>
      <c r="K202" s="1"/>
    </row>
    <row r="203" spans="1:11" x14ac:dyDescent="0.95">
      <c r="A203" s="12"/>
      <c r="B203" s="16" t="s">
        <v>231</v>
      </c>
      <c r="C203" s="14">
        <v>16</v>
      </c>
      <c r="D203" s="15" t="s">
        <v>172</v>
      </c>
      <c r="E203" s="14">
        <v>99</v>
      </c>
      <c r="F203" s="14">
        <v>1584</v>
      </c>
      <c r="G203" s="14">
        <v>0</v>
      </c>
      <c r="H203" s="14">
        <v>0</v>
      </c>
      <c r="I203" s="14">
        <f t="shared" si="12"/>
        <v>1584</v>
      </c>
      <c r="J203" s="16"/>
      <c r="K203" s="1"/>
    </row>
    <row r="204" spans="1:11" x14ac:dyDescent="0.95">
      <c r="A204" s="12"/>
      <c r="B204" s="16" t="s">
        <v>232</v>
      </c>
      <c r="C204" s="14">
        <v>1.33</v>
      </c>
      <c r="D204" s="15" t="s">
        <v>57</v>
      </c>
      <c r="E204" s="14">
        <v>335</v>
      </c>
      <c r="F204" s="14">
        <v>446.67</v>
      </c>
      <c r="G204" s="14">
        <v>0</v>
      </c>
      <c r="H204" s="14">
        <v>0</v>
      </c>
      <c r="I204" s="14">
        <f t="shared" si="12"/>
        <v>446.67</v>
      </c>
      <c r="J204" s="16"/>
      <c r="K204" s="1"/>
    </row>
    <row r="205" spans="1:11" x14ac:dyDescent="0.95">
      <c r="A205" s="12"/>
      <c r="B205" s="16" t="s">
        <v>67</v>
      </c>
      <c r="C205" s="14">
        <v>1.33</v>
      </c>
      <c r="D205" s="15" t="s">
        <v>68</v>
      </c>
      <c r="E205" s="14">
        <v>1240</v>
      </c>
      <c r="F205" s="14">
        <v>1653.33</v>
      </c>
      <c r="G205" s="14">
        <v>0</v>
      </c>
      <c r="H205" s="14">
        <v>0</v>
      </c>
      <c r="I205" s="14">
        <f t="shared" si="12"/>
        <v>1653.33</v>
      </c>
      <c r="J205" s="16"/>
      <c r="K205" s="1"/>
    </row>
    <row r="206" spans="1:11" x14ac:dyDescent="0.95">
      <c r="A206" s="12"/>
      <c r="B206" s="16" t="s">
        <v>69</v>
      </c>
      <c r="C206" s="14">
        <v>2.67</v>
      </c>
      <c r="D206" s="15" t="s">
        <v>70</v>
      </c>
      <c r="E206" s="14">
        <v>1089</v>
      </c>
      <c r="F206" s="14">
        <v>2904</v>
      </c>
      <c r="G206" s="14">
        <v>0</v>
      </c>
      <c r="H206" s="14">
        <v>0</v>
      </c>
      <c r="I206" s="14">
        <f t="shared" si="12"/>
        <v>2904</v>
      </c>
      <c r="J206" s="16"/>
      <c r="K206" s="1"/>
    </row>
    <row r="207" spans="1:11" x14ac:dyDescent="0.95">
      <c r="A207" s="12"/>
      <c r="B207" s="16" t="s">
        <v>72</v>
      </c>
      <c r="C207" s="14">
        <v>1.36</v>
      </c>
      <c r="D207" s="15" t="s">
        <v>68</v>
      </c>
      <c r="E207" s="14">
        <v>1595</v>
      </c>
      <c r="F207" s="14">
        <v>2169.1999999999998</v>
      </c>
      <c r="G207" s="14">
        <v>0</v>
      </c>
      <c r="H207" s="14">
        <v>0</v>
      </c>
      <c r="I207" s="14">
        <f t="shared" si="12"/>
        <v>2169.1999999999998</v>
      </c>
      <c r="J207" s="16"/>
      <c r="K207" s="1"/>
    </row>
    <row r="208" spans="1:11" x14ac:dyDescent="0.95">
      <c r="A208" s="12"/>
      <c r="B208" s="16" t="s">
        <v>71</v>
      </c>
      <c r="C208" s="14">
        <v>5.33</v>
      </c>
      <c r="D208" s="15" t="s">
        <v>70</v>
      </c>
      <c r="E208" s="14">
        <v>389</v>
      </c>
      <c r="F208" s="14">
        <v>2074.67</v>
      </c>
      <c r="G208" s="14">
        <v>0</v>
      </c>
      <c r="H208" s="14">
        <v>0</v>
      </c>
      <c r="I208" s="14">
        <f t="shared" si="12"/>
        <v>2074.67</v>
      </c>
      <c r="J208" s="16"/>
      <c r="K208" s="1"/>
    </row>
    <row r="209" spans="1:11" x14ac:dyDescent="0.95">
      <c r="A209" s="12"/>
      <c r="B209" s="16" t="s">
        <v>233</v>
      </c>
      <c r="C209" s="14">
        <v>1.36</v>
      </c>
      <c r="D209" s="15" t="s">
        <v>146</v>
      </c>
      <c r="E209" s="14">
        <v>357</v>
      </c>
      <c r="F209" s="14">
        <v>485.52</v>
      </c>
      <c r="G209" s="14">
        <v>0</v>
      </c>
      <c r="H209" s="14">
        <v>0</v>
      </c>
      <c r="I209" s="14">
        <f t="shared" si="12"/>
        <v>485.52</v>
      </c>
      <c r="J209" s="16"/>
      <c r="K209" s="1"/>
    </row>
    <row r="210" spans="1:11" x14ac:dyDescent="0.95">
      <c r="A210" s="12"/>
      <c r="B210" s="16" t="s">
        <v>234</v>
      </c>
      <c r="C210" s="14">
        <v>1.36</v>
      </c>
      <c r="D210" s="15" t="s">
        <v>146</v>
      </c>
      <c r="E210" s="14">
        <v>329</v>
      </c>
      <c r="F210" s="14">
        <v>447.44</v>
      </c>
      <c r="G210" s="14">
        <v>0</v>
      </c>
      <c r="H210" s="14">
        <v>0</v>
      </c>
      <c r="I210" s="14">
        <f t="shared" si="12"/>
        <v>447.44</v>
      </c>
      <c r="J210" s="16"/>
      <c r="K210" s="1"/>
    </row>
    <row r="211" spans="1:11" x14ac:dyDescent="0.95">
      <c r="A211" s="12"/>
      <c r="B211" s="16" t="s">
        <v>235</v>
      </c>
      <c r="C211" s="14">
        <v>8</v>
      </c>
      <c r="D211" s="15" t="s">
        <v>77</v>
      </c>
      <c r="E211" s="14">
        <v>0</v>
      </c>
      <c r="F211" s="14">
        <v>0</v>
      </c>
      <c r="G211" s="14">
        <v>1600</v>
      </c>
      <c r="H211" s="14">
        <v>12800</v>
      </c>
      <c r="I211" s="14">
        <f t="shared" si="12"/>
        <v>12800</v>
      </c>
      <c r="J211" s="16"/>
      <c r="K211" s="1"/>
    </row>
    <row r="212" spans="1:11" s="4" customFormat="1" x14ac:dyDescent="0.95">
      <c r="A212" s="17"/>
      <c r="B212" s="13" t="s">
        <v>236</v>
      </c>
      <c r="C212" s="18"/>
      <c r="D212" s="19"/>
      <c r="E212" s="18"/>
      <c r="F212" s="18">
        <f>ROUND(SUM(F200,F201,F202,F203,F204,F205,F206,F207,F208,F209,F210,F211),2)</f>
        <v>29348.83</v>
      </c>
      <c r="G212" s="18"/>
      <c r="H212" s="18">
        <f>ROUND(SUM(H200,H201,H202,H203,H204,H205,H206,H207,H208,H209,H210,H211),2)</f>
        <v>12800</v>
      </c>
      <c r="I212" s="18">
        <f t="shared" si="12"/>
        <v>42148.83</v>
      </c>
      <c r="J212" s="13"/>
      <c r="K212" s="5"/>
    </row>
    <row r="213" spans="1:11" s="4" customFormat="1" x14ac:dyDescent="0.95">
      <c r="A213" s="8">
        <v>2</v>
      </c>
      <c r="B213" s="9" t="s">
        <v>237</v>
      </c>
      <c r="C213" s="10"/>
      <c r="D213" s="11" t="s">
        <v>84</v>
      </c>
      <c r="E213" s="10"/>
      <c r="F213" s="10">
        <f>ROUND(SUM(F68,F69,F70,F71,F72,F73,F74,F75,F76,F77,F78,F79,F80,F81,F82,F83,F84,F85,F86,F87,F88,F89,F90,F91,F92,F93,F96,F97,F100,F101,F102,F103,F104,F105,F106,F107,F108,F111,F112,F115,F116,F117,F118,F119,F122,F123,F124,F125,F126,F127,F128,F129,F130,F131,F132,F133,F134,F137,F138,F139,F140,F141,F142,F143,F146,F147,F148,F149,F150,F151,F152,F153,F154,F155,F156,F157,F158,F159,F160,F161,F162,F163,F166,F167,F168,F169,F170,F171,F172,F173,F174,F177,F178,F179,F180,F181,F184,F185,F186,F187,F188,F189,F190,F191,F192,F193,F194,F195,F196,F197,F200,F201,F202,F203,F204,F205,F206,F207,F208,F209,F210,F211),2)</f>
        <v>818708.49</v>
      </c>
      <c r="G213" s="10"/>
      <c r="H213" s="10">
        <f>ROUND(SUM(H68,H69,H70,H71,H72,H73,H74,H75,H76,H77,H78,H79,H80,H81,H82,H83,H84,H85,H86,H87,H88,H89,H90,H91,H92,H93,H96,H97,H100,H101,H102,H103,H104,H105,H106,H107,H108,H111,H112,H115,H116,H117,H118,H119,H122,H123,H124,H125,H126,H127,H128,H129,H130,H131,H132,H133,H134,H137,H138,H139,H140,H141,H142,H143,H146,H147,H148,H149,H150,H151,H152,H153,H154,H155,H156,H157,H158,H159,H160,H161,H162,H163,H166,H167,H168,H169,H170,H171,H172,H173,H174,H177,H178,H179,H180,H181,H184,H185,H186,H187,H188,H189,H190,H191,H192,H193,H194,H195,H196,H197,H200,H201,H202,H203,H204,H205,H206,H207,H208,H209,H210,H211),2)</f>
        <v>745486.98</v>
      </c>
      <c r="I213" s="10">
        <f t="shared" si="12"/>
        <v>1564195.47</v>
      </c>
      <c r="J213" s="9"/>
      <c r="K213" s="5"/>
    </row>
    <row r="214" spans="1:11" x14ac:dyDescent="0.95">
      <c r="A214" s="25"/>
      <c r="B214" s="26"/>
      <c r="C214" s="26"/>
      <c r="D214" s="26"/>
      <c r="E214" s="26"/>
      <c r="F214" s="26"/>
      <c r="G214" s="26"/>
      <c r="H214" s="26"/>
      <c r="I214" s="26"/>
      <c r="J214" s="27"/>
      <c r="K214" s="1"/>
    </row>
    <row r="215" spans="1:11" s="4" customFormat="1" x14ac:dyDescent="0.95">
      <c r="A215" s="8">
        <v>3</v>
      </c>
      <c r="B215" s="9" t="s">
        <v>238</v>
      </c>
      <c r="C215" s="10"/>
      <c r="D215" s="11"/>
      <c r="E215" s="10"/>
      <c r="F215" s="10"/>
      <c r="G215" s="10"/>
      <c r="H215" s="10"/>
      <c r="I215" s="10"/>
      <c r="J215" s="9"/>
      <c r="K215" s="5"/>
    </row>
    <row r="216" spans="1:11" s="4" customFormat="1" x14ac:dyDescent="0.95">
      <c r="A216" s="17"/>
      <c r="B216" s="13" t="s">
        <v>239</v>
      </c>
      <c r="C216" s="18"/>
      <c r="D216" s="19"/>
      <c r="E216" s="18"/>
      <c r="F216" s="18"/>
      <c r="G216" s="18"/>
      <c r="H216" s="18"/>
      <c r="I216" s="18"/>
      <c r="J216" s="13"/>
      <c r="K216" s="5"/>
    </row>
    <row r="217" spans="1:11" x14ac:dyDescent="0.95">
      <c r="A217" s="12"/>
      <c r="B217" s="16" t="s">
        <v>240</v>
      </c>
      <c r="C217" s="14">
        <v>120</v>
      </c>
      <c r="D217" s="15" t="s">
        <v>172</v>
      </c>
      <c r="E217" s="14">
        <v>31</v>
      </c>
      <c r="F217" s="14">
        <v>3720</v>
      </c>
      <c r="G217" s="14">
        <v>0</v>
      </c>
      <c r="H217" s="14">
        <v>0</v>
      </c>
      <c r="I217" s="14">
        <f t="shared" ref="I217:I222" si="13">ROUND(F217+H217,2)</f>
        <v>3720</v>
      </c>
      <c r="J217" s="16"/>
      <c r="K217" s="1"/>
    </row>
    <row r="218" spans="1:11" x14ac:dyDescent="0.95">
      <c r="A218" s="12"/>
      <c r="B218" s="16" t="s">
        <v>241</v>
      </c>
      <c r="C218" s="14">
        <v>128</v>
      </c>
      <c r="D218" s="15" t="s">
        <v>172</v>
      </c>
      <c r="E218" s="14">
        <v>65</v>
      </c>
      <c r="F218" s="14">
        <v>8320</v>
      </c>
      <c r="G218" s="14">
        <v>0</v>
      </c>
      <c r="H218" s="14">
        <v>0</v>
      </c>
      <c r="I218" s="14">
        <f t="shared" si="13"/>
        <v>8320</v>
      </c>
      <c r="J218" s="16"/>
      <c r="K218" s="1"/>
    </row>
    <row r="219" spans="1:11" x14ac:dyDescent="0.95">
      <c r="A219" s="12"/>
      <c r="B219" s="16" t="s">
        <v>242</v>
      </c>
      <c r="C219" s="14">
        <v>8</v>
      </c>
      <c r="D219" s="15" t="s">
        <v>172</v>
      </c>
      <c r="E219" s="14">
        <v>109</v>
      </c>
      <c r="F219" s="14">
        <v>872</v>
      </c>
      <c r="G219" s="14">
        <v>0</v>
      </c>
      <c r="H219" s="14">
        <v>0</v>
      </c>
      <c r="I219" s="14">
        <f t="shared" si="13"/>
        <v>872</v>
      </c>
      <c r="J219" s="16"/>
      <c r="K219" s="1"/>
    </row>
    <row r="220" spans="1:11" x14ac:dyDescent="0.95">
      <c r="A220" s="12"/>
      <c r="B220" s="16" t="s">
        <v>243</v>
      </c>
      <c r="C220" s="14">
        <v>8</v>
      </c>
      <c r="D220" s="15" t="s">
        <v>172</v>
      </c>
      <c r="E220" s="14">
        <v>349</v>
      </c>
      <c r="F220" s="14">
        <v>2792</v>
      </c>
      <c r="G220" s="14">
        <v>0</v>
      </c>
      <c r="H220" s="14">
        <v>0</v>
      </c>
      <c r="I220" s="14">
        <f t="shared" si="13"/>
        <v>2792</v>
      </c>
      <c r="J220" s="16"/>
      <c r="K220" s="1"/>
    </row>
    <row r="221" spans="1:11" x14ac:dyDescent="0.95">
      <c r="A221" s="12"/>
      <c r="B221" s="16" t="s">
        <v>244</v>
      </c>
      <c r="C221" s="14">
        <v>8</v>
      </c>
      <c r="D221" s="15" t="s">
        <v>172</v>
      </c>
      <c r="E221" s="14">
        <v>0</v>
      </c>
      <c r="F221" s="14">
        <v>0</v>
      </c>
      <c r="G221" s="14">
        <v>0</v>
      </c>
      <c r="H221" s="14">
        <v>0</v>
      </c>
      <c r="I221" s="14">
        <f t="shared" si="13"/>
        <v>0</v>
      </c>
      <c r="J221" s="16"/>
      <c r="K221" s="1"/>
    </row>
    <row r="222" spans="1:11" s="4" customFormat="1" x14ac:dyDescent="0.95">
      <c r="A222" s="17"/>
      <c r="B222" s="13" t="s">
        <v>245</v>
      </c>
      <c r="C222" s="18"/>
      <c r="D222" s="19"/>
      <c r="E222" s="18"/>
      <c r="F222" s="18">
        <f>ROUND(SUM(F217,F218,F219,F220,F221),2)</f>
        <v>15704</v>
      </c>
      <c r="G222" s="18"/>
      <c r="H222" s="18">
        <f>ROUND(SUM(H217,H218,H219,H220,H221),2)</f>
        <v>0</v>
      </c>
      <c r="I222" s="18">
        <f t="shared" si="13"/>
        <v>15704</v>
      </c>
      <c r="J222" s="13"/>
      <c r="K222" s="5"/>
    </row>
    <row r="223" spans="1:11" s="4" customFormat="1" x14ac:dyDescent="0.95">
      <c r="A223" s="17"/>
      <c r="B223" s="13" t="s">
        <v>246</v>
      </c>
      <c r="C223" s="18"/>
      <c r="D223" s="19"/>
      <c r="E223" s="18">
        <v>0</v>
      </c>
      <c r="F223" s="18">
        <v>0</v>
      </c>
      <c r="G223" s="18">
        <v>0</v>
      </c>
      <c r="H223" s="18">
        <v>0</v>
      </c>
      <c r="I223" s="18">
        <f>H223+F223</f>
        <v>0</v>
      </c>
      <c r="J223" s="13"/>
      <c r="K223" s="5"/>
    </row>
    <row r="224" spans="1:11" x14ac:dyDescent="0.95">
      <c r="A224" s="12"/>
      <c r="B224" s="16" t="s">
        <v>247</v>
      </c>
      <c r="C224" s="14">
        <v>24</v>
      </c>
      <c r="D224" s="15" t="s">
        <v>172</v>
      </c>
      <c r="E224" s="14">
        <v>0</v>
      </c>
      <c r="F224" s="14">
        <v>0</v>
      </c>
      <c r="G224" s="14">
        <v>0</v>
      </c>
      <c r="H224" s="14">
        <v>0</v>
      </c>
      <c r="I224" s="14">
        <f t="shared" ref="I224:I230" si="14">ROUND(F224+H224,2)</f>
        <v>0</v>
      </c>
      <c r="J224" s="16"/>
      <c r="K224" s="1"/>
    </row>
    <row r="225" spans="1:11" x14ac:dyDescent="0.95">
      <c r="A225" s="12"/>
      <c r="B225" s="16" t="s">
        <v>248</v>
      </c>
      <c r="C225" s="14">
        <v>24</v>
      </c>
      <c r="D225" s="15" t="s">
        <v>172</v>
      </c>
      <c r="E225" s="14">
        <v>0</v>
      </c>
      <c r="F225" s="14">
        <v>0</v>
      </c>
      <c r="G225" s="14">
        <v>0</v>
      </c>
      <c r="H225" s="14">
        <v>0</v>
      </c>
      <c r="I225" s="14">
        <f t="shared" si="14"/>
        <v>0</v>
      </c>
      <c r="J225" s="16"/>
      <c r="K225" s="1"/>
    </row>
    <row r="226" spans="1:11" x14ac:dyDescent="0.95">
      <c r="A226" s="12"/>
      <c r="B226" s="16" t="s">
        <v>249</v>
      </c>
      <c r="C226" s="14">
        <v>16</v>
      </c>
      <c r="D226" s="15" t="s">
        <v>172</v>
      </c>
      <c r="E226" s="14">
        <v>0</v>
      </c>
      <c r="F226" s="14">
        <v>0</v>
      </c>
      <c r="G226" s="14">
        <v>0</v>
      </c>
      <c r="H226" s="14">
        <v>0</v>
      </c>
      <c r="I226" s="14">
        <f t="shared" si="14"/>
        <v>0</v>
      </c>
      <c r="J226" s="16"/>
      <c r="K226" s="1"/>
    </row>
    <row r="227" spans="1:11" x14ac:dyDescent="0.95">
      <c r="A227" s="12"/>
      <c r="B227" s="16" t="s">
        <v>250</v>
      </c>
      <c r="C227" s="14">
        <v>88</v>
      </c>
      <c r="D227" s="15" t="s">
        <v>172</v>
      </c>
      <c r="E227" s="14">
        <v>0</v>
      </c>
      <c r="F227" s="14">
        <v>0</v>
      </c>
      <c r="G227" s="14">
        <v>0</v>
      </c>
      <c r="H227" s="14">
        <v>0</v>
      </c>
      <c r="I227" s="14">
        <f t="shared" si="14"/>
        <v>0</v>
      </c>
      <c r="J227" s="16"/>
      <c r="K227" s="1"/>
    </row>
    <row r="228" spans="1:11" x14ac:dyDescent="0.95">
      <c r="A228" s="12"/>
      <c r="B228" s="16" t="s">
        <v>251</v>
      </c>
      <c r="C228" s="14">
        <v>24</v>
      </c>
      <c r="D228" s="15" t="s">
        <v>172</v>
      </c>
      <c r="E228" s="14">
        <v>0</v>
      </c>
      <c r="F228" s="14">
        <v>0</v>
      </c>
      <c r="G228" s="14">
        <v>0</v>
      </c>
      <c r="H228" s="14">
        <v>0</v>
      </c>
      <c r="I228" s="14">
        <f t="shared" si="14"/>
        <v>0</v>
      </c>
      <c r="J228" s="16"/>
      <c r="K228" s="1"/>
    </row>
    <row r="229" spans="1:11" x14ac:dyDescent="0.95">
      <c r="A229" s="12"/>
      <c r="B229" s="16" t="s">
        <v>252</v>
      </c>
      <c r="C229" s="14">
        <v>8</v>
      </c>
      <c r="D229" s="15" t="s">
        <v>172</v>
      </c>
      <c r="E229" s="14">
        <v>0</v>
      </c>
      <c r="F229" s="14">
        <v>0</v>
      </c>
      <c r="G229" s="14">
        <v>0</v>
      </c>
      <c r="H229" s="14">
        <v>0</v>
      </c>
      <c r="I229" s="14">
        <f t="shared" si="14"/>
        <v>0</v>
      </c>
      <c r="J229" s="16"/>
      <c r="K229" s="1"/>
    </row>
    <row r="230" spans="1:11" s="4" customFormat="1" x14ac:dyDescent="0.95">
      <c r="A230" s="17"/>
      <c r="B230" s="13" t="s">
        <v>253</v>
      </c>
      <c r="C230" s="18"/>
      <c r="D230" s="19"/>
      <c r="E230" s="18"/>
      <c r="F230" s="18">
        <f>ROUND(SUM(F224,F225,F226,F227,F228,F229),2)</f>
        <v>0</v>
      </c>
      <c r="G230" s="18"/>
      <c r="H230" s="18">
        <f>ROUND(SUM(H224,H225,H226,H227,H228,H229),2)</f>
        <v>0</v>
      </c>
      <c r="I230" s="18">
        <f t="shared" si="14"/>
        <v>0</v>
      </c>
      <c r="J230" s="13"/>
      <c r="K230" s="5"/>
    </row>
    <row r="231" spans="1:11" s="4" customFormat="1" x14ac:dyDescent="0.95">
      <c r="A231" s="17"/>
      <c r="B231" s="13" t="s">
        <v>254</v>
      </c>
      <c r="C231" s="18"/>
      <c r="D231" s="19"/>
      <c r="E231" s="18">
        <v>0</v>
      </c>
      <c r="F231" s="18">
        <v>0</v>
      </c>
      <c r="G231" s="18">
        <v>0</v>
      </c>
      <c r="H231" s="18">
        <v>0</v>
      </c>
      <c r="I231" s="18">
        <v>0</v>
      </c>
      <c r="J231" s="13"/>
      <c r="K231" s="5"/>
    </row>
    <row r="232" spans="1:11" x14ac:dyDescent="0.95">
      <c r="A232" s="12"/>
      <c r="B232" s="16" t="s">
        <v>255</v>
      </c>
      <c r="C232" s="14">
        <v>8</v>
      </c>
      <c r="D232" s="15" t="s">
        <v>166</v>
      </c>
      <c r="E232" s="14">
        <v>0</v>
      </c>
      <c r="F232" s="14">
        <v>0</v>
      </c>
      <c r="G232" s="14">
        <v>0</v>
      </c>
      <c r="H232" s="14">
        <v>179100</v>
      </c>
      <c r="I232" s="14">
        <f>ROUND(F232+H232,2)</f>
        <v>179100</v>
      </c>
      <c r="J232" s="16"/>
      <c r="K232" s="1"/>
    </row>
    <row r="233" spans="1:11" s="4" customFormat="1" x14ac:dyDescent="0.95">
      <c r="A233" s="17"/>
      <c r="B233" s="13" t="s">
        <v>256</v>
      </c>
      <c r="C233" s="18"/>
      <c r="D233" s="19"/>
      <c r="E233" s="18"/>
      <c r="F233" s="18">
        <f>ROUND(SUM(F232),2)</f>
        <v>0</v>
      </c>
      <c r="G233" s="18"/>
      <c r="H233" s="18">
        <f>ROUND(SUM(H232),2)</f>
        <v>179100</v>
      </c>
      <c r="I233" s="18">
        <f>ROUND(F233+H233,2)</f>
        <v>179100</v>
      </c>
      <c r="J233" s="13"/>
      <c r="K233" s="5"/>
    </row>
    <row r="234" spans="1:11" s="4" customFormat="1" x14ac:dyDescent="0.95">
      <c r="A234" s="17"/>
      <c r="B234" s="13" t="s">
        <v>257</v>
      </c>
      <c r="C234" s="18"/>
      <c r="D234" s="19"/>
      <c r="E234" s="18">
        <v>0</v>
      </c>
      <c r="F234" s="18">
        <v>0</v>
      </c>
      <c r="G234" s="18">
        <v>2</v>
      </c>
      <c r="H234" s="18">
        <v>0</v>
      </c>
      <c r="I234" s="18">
        <v>0</v>
      </c>
      <c r="J234" s="13"/>
      <c r="K234" s="5"/>
    </row>
    <row r="235" spans="1:11" x14ac:dyDescent="0.95">
      <c r="A235" s="12"/>
      <c r="B235" s="16" t="s">
        <v>258</v>
      </c>
      <c r="C235" s="14">
        <v>8</v>
      </c>
      <c r="D235" s="15" t="s">
        <v>172</v>
      </c>
      <c r="E235" s="14">
        <v>0</v>
      </c>
      <c r="F235" s="14">
        <v>0</v>
      </c>
      <c r="G235" s="14">
        <v>3</v>
      </c>
      <c r="H235" s="14">
        <v>6</v>
      </c>
      <c r="I235" s="14">
        <f>ROUND(F235+H235,2)</f>
        <v>6</v>
      </c>
      <c r="J235" s="16"/>
      <c r="K235" s="1"/>
    </row>
    <row r="236" spans="1:11" x14ac:dyDescent="0.95">
      <c r="A236" s="12"/>
      <c r="B236" s="16" t="s">
        <v>259</v>
      </c>
      <c r="C236" s="14">
        <v>8</v>
      </c>
      <c r="D236" s="15" t="s">
        <v>172</v>
      </c>
      <c r="E236" s="14">
        <v>0</v>
      </c>
      <c r="F236" s="14">
        <v>0</v>
      </c>
      <c r="G236" s="14">
        <v>4</v>
      </c>
      <c r="H236" s="14">
        <v>8</v>
      </c>
      <c r="I236" s="14">
        <f>ROUND(F236+H236,2)</f>
        <v>8</v>
      </c>
      <c r="J236" s="16"/>
      <c r="K236" s="1"/>
    </row>
    <row r="237" spans="1:11" x14ac:dyDescent="0.95">
      <c r="A237" s="12"/>
      <c r="B237" s="16" t="s">
        <v>260</v>
      </c>
      <c r="C237" s="14">
        <v>2</v>
      </c>
      <c r="D237" s="15" t="s">
        <v>77</v>
      </c>
      <c r="E237" s="14">
        <v>0</v>
      </c>
      <c r="F237" s="14">
        <v>0</v>
      </c>
      <c r="G237" s="14">
        <v>29850</v>
      </c>
      <c r="H237" s="14">
        <v>59700</v>
      </c>
      <c r="I237" s="14">
        <f>ROUND(F237+H237,2)</f>
        <v>59700</v>
      </c>
      <c r="J237" s="16"/>
      <c r="K237" s="1"/>
    </row>
    <row r="238" spans="1:11" s="4" customFormat="1" x14ac:dyDescent="0.95">
      <c r="A238" s="17"/>
      <c r="B238" s="13" t="s">
        <v>261</v>
      </c>
      <c r="C238" s="18"/>
      <c r="D238" s="19"/>
      <c r="E238" s="18"/>
      <c r="F238" s="18">
        <f>ROUND(SUM(F235,F236,F237),2)</f>
        <v>0</v>
      </c>
      <c r="G238" s="18"/>
      <c r="H238" s="18">
        <f>ROUND(SUM(H235,H236,H237),2)</f>
        <v>59714</v>
      </c>
      <c r="I238" s="18">
        <f>ROUND(F238+H238,2)</f>
        <v>59714</v>
      </c>
      <c r="J238" s="13"/>
      <c r="K238" s="5"/>
    </row>
    <row r="239" spans="1:11" s="4" customFormat="1" x14ac:dyDescent="0.95">
      <c r="A239" s="8">
        <v>3</v>
      </c>
      <c r="B239" s="9" t="s">
        <v>262</v>
      </c>
      <c r="C239" s="10"/>
      <c r="D239" s="11" t="s">
        <v>84</v>
      </c>
      <c r="E239" s="10"/>
      <c r="F239" s="10">
        <f>ROUND(SUM(F217,F218,F219,F220,F221,F224,F225,F226,F227,F228,F229,F232,F235,F236,F237),2)</f>
        <v>15704</v>
      </c>
      <c r="G239" s="10"/>
      <c r="H239" s="10">
        <f>ROUND(SUM(H217,H218,H219,H220,H221,H224,H225,H226,H227,H228,H229,H232,H235,H236,H237),2)</f>
        <v>238814</v>
      </c>
      <c r="I239" s="10">
        <f>ROUND(F239+H239,2)</f>
        <v>254518</v>
      </c>
      <c r="J239" s="9"/>
      <c r="K239" s="5"/>
    </row>
    <row r="240" spans="1:11" x14ac:dyDescent="0.95">
      <c r="A240" s="25"/>
      <c r="B240" s="26"/>
      <c r="C240" s="26"/>
      <c r="D240" s="26"/>
      <c r="E240" s="26"/>
      <c r="F240" s="26"/>
      <c r="G240" s="26"/>
      <c r="H240" s="26"/>
      <c r="I240" s="26"/>
      <c r="J240" s="27"/>
      <c r="K240" s="1"/>
    </row>
    <row r="241" spans="1:11" s="4" customFormat="1" x14ac:dyDescent="0.95">
      <c r="A241" s="8">
        <v>4</v>
      </c>
      <c r="B241" s="9" t="s">
        <v>263</v>
      </c>
      <c r="C241" s="10"/>
      <c r="D241" s="11"/>
      <c r="E241" s="10"/>
      <c r="F241" s="10"/>
      <c r="G241" s="10"/>
      <c r="H241" s="10"/>
      <c r="I241" s="10"/>
      <c r="J241" s="9"/>
      <c r="K241" s="5"/>
    </row>
    <row r="242" spans="1:11" x14ac:dyDescent="0.95">
      <c r="A242" s="12"/>
      <c r="B242" s="16" t="s">
        <v>264</v>
      </c>
      <c r="C242" s="14">
        <v>8</v>
      </c>
      <c r="D242" s="15" t="s">
        <v>57</v>
      </c>
      <c r="E242" s="14">
        <v>1105</v>
      </c>
      <c r="F242" s="14">
        <v>8840</v>
      </c>
      <c r="G242" s="14">
        <v>0</v>
      </c>
      <c r="H242" s="14">
        <v>0</v>
      </c>
      <c r="I242" s="14">
        <f t="shared" ref="I242:I264" si="15">ROUND(F242+H242,2)</f>
        <v>8840</v>
      </c>
      <c r="J242" s="16"/>
      <c r="K242" s="1"/>
    </row>
    <row r="243" spans="1:11" x14ac:dyDescent="0.95">
      <c r="A243" s="12"/>
      <c r="B243" s="16" t="s">
        <v>265</v>
      </c>
      <c r="C243" s="14">
        <v>14.67</v>
      </c>
      <c r="D243" s="15" t="s">
        <v>57</v>
      </c>
      <c r="E243" s="14">
        <v>810</v>
      </c>
      <c r="F243" s="14">
        <v>11880</v>
      </c>
      <c r="G243" s="14">
        <v>0</v>
      </c>
      <c r="H243" s="14">
        <v>0</v>
      </c>
      <c r="I243" s="14">
        <f t="shared" si="15"/>
        <v>11880</v>
      </c>
      <c r="J243" s="16"/>
      <c r="K243" s="1"/>
    </row>
    <row r="244" spans="1:11" x14ac:dyDescent="0.95">
      <c r="A244" s="12"/>
      <c r="B244" s="16" t="s">
        <v>266</v>
      </c>
      <c r="C244" s="14">
        <v>16</v>
      </c>
      <c r="D244" s="15" t="s">
        <v>57</v>
      </c>
      <c r="E244" s="14">
        <v>610</v>
      </c>
      <c r="F244" s="14">
        <v>9760</v>
      </c>
      <c r="G244" s="14">
        <v>0</v>
      </c>
      <c r="H244" s="14">
        <v>0</v>
      </c>
      <c r="I244" s="14">
        <f t="shared" si="15"/>
        <v>9760</v>
      </c>
      <c r="J244" s="16"/>
      <c r="K244" s="1"/>
    </row>
    <row r="245" spans="1:11" x14ac:dyDescent="0.95">
      <c r="A245" s="12"/>
      <c r="B245" s="16" t="s">
        <v>267</v>
      </c>
      <c r="C245" s="14">
        <v>48</v>
      </c>
      <c r="D245" s="15" t="s">
        <v>57</v>
      </c>
      <c r="E245" s="14">
        <v>395</v>
      </c>
      <c r="F245" s="14">
        <v>18960</v>
      </c>
      <c r="G245" s="14">
        <v>0</v>
      </c>
      <c r="H245" s="14">
        <v>0</v>
      </c>
      <c r="I245" s="14">
        <f t="shared" si="15"/>
        <v>18960</v>
      </c>
      <c r="J245" s="16"/>
      <c r="K245" s="1"/>
    </row>
    <row r="246" spans="1:11" x14ac:dyDescent="0.95">
      <c r="A246" s="12"/>
      <c r="B246" s="16" t="s">
        <v>268</v>
      </c>
      <c r="C246" s="14">
        <v>9.33</v>
      </c>
      <c r="D246" s="15" t="s">
        <v>29</v>
      </c>
      <c r="E246" s="14">
        <v>49</v>
      </c>
      <c r="F246" s="14">
        <v>457.33</v>
      </c>
      <c r="G246" s="14">
        <v>0</v>
      </c>
      <c r="H246" s="14">
        <v>0</v>
      </c>
      <c r="I246" s="14">
        <f t="shared" si="15"/>
        <v>457.33</v>
      </c>
      <c r="J246" s="16"/>
      <c r="K246" s="1"/>
    </row>
    <row r="247" spans="1:11" x14ac:dyDescent="0.95">
      <c r="A247" s="12"/>
      <c r="B247" s="16" t="s">
        <v>269</v>
      </c>
      <c r="C247" s="14">
        <v>9.33</v>
      </c>
      <c r="D247" s="15" t="s">
        <v>29</v>
      </c>
      <c r="E247" s="14">
        <v>39</v>
      </c>
      <c r="F247" s="14">
        <v>364</v>
      </c>
      <c r="G247" s="14">
        <v>0</v>
      </c>
      <c r="H247" s="14">
        <v>0</v>
      </c>
      <c r="I247" s="14">
        <f t="shared" si="15"/>
        <v>364</v>
      </c>
      <c r="J247" s="16"/>
      <c r="K247" s="1"/>
    </row>
    <row r="248" spans="1:11" x14ac:dyDescent="0.95">
      <c r="A248" s="12"/>
      <c r="B248" s="16" t="s">
        <v>270</v>
      </c>
      <c r="C248" s="14">
        <v>2.67</v>
      </c>
      <c r="D248" s="15" t="s">
        <v>57</v>
      </c>
      <c r="E248" s="14">
        <v>285</v>
      </c>
      <c r="F248" s="14">
        <v>760</v>
      </c>
      <c r="G248" s="14">
        <v>0</v>
      </c>
      <c r="H248" s="14">
        <v>0</v>
      </c>
      <c r="I248" s="14">
        <f t="shared" si="15"/>
        <v>760</v>
      </c>
      <c r="J248" s="16"/>
      <c r="K248" s="1"/>
    </row>
    <row r="249" spans="1:11" x14ac:dyDescent="0.95">
      <c r="A249" s="12"/>
      <c r="B249" s="16" t="s">
        <v>271</v>
      </c>
      <c r="C249" s="14">
        <v>17.329999999999998</v>
      </c>
      <c r="D249" s="15" t="s">
        <v>57</v>
      </c>
      <c r="E249" s="14">
        <v>250</v>
      </c>
      <c r="F249" s="14">
        <v>4333.33</v>
      </c>
      <c r="G249" s="14">
        <v>0</v>
      </c>
      <c r="H249" s="14">
        <v>0</v>
      </c>
      <c r="I249" s="14">
        <f t="shared" si="15"/>
        <v>4333.33</v>
      </c>
      <c r="J249" s="16"/>
      <c r="K249" s="1"/>
    </row>
    <row r="250" spans="1:11" x14ac:dyDescent="0.95">
      <c r="A250" s="12"/>
      <c r="B250" s="16" t="s">
        <v>272</v>
      </c>
      <c r="C250" s="14">
        <v>68</v>
      </c>
      <c r="D250" s="15" t="s">
        <v>81</v>
      </c>
      <c r="E250" s="14">
        <v>212</v>
      </c>
      <c r="F250" s="14">
        <v>14416</v>
      </c>
      <c r="G250" s="14">
        <v>0</v>
      </c>
      <c r="H250" s="14">
        <v>0</v>
      </c>
      <c r="I250" s="14">
        <f t="shared" si="15"/>
        <v>14416</v>
      </c>
      <c r="J250" s="16"/>
      <c r="K250" s="1"/>
    </row>
    <row r="251" spans="1:11" x14ac:dyDescent="0.95">
      <c r="A251" s="12"/>
      <c r="B251" s="16" t="s">
        <v>273</v>
      </c>
      <c r="C251" s="14">
        <v>266.67</v>
      </c>
      <c r="D251" s="15" t="s">
        <v>95</v>
      </c>
      <c r="E251" s="14">
        <v>2.7</v>
      </c>
      <c r="F251" s="14">
        <v>720</v>
      </c>
      <c r="G251" s="14">
        <v>0</v>
      </c>
      <c r="H251" s="14">
        <v>0</v>
      </c>
      <c r="I251" s="14">
        <f t="shared" si="15"/>
        <v>720</v>
      </c>
      <c r="J251" s="16"/>
      <c r="K251" s="1"/>
    </row>
    <row r="252" spans="1:11" x14ac:dyDescent="0.95">
      <c r="A252" s="12"/>
      <c r="B252" s="16" t="s">
        <v>67</v>
      </c>
      <c r="C252" s="14">
        <v>1.33</v>
      </c>
      <c r="D252" s="15" t="s">
        <v>68</v>
      </c>
      <c r="E252" s="14">
        <v>1500</v>
      </c>
      <c r="F252" s="14">
        <v>2000</v>
      </c>
      <c r="G252" s="14">
        <v>0</v>
      </c>
      <c r="H252" s="14">
        <v>0</v>
      </c>
      <c r="I252" s="14">
        <f t="shared" si="15"/>
        <v>2000</v>
      </c>
      <c r="J252" s="16"/>
      <c r="K252" s="1"/>
    </row>
    <row r="253" spans="1:11" x14ac:dyDescent="0.95">
      <c r="A253" s="12"/>
      <c r="B253" s="16" t="s">
        <v>69</v>
      </c>
      <c r="C253" s="14">
        <v>4</v>
      </c>
      <c r="D253" s="15" t="s">
        <v>70</v>
      </c>
      <c r="E253" s="14">
        <v>1189</v>
      </c>
      <c r="F253" s="14">
        <v>4756</v>
      </c>
      <c r="G253" s="14">
        <v>0</v>
      </c>
      <c r="H253" s="14">
        <v>0</v>
      </c>
      <c r="I253" s="14">
        <f t="shared" si="15"/>
        <v>4756</v>
      </c>
      <c r="J253" s="16"/>
      <c r="K253" s="1"/>
    </row>
    <row r="254" spans="1:11" x14ac:dyDescent="0.95">
      <c r="A254" s="12"/>
      <c r="B254" s="16" t="s">
        <v>71</v>
      </c>
      <c r="C254" s="14">
        <v>1.33</v>
      </c>
      <c r="D254" s="15" t="s">
        <v>70</v>
      </c>
      <c r="E254" s="14">
        <v>499</v>
      </c>
      <c r="F254" s="14">
        <v>665.33</v>
      </c>
      <c r="G254" s="14">
        <v>0</v>
      </c>
      <c r="H254" s="14">
        <v>0</v>
      </c>
      <c r="I254" s="14">
        <f t="shared" si="15"/>
        <v>665.33</v>
      </c>
      <c r="J254" s="16"/>
      <c r="K254" s="1"/>
    </row>
    <row r="255" spans="1:11" x14ac:dyDescent="0.95">
      <c r="A255" s="12"/>
      <c r="B255" s="16" t="s">
        <v>72</v>
      </c>
      <c r="C255" s="14">
        <v>8</v>
      </c>
      <c r="D255" s="15" t="s">
        <v>73</v>
      </c>
      <c r="E255" s="14">
        <v>98</v>
      </c>
      <c r="F255" s="14">
        <v>784</v>
      </c>
      <c r="G255" s="14">
        <v>0</v>
      </c>
      <c r="H255" s="14">
        <v>0</v>
      </c>
      <c r="I255" s="14">
        <f t="shared" si="15"/>
        <v>784</v>
      </c>
      <c r="J255" s="16"/>
      <c r="K255" s="1"/>
    </row>
    <row r="256" spans="1:11" x14ac:dyDescent="0.95">
      <c r="A256" s="12"/>
      <c r="B256" s="16" t="s">
        <v>74</v>
      </c>
      <c r="C256" s="14">
        <v>640</v>
      </c>
      <c r="D256" s="15" t="s">
        <v>75</v>
      </c>
      <c r="E256" s="14">
        <v>0</v>
      </c>
      <c r="F256" s="14">
        <v>0</v>
      </c>
      <c r="G256" s="14">
        <v>23.291666666666668</v>
      </c>
      <c r="H256" s="14">
        <v>14906.67</v>
      </c>
      <c r="I256" s="14">
        <f t="shared" si="15"/>
        <v>14906.67</v>
      </c>
      <c r="J256" s="16"/>
      <c r="K256" s="1"/>
    </row>
    <row r="257" spans="1:11" x14ac:dyDescent="0.95">
      <c r="A257" s="12"/>
      <c r="B257" s="16" t="s">
        <v>274</v>
      </c>
      <c r="C257" s="14">
        <v>2000</v>
      </c>
      <c r="D257" s="15" t="s">
        <v>81</v>
      </c>
      <c r="E257" s="14">
        <v>0</v>
      </c>
      <c r="F257" s="14">
        <v>0</v>
      </c>
      <c r="G257" s="14">
        <v>6.4533333333333331</v>
      </c>
      <c r="H257" s="14">
        <v>12906.67</v>
      </c>
      <c r="I257" s="14">
        <f t="shared" si="15"/>
        <v>12906.67</v>
      </c>
      <c r="J257" s="16"/>
      <c r="K257" s="1"/>
    </row>
    <row r="258" spans="1:11" x14ac:dyDescent="0.95">
      <c r="A258" s="12"/>
      <c r="B258" s="16" t="s">
        <v>275</v>
      </c>
      <c r="C258" s="14">
        <v>280</v>
      </c>
      <c r="D258" s="15" t="s">
        <v>81</v>
      </c>
      <c r="E258" s="14">
        <v>0</v>
      </c>
      <c r="F258" s="14">
        <v>0</v>
      </c>
      <c r="G258" s="14">
        <v>17.5</v>
      </c>
      <c r="H258" s="14">
        <v>4900</v>
      </c>
      <c r="I258" s="14">
        <f t="shared" si="15"/>
        <v>4900</v>
      </c>
      <c r="J258" s="16"/>
      <c r="K258" s="1"/>
    </row>
    <row r="259" spans="1:11" x14ac:dyDescent="0.95">
      <c r="A259" s="12"/>
      <c r="B259" s="16" t="s">
        <v>78</v>
      </c>
      <c r="C259" s="14">
        <v>4000</v>
      </c>
      <c r="D259" s="15" t="s">
        <v>24</v>
      </c>
      <c r="E259" s="14">
        <v>0</v>
      </c>
      <c r="F259" s="14">
        <v>0</v>
      </c>
      <c r="G259" s="14">
        <v>1.3333333333333333</v>
      </c>
      <c r="H259" s="14">
        <v>5333.33</v>
      </c>
      <c r="I259" s="14">
        <f t="shared" si="15"/>
        <v>5333.33</v>
      </c>
      <c r="J259" s="16"/>
      <c r="K259" s="1"/>
    </row>
    <row r="260" spans="1:11" x14ac:dyDescent="0.95">
      <c r="A260" s="12"/>
      <c r="B260" s="16" t="s">
        <v>276</v>
      </c>
      <c r="C260" s="14">
        <v>280</v>
      </c>
      <c r="D260" s="15" t="s">
        <v>75</v>
      </c>
      <c r="E260" s="14">
        <v>0</v>
      </c>
      <c r="F260" s="14">
        <v>0</v>
      </c>
      <c r="G260" s="14">
        <v>18.900000000000002</v>
      </c>
      <c r="H260" s="14">
        <v>5292</v>
      </c>
      <c r="I260" s="14">
        <f t="shared" si="15"/>
        <v>5292</v>
      </c>
      <c r="J260" s="16"/>
      <c r="K260" s="1"/>
    </row>
    <row r="261" spans="1:11" x14ac:dyDescent="0.95">
      <c r="A261" s="12"/>
      <c r="B261" s="16" t="s">
        <v>277</v>
      </c>
      <c r="C261" s="14">
        <v>200</v>
      </c>
      <c r="D261" s="15" t="s">
        <v>75</v>
      </c>
      <c r="E261" s="14">
        <v>0</v>
      </c>
      <c r="F261" s="14">
        <v>0</v>
      </c>
      <c r="G261" s="14">
        <v>18.900000000000002</v>
      </c>
      <c r="H261" s="14">
        <v>3780</v>
      </c>
      <c r="I261" s="14">
        <f t="shared" si="15"/>
        <v>3780</v>
      </c>
      <c r="J261" s="16"/>
      <c r="K261" s="1"/>
    </row>
    <row r="262" spans="1:11" x14ac:dyDescent="0.95">
      <c r="A262" s="12"/>
      <c r="B262" s="16" t="s">
        <v>278</v>
      </c>
      <c r="C262" s="14">
        <v>2400</v>
      </c>
      <c r="D262" s="15" t="s">
        <v>77</v>
      </c>
      <c r="E262" s="14">
        <v>0</v>
      </c>
      <c r="F262" s="14">
        <v>0</v>
      </c>
      <c r="G262" s="14">
        <v>1</v>
      </c>
      <c r="H262" s="14">
        <v>2400</v>
      </c>
      <c r="I262" s="14">
        <f t="shared" si="15"/>
        <v>2400</v>
      </c>
      <c r="J262" s="16"/>
      <c r="K262" s="1"/>
    </row>
    <row r="263" spans="1:11" x14ac:dyDescent="0.95">
      <c r="A263" s="12"/>
      <c r="B263" s="16" t="s">
        <v>279</v>
      </c>
      <c r="C263" s="14">
        <v>440</v>
      </c>
      <c r="D263" s="15" t="s">
        <v>81</v>
      </c>
      <c r="E263" s="14">
        <v>0</v>
      </c>
      <c r="F263" s="14">
        <v>0</v>
      </c>
      <c r="G263" s="14">
        <v>6.47</v>
      </c>
      <c r="H263" s="14">
        <v>2846.8</v>
      </c>
      <c r="I263" s="14">
        <f t="shared" si="15"/>
        <v>2846.8</v>
      </c>
      <c r="J263" s="16"/>
      <c r="K263" s="1"/>
    </row>
    <row r="264" spans="1:11" s="4" customFormat="1" x14ac:dyDescent="0.95">
      <c r="A264" s="8">
        <v>4</v>
      </c>
      <c r="B264" s="9" t="s">
        <v>280</v>
      </c>
      <c r="C264" s="10"/>
      <c r="D264" s="11" t="s">
        <v>84</v>
      </c>
      <c r="E264" s="10"/>
      <c r="F264" s="10">
        <f>ROUND(SUM(F242,F243,F244,F245,F246,F247,F248,F249,F250,F251,F252,F253,F254,F255,F256,F257,F258,F259,F260,F261,F262,F263),2)</f>
        <v>78695.990000000005</v>
      </c>
      <c r="G264" s="10"/>
      <c r="H264" s="10">
        <f>ROUND(SUM(H242,H243,H244,H245,H246,H247,H248,H249,H250,H251,H252,H253,H254,H255,H256,H257,H258,H259,H260,H261,H262,H263),2)</f>
        <v>52365.47</v>
      </c>
      <c r="I264" s="10">
        <f t="shared" si="15"/>
        <v>131061.46</v>
      </c>
      <c r="J264" s="9"/>
      <c r="K264" s="5"/>
    </row>
    <row r="265" spans="1:11" x14ac:dyDescent="0.95">
      <c r="C265" s="1"/>
      <c r="D265" s="21"/>
      <c r="E265" s="1"/>
      <c r="F265" s="1"/>
      <c r="G265" s="1"/>
      <c r="H265" s="1"/>
      <c r="I265" s="1"/>
      <c r="K265" s="1"/>
    </row>
    <row r="266" spans="1:11" x14ac:dyDescent="0.95">
      <c r="C266" s="1"/>
      <c r="D266" s="21"/>
      <c r="E266" s="1"/>
      <c r="F266" s="1"/>
      <c r="G266" s="1"/>
      <c r="H266" s="1"/>
      <c r="I266" s="1"/>
      <c r="K266" s="1"/>
    </row>
    <row r="267" spans="1:11" x14ac:dyDescent="0.95">
      <c r="C267" s="1"/>
      <c r="D267" s="21"/>
      <c r="E267" s="1"/>
      <c r="F267" s="1"/>
      <c r="G267" s="1"/>
      <c r="H267" s="1"/>
      <c r="I267" s="1"/>
      <c r="K267" s="1"/>
    </row>
    <row r="268" spans="1:11" x14ac:dyDescent="0.95">
      <c r="C268" s="1"/>
      <c r="D268" s="21"/>
      <c r="E268" s="1"/>
      <c r="F268" s="1"/>
      <c r="G268" s="1"/>
      <c r="H268" s="1"/>
      <c r="I268" s="1"/>
      <c r="K268" s="1"/>
    </row>
    <row r="269" spans="1:11" x14ac:dyDescent="0.95">
      <c r="C269" s="1"/>
      <c r="D269" s="21"/>
      <c r="E269" s="1"/>
      <c r="F269" s="1"/>
      <c r="G269" s="1"/>
      <c r="H269" s="1"/>
      <c r="I269" s="1"/>
      <c r="K269" s="1"/>
    </row>
    <row r="270" spans="1:11" x14ac:dyDescent="0.95">
      <c r="C270" s="1"/>
      <c r="D270" s="21"/>
      <c r="E270" s="1"/>
      <c r="F270" s="1"/>
      <c r="G270" s="1"/>
      <c r="H270" s="1"/>
      <c r="I270" s="1"/>
      <c r="K270" s="1"/>
    </row>
    <row r="271" spans="1:11" x14ac:dyDescent="0.95">
      <c r="C271" s="1"/>
      <c r="D271" s="21"/>
      <c r="E271" s="1"/>
      <c r="F271" s="1"/>
      <c r="G271" s="1"/>
      <c r="H271" s="1"/>
      <c r="I271" s="1"/>
      <c r="K271" s="1"/>
    </row>
    <row r="272" spans="1:11" x14ac:dyDescent="0.95">
      <c r="C272" s="1"/>
      <c r="D272" s="21"/>
      <c r="E272" s="1"/>
      <c r="F272" s="1"/>
      <c r="G272" s="1"/>
      <c r="H272" s="1"/>
      <c r="I272" s="1"/>
      <c r="K272" s="1"/>
    </row>
    <row r="273" spans="3:11" x14ac:dyDescent="0.95">
      <c r="C273" s="1"/>
      <c r="D273" s="21"/>
      <c r="E273" s="1"/>
      <c r="F273" s="1"/>
      <c r="G273" s="1"/>
      <c r="H273" s="1"/>
      <c r="I273" s="1"/>
      <c r="K273" s="1"/>
    </row>
  </sheetData>
  <mergeCells count="12">
    <mergeCell ref="A65:J65"/>
    <mergeCell ref="A214:J214"/>
    <mergeCell ref="A240:J240"/>
    <mergeCell ref="A1:J1"/>
    <mergeCell ref="A2:J2"/>
    <mergeCell ref="A4:A5"/>
    <mergeCell ref="B4:B5"/>
    <mergeCell ref="C4:C5"/>
    <mergeCell ref="D4:D5"/>
    <mergeCell ref="E4:F4"/>
    <mergeCell ref="G4:H4"/>
    <mergeCell ref="J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บ้านแถว B1</vt:lpstr>
      <vt:lpstr>บ้านแถว B2</vt:lpstr>
      <vt:lpstr>บ้านแถว B3</vt:lpstr>
      <vt:lpstr>บ้านแถว B4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nattawut</cp:lastModifiedBy>
  <dcterms:modified xsi:type="dcterms:W3CDTF">2026-07-21T15:56:31Z</dcterms:modified>
</cp:coreProperties>
</file>