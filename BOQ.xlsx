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wa\Downloads\"/>
    </mc:Choice>
  </mc:AlternateContent>
  <xr:revisionPtr revIDLastSave="0" documentId="13_ncr:1_{859AA3E8-3363-4511-816C-0EA50844267D}" xr6:coauthVersionLast="47" xr6:coauthVersionMax="47" xr10:uidLastSave="{00000000-0000-0000-0000-000000000000}"/>
  <bookViews>
    <workbookView xWindow="-120" yWindow="-120" windowWidth="29040" windowHeight="15720" xr2:uid="{35CF9F50-DB7B-4012-AC83-FD214A8D0102}"/>
  </bookViews>
  <sheets>
    <sheet name="BOQ" sheetId="3" r:id="rId1"/>
  </sheets>
  <definedNames>
    <definedName name="_xlnm.Print_Area" localSheetId="0">BOQ!$A$1:$J$179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0" i="3" l="1"/>
  <c r="F171" i="3"/>
  <c r="F172" i="3"/>
  <c r="F173" i="3"/>
  <c r="F174" i="3"/>
  <c r="F175" i="3"/>
  <c r="F176" i="3"/>
  <c r="H166" i="3"/>
  <c r="H155" i="3"/>
  <c r="H143" i="3"/>
  <c r="H144" i="3" s="1"/>
  <c r="F147" i="3"/>
  <c r="F146" i="3"/>
  <c r="F148" i="3" s="1"/>
  <c r="H147" i="3"/>
  <c r="H146" i="3"/>
  <c r="H137" i="3"/>
  <c r="F137" i="3"/>
  <c r="H136" i="3"/>
  <c r="F136" i="3"/>
  <c r="H135" i="3"/>
  <c r="F135" i="3"/>
  <c r="H130" i="3"/>
  <c r="H131" i="3"/>
  <c r="H132" i="3"/>
  <c r="C138" i="3"/>
  <c r="H138" i="3" s="1"/>
  <c r="C139" i="3"/>
  <c r="F139" i="3" s="1"/>
  <c r="C140" i="3"/>
  <c r="H140" i="3" s="1"/>
  <c r="F143" i="3"/>
  <c r="F144" i="3" s="1"/>
  <c r="H114" i="3"/>
  <c r="F114" i="3"/>
  <c r="H103" i="3"/>
  <c r="F36" i="3"/>
  <c r="H35" i="3"/>
  <c r="H36" i="3"/>
  <c r="H28" i="3"/>
  <c r="H20" i="3"/>
  <c r="H22" i="3"/>
  <c r="H23" i="3"/>
  <c r="H11" i="3"/>
  <c r="F20" i="3"/>
  <c r="F22" i="3"/>
  <c r="F23" i="3"/>
  <c r="H139" i="3" l="1"/>
  <c r="I146" i="3"/>
  <c r="H148" i="3"/>
  <c r="F140" i="3"/>
  <c r="I136" i="3"/>
  <c r="H141" i="3"/>
  <c r="I147" i="3"/>
  <c r="I148" i="3" s="1"/>
  <c r="F138" i="3"/>
  <c r="F141" i="3" s="1"/>
  <c r="I143" i="3"/>
  <c r="I144" i="3" s="1"/>
  <c r="I140" i="3"/>
  <c r="I139" i="3"/>
  <c r="I138" i="3"/>
  <c r="I137" i="3"/>
  <c r="I135" i="3"/>
  <c r="I114" i="3"/>
  <c r="I36" i="3"/>
  <c r="I23" i="3"/>
  <c r="I20" i="3"/>
  <c r="I22" i="3"/>
  <c r="I141" i="3" l="1"/>
  <c r="H63" i="3"/>
  <c r="F63" i="3"/>
  <c r="C62" i="3"/>
  <c r="H62" i="3" s="1"/>
  <c r="C61" i="3"/>
  <c r="F61" i="3" s="1"/>
  <c r="H60" i="3"/>
  <c r="F60" i="3"/>
  <c r="C59" i="3"/>
  <c r="H59" i="3" s="1"/>
  <c r="H176" i="3"/>
  <c r="I176" i="3" s="1"/>
  <c r="H175" i="3"/>
  <c r="I175" i="3" s="1"/>
  <c r="H174" i="3"/>
  <c r="I174" i="3" s="1"/>
  <c r="H173" i="3"/>
  <c r="I173" i="3" s="1"/>
  <c r="H172" i="3"/>
  <c r="I172" i="3" s="1"/>
  <c r="H171" i="3"/>
  <c r="I171" i="3" s="1"/>
  <c r="H170" i="3"/>
  <c r="I170" i="3" s="1"/>
  <c r="H169" i="3"/>
  <c r="F169" i="3"/>
  <c r="F168" i="3"/>
  <c r="C167" i="3"/>
  <c r="F166" i="3"/>
  <c r="I166" i="3" s="1"/>
  <c r="C165" i="3"/>
  <c r="C164" i="3"/>
  <c r="C163" i="3"/>
  <c r="C162" i="3"/>
  <c r="C161" i="3"/>
  <c r="C160" i="3"/>
  <c r="C159" i="3"/>
  <c r="C158" i="3"/>
  <c r="C157" i="3"/>
  <c r="C156" i="3"/>
  <c r="F155" i="3"/>
  <c r="F132" i="3"/>
  <c r="I132" i="3" s="1"/>
  <c r="F131" i="3"/>
  <c r="I131" i="3" s="1"/>
  <c r="F130" i="3"/>
  <c r="I130" i="3" s="1"/>
  <c r="C129" i="3"/>
  <c r="C128" i="3"/>
  <c r="H128" i="3" s="1"/>
  <c r="C119" i="3"/>
  <c r="C118" i="3"/>
  <c r="H118" i="3" s="1"/>
  <c r="C113" i="3"/>
  <c r="C112" i="3"/>
  <c r="C111" i="3"/>
  <c r="C110" i="3"/>
  <c r="C109" i="3"/>
  <c r="C108" i="3"/>
  <c r="C107" i="3"/>
  <c r="C106" i="3"/>
  <c r="C103" i="3"/>
  <c r="F103" i="3" s="1"/>
  <c r="I103" i="3" s="1"/>
  <c r="H102" i="3"/>
  <c r="F102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2" i="3"/>
  <c r="H39" i="3" s="1"/>
  <c r="C41" i="3"/>
  <c r="C40" i="3"/>
  <c r="C39" i="3"/>
  <c r="F39" i="3" s="1"/>
  <c r="F35" i="3"/>
  <c r="I35" i="3" s="1"/>
  <c r="C34" i="3"/>
  <c r="C33" i="3"/>
  <c r="C32" i="3"/>
  <c r="C29" i="3"/>
  <c r="F28" i="3"/>
  <c r="I28" i="3" s="1"/>
  <c r="C27" i="3"/>
  <c r="C26" i="3"/>
  <c r="F26" i="3" s="1"/>
  <c r="C21" i="3"/>
  <c r="C19" i="3"/>
  <c r="C15" i="3"/>
  <c r="C16" i="3" s="1"/>
  <c r="H16" i="3" s="1"/>
  <c r="I16" i="3" s="1"/>
  <c r="C12" i="3"/>
  <c r="F11" i="3"/>
  <c r="I11" i="3" s="1"/>
  <c r="C10" i="3"/>
  <c r="C9" i="3"/>
  <c r="I155" i="3" l="1"/>
  <c r="F167" i="3"/>
  <c r="H167" i="3"/>
  <c r="F156" i="3"/>
  <c r="H156" i="3"/>
  <c r="F158" i="3"/>
  <c r="H158" i="3"/>
  <c r="I158" i="3" s="1"/>
  <c r="F160" i="3"/>
  <c r="H160" i="3"/>
  <c r="I160" i="3" s="1"/>
  <c r="F161" i="3"/>
  <c r="H161" i="3"/>
  <c r="I161" i="3" s="1"/>
  <c r="F157" i="3"/>
  <c r="H157" i="3"/>
  <c r="F159" i="3"/>
  <c r="H159" i="3"/>
  <c r="F162" i="3"/>
  <c r="H162" i="3"/>
  <c r="I162" i="3" s="1"/>
  <c r="F129" i="3"/>
  <c r="H129" i="3"/>
  <c r="I129" i="3" s="1"/>
  <c r="F163" i="3"/>
  <c r="H163" i="3"/>
  <c r="I163" i="3" s="1"/>
  <c r="F164" i="3"/>
  <c r="H164" i="3"/>
  <c r="I164" i="3" s="1"/>
  <c r="I133" i="3"/>
  <c r="I149" i="3" s="1"/>
  <c r="F165" i="3"/>
  <c r="H165" i="3"/>
  <c r="F119" i="3"/>
  <c r="H119" i="3"/>
  <c r="I60" i="3"/>
  <c r="F111" i="3"/>
  <c r="H111" i="3"/>
  <c r="F113" i="3"/>
  <c r="H113" i="3"/>
  <c r="F109" i="3"/>
  <c r="H109" i="3"/>
  <c r="I109" i="3" s="1"/>
  <c r="F110" i="3"/>
  <c r="H110" i="3"/>
  <c r="F106" i="3"/>
  <c r="H106" i="3"/>
  <c r="F107" i="3"/>
  <c r="H107" i="3"/>
  <c r="F112" i="3"/>
  <c r="H112" i="3"/>
  <c r="F108" i="3"/>
  <c r="H108" i="3"/>
  <c r="I63" i="3"/>
  <c r="H104" i="3"/>
  <c r="I102" i="3"/>
  <c r="I104" i="3" s="1"/>
  <c r="F96" i="3"/>
  <c r="H96" i="3"/>
  <c r="F97" i="3"/>
  <c r="H97" i="3"/>
  <c r="F86" i="3"/>
  <c r="H86" i="3"/>
  <c r="F74" i="3"/>
  <c r="H74" i="3"/>
  <c r="F99" i="3"/>
  <c r="H99" i="3"/>
  <c r="F84" i="3"/>
  <c r="H84" i="3"/>
  <c r="F95" i="3"/>
  <c r="H95" i="3"/>
  <c r="F88" i="3"/>
  <c r="H88" i="3"/>
  <c r="F78" i="3"/>
  <c r="H78" i="3"/>
  <c r="F90" i="3"/>
  <c r="H90" i="3"/>
  <c r="F83" i="3"/>
  <c r="H83" i="3"/>
  <c r="F87" i="3"/>
  <c r="H87" i="3"/>
  <c r="F79" i="3"/>
  <c r="H79" i="3"/>
  <c r="F91" i="3"/>
  <c r="H91" i="3"/>
  <c r="F85" i="3"/>
  <c r="H85" i="3"/>
  <c r="F77" i="3"/>
  <c r="H77" i="3"/>
  <c r="F80" i="3"/>
  <c r="H80" i="3"/>
  <c r="F92" i="3"/>
  <c r="H92" i="3"/>
  <c r="F98" i="3"/>
  <c r="H98" i="3"/>
  <c r="F75" i="3"/>
  <c r="H75" i="3"/>
  <c r="F81" i="3"/>
  <c r="H81" i="3"/>
  <c r="F93" i="3"/>
  <c r="H93" i="3"/>
  <c r="F76" i="3"/>
  <c r="H76" i="3"/>
  <c r="F89" i="3"/>
  <c r="H89" i="3"/>
  <c r="F82" i="3"/>
  <c r="H82" i="3"/>
  <c r="F94" i="3"/>
  <c r="H94" i="3"/>
  <c r="F45" i="3"/>
  <c r="H45" i="3"/>
  <c r="F57" i="3"/>
  <c r="H57" i="3"/>
  <c r="F58" i="3"/>
  <c r="H58" i="3"/>
  <c r="F48" i="3"/>
  <c r="H48" i="3"/>
  <c r="F49" i="3"/>
  <c r="H49" i="3"/>
  <c r="F50" i="3"/>
  <c r="H50" i="3"/>
  <c r="F46" i="3"/>
  <c r="H46" i="3"/>
  <c r="F51" i="3"/>
  <c r="H51" i="3"/>
  <c r="F52" i="3"/>
  <c r="H52" i="3"/>
  <c r="F47" i="3"/>
  <c r="H47" i="3"/>
  <c r="F53" i="3"/>
  <c r="H53" i="3"/>
  <c r="F56" i="3"/>
  <c r="H56" i="3"/>
  <c r="F54" i="3"/>
  <c r="H54" i="3"/>
  <c r="F55" i="3"/>
  <c r="H55" i="3"/>
  <c r="I39" i="3"/>
  <c r="F40" i="3"/>
  <c r="H40" i="3"/>
  <c r="F41" i="3"/>
  <c r="H41" i="3"/>
  <c r="F42" i="3"/>
  <c r="H42" i="3"/>
  <c r="F34" i="3"/>
  <c r="H34" i="3"/>
  <c r="F32" i="3"/>
  <c r="H32" i="3"/>
  <c r="F33" i="3"/>
  <c r="H33" i="3"/>
  <c r="F27" i="3"/>
  <c r="H27" i="3"/>
  <c r="H26" i="3"/>
  <c r="H29" i="3"/>
  <c r="F9" i="3"/>
  <c r="H9" i="3"/>
  <c r="F12" i="3"/>
  <c r="H12" i="3"/>
  <c r="F19" i="3"/>
  <c r="H19" i="3"/>
  <c r="F21" i="3"/>
  <c r="H21" i="3"/>
  <c r="F10" i="3"/>
  <c r="H10" i="3"/>
  <c r="F59" i="3"/>
  <c r="I59" i="3" s="1"/>
  <c r="H61" i="3"/>
  <c r="I61" i="3" s="1"/>
  <c r="F104" i="3"/>
  <c r="F62" i="3"/>
  <c r="I62" i="3" s="1"/>
  <c r="F118" i="3"/>
  <c r="F29" i="3"/>
  <c r="H15" i="3"/>
  <c r="H17" i="3" s="1"/>
  <c r="F15" i="3"/>
  <c r="F17" i="3" s="1"/>
  <c r="F128" i="3"/>
  <c r="F133" i="3" s="1"/>
  <c r="F149" i="3" s="1"/>
  <c r="I169" i="3"/>
  <c r="F177" i="3" l="1"/>
  <c r="I157" i="3"/>
  <c r="I156" i="3"/>
  <c r="H177" i="3"/>
  <c r="H178" i="3" s="1"/>
  <c r="I159" i="3"/>
  <c r="I167" i="3"/>
  <c r="H133" i="3"/>
  <c r="H149" i="3" s="1"/>
  <c r="I165" i="3"/>
  <c r="I128" i="3"/>
  <c r="I119" i="3"/>
  <c r="H120" i="3"/>
  <c r="I108" i="3"/>
  <c r="I50" i="3"/>
  <c r="I94" i="3"/>
  <c r="I75" i="3"/>
  <c r="I113" i="3"/>
  <c r="I107" i="3"/>
  <c r="F115" i="3"/>
  <c r="I112" i="3"/>
  <c r="I111" i="3"/>
  <c r="I91" i="3"/>
  <c r="I55" i="3"/>
  <c r="I51" i="3"/>
  <c r="I93" i="3"/>
  <c r="I77" i="3"/>
  <c r="I90" i="3"/>
  <c r="I74" i="3"/>
  <c r="I88" i="3"/>
  <c r="I110" i="3"/>
  <c r="I106" i="3"/>
  <c r="H115" i="3"/>
  <c r="I81" i="3"/>
  <c r="I85" i="3"/>
  <c r="I78" i="3"/>
  <c r="I86" i="3"/>
  <c r="I53" i="3"/>
  <c r="I49" i="3"/>
  <c r="I82" i="3"/>
  <c r="I98" i="3"/>
  <c r="I79" i="3"/>
  <c r="I95" i="3"/>
  <c r="I47" i="3"/>
  <c r="I48" i="3"/>
  <c r="I89" i="3"/>
  <c r="I92" i="3"/>
  <c r="I87" i="3"/>
  <c r="I84" i="3"/>
  <c r="I52" i="3"/>
  <c r="I58" i="3"/>
  <c r="I80" i="3"/>
  <c r="I83" i="3"/>
  <c r="I99" i="3"/>
  <c r="I40" i="3"/>
  <c r="I97" i="3"/>
  <c r="I96" i="3"/>
  <c r="F100" i="3"/>
  <c r="H100" i="3"/>
  <c r="I76" i="3"/>
  <c r="I41" i="3"/>
  <c r="I54" i="3"/>
  <c r="I57" i="3"/>
  <c r="I46" i="3"/>
  <c r="I34" i="3"/>
  <c r="H64" i="3"/>
  <c r="I45" i="3"/>
  <c r="I56" i="3"/>
  <c r="F64" i="3"/>
  <c r="F43" i="3"/>
  <c r="H43" i="3"/>
  <c r="I19" i="3"/>
  <c r="I42" i="3"/>
  <c r="I29" i="3"/>
  <c r="I32" i="3"/>
  <c r="H37" i="3"/>
  <c r="F13" i="3"/>
  <c r="I33" i="3"/>
  <c r="I27" i="3"/>
  <c r="F37" i="3"/>
  <c r="I26" i="3"/>
  <c r="H30" i="3"/>
  <c r="F24" i="3"/>
  <c r="I21" i="3"/>
  <c r="H24" i="3"/>
  <c r="H13" i="3"/>
  <c r="I10" i="3"/>
  <c r="I9" i="3"/>
  <c r="I12" i="3"/>
  <c r="F30" i="3"/>
  <c r="I15" i="3"/>
  <c r="I17" i="3" s="1"/>
  <c r="F120" i="3"/>
  <c r="I118" i="3"/>
  <c r="F178" i="3"/>
  <c r="I178" i="3" s="1"/>
  <c r="I177" i="3"/>
  <c r="I120" i="3" l="1"/>
  <c r="H122" i="3"/>
  <c r="F122" i="3"/>
  <c r="I115" i="3"/>
  <c r="I43" i="3"/>
  <c r="I24" i="3"/>
  <c r="I100" i="3"/>
  <c r="F65" i="3"/>
  <c r="I64" i="3"/>
  <c r="H65" i="3"/>
  <c r="I30" i="3"/>
  <c r="I37" i="3"/>
  <c r="I13" i="3"/>
  <c r="I122" i="3" l="1"/>
  <c r="I65" i="3"/>
</calcChain>
</file>

<file path=xl/sharedStrings.xml><?xml version="1.0" encoding="utf-8"?>
<sst xmlns="http://schemas.openxmlformats.org/spreadsheetml/2006/main" count="332" uniqueCount="183">
  <si>
    <t>ลำดับที่</t>
  </si>
  <si>
    <t>รายการ</t>
  </si>
  <si>
    <t>จำนวน</t>
  </si>
  <si>
    <t>หน่วย</t>
  </si>
  <si>
    <t>ค่าวัสดุ</t>
  </si>
  <si>
    <t>ค่าแรงงาน</t>
  </si>
  <si>
    <t>รวมค่าวัสดุและ</t>
  </si>
  <si>
    <t>หมายเหตุ</t>
  </si>
  <si>
    <t>ราคาต่อหน่วย</t>
  </si>
  <si>
    <t>จำนวนเงิน (บาท)</t>
  </si>
  <si>
    <t>ค่าแรงงาน (บาท)</t>
  </si>
  <si>
    <t>รวม</t>
  </si>
  <si>
    <t>งานโครงสร้างวิศวกรรม</t>
  </si>
  <si>
    <t xml:space="preserve"> 1.1 งานดิน หิน ทราย และฐานราก</t>
  </si>
  <si>
    <t xml:space="preserve">       - ขุดดินฐานรากและถมคืน (งานแบ็คโคร)</t>
  </si>
  <si>
    <t>วัน</t>
  </si>
  <si>
    <t>ลบ.ม.</t>
  </si>
  <si>
    <t xml:space="preserve">       - คอนกรีตหยาบรองก้นฐานราก 1:3:5</t>
  </si>
  <si>
    <t xml:space="preserve">       - ทรายถมปรับระดับ</t>
  </si>
  <si>
    <t>รวมงานข้อ 1.1</t>
  </si>
  <si>
    <t xml:space="preserve"> 1.2 งานตอกเสาเข็ม</t>
  </si>
  <si>
    <t>ต้น</t>
  </si>
  <si>
    <t xml:space="preserve">       - ค่าสกัดหัวเสาเข็ม</t>
  </si>
  <si>
    <t>รวมงานข้อ 1.2</t>
  </si>
  <si>
    <t xml:space="preserve"> 1.3 งานแบบหล่อคอนกรีต</t>
  </si>
  <si>
    <t xml:space="preserve">       - ไม้แบบทั่วไป </t>
  </si>
  <si>
    <t>ลบ.ฟ.</t>
  </si>
  <si>
    <t xml:space="preserve">       - ไม้คร่าว</t>
  </si>
  <si>
    <t xml:space="preserve">       - ไม้ค้ำยัน</t>
  </si>
  <si>
    <t xml:space="preserve">       - ตะปูขนาดต่างๆ</t>
  </si>
  <si>
    <t>กก.</t>
  </si>
  <si>
    <t xml:space="preserve">       - ค่าแรงงานไม้แบบ</t>
  </si>
  <si>
    <t>ตร.ม.</t>
  </si>
  <si>
    <t>รวมงานข้อ 1.3</t>
  </si>
  <si>
    <t xml:space="preserve"> 1.4 งานคอนกรีตโครงสร้าง</t>
  </si>
  <si>
    <t xml:space="preserve">       - คอนกรีตหยาบ( lean)</t>
  </si>
  <si>
    <t xml:space="preserve">       - คอนกรีตผสมเสร็จ 280 กก./ตร.ซม. (ลูกบาศก์)</t>
  </si>
  <si>
    <t xml:space="preserve">       - คอนกรีตผสมเสร็จ 320 กก./ตร.ซม. (ลูกบาศก์)</t>
  </si>
  <si>
    <t xml:space="preserve">       - เหล็กตะแกรง WIRE MESH Ø 6 มม. @ 0.20 ม. (ข้ออ้อย)</t>
  </si>
  <si>
    <t>รวมงานข้อ 1.4</t>
  </si>
  <si>
    <t xml:space="preserve"> 1.5 งานเหล็กเสริมคอนกรีต</t>
  </si>
  <si>
    <t xml:space="preserve">       - เหล็กเส้นกลมผิวเรียบ SR 24 ขนาด Ø 6 มม.</t>
  </si>
  <si>
    <t>ตัน</t>
  </si>
  <si>
    <t xml:space="preserve">       - เหล็กเส้นกลมผิวเรียบ SR 24 ขนาด Ø 9 มม.</t>
  </si>
  <si>
    <t xml:space="preserve">       - เหล็กเส้นกลมผิวข้ออ้อย SD 40 ขนาด Ø 12 มม.</t>
  </si>
  <si>
    <t xml:space="preserve">       - เหล็กเส้นกลมผิวข้ออ้อย SD 40 ขนาด Ø 16 มม.</t>
  </si>
  <si>
    <t xml:space="preserve">       - ลวดผูกเหล็ก Ø 1.25 มม. (เบอร์ 18)</t>
  </si>
  <si>
    <t>รวมงานข้อ 1.5</t>
  </si>
  <si>
    <t xml:space="preserve"> 1.6 งานผนังสำเร็จ (แบบหล่อพร้อมจับเซี้ยม)</t>
  </si>
  <si>
    <t xml:space="preserve">       - เหล็กตะแกรง WIRE MESH Ø 6 มม. @ 0.20 ม. </t>
  </si>
  <si>
    <t>รวมงานข้อ 1.6</t>
  </si>
  <si>
    <t xml:space="preserve"> 1.7 งานโครงหลังคาเหล็ก</t>
  </si>
  <si>
    <t xml:space="preserve">       - เหล็กกล่อง 1''*1''*1.8 มม.</t>
  </si>
  <si>
    <t>เส้น</t>
  </si>
  <si>
    <t xml:space="preserve">       - เหล็กกล่อง 2''*2''*1.8มม.</t>
  </si>
  <si>
    <t xml:space="preserve">       - เหล็กตัวซี C 100 x 50 x 2.3 มม.</t>
  </si>
  <si>
    <t xml:space="preserve">       - เหล็กกล่อง 100*100*3.2 มม.</t>
  </si>
  <si>
    <t xml:space="preserve">       - เหล็กแฟตบาร์ 4" * 6.00 หนา 6.00 มม.</t>
  </si>
  <si>
    <t xml:space="preserve">       - เหล็กกล่อง 100*50*2.3 มม.</t>
  </si>
  <si>
    <t xml:space="preserve">       - เหล็กแผ่น 8' x 8' x 6 มม.</t>
  </si>
  <si>
    <t>แผ่น</t>
  </si>
  <si>
    <t xml:space="preserve">       - เหล็กแผ่น 6' x 6' x 6 มม.</t>
  </si>
  <si>
    <t xml:space="preserve">       - เหล็กแฟตบาร์ 3" * 6.00 หนา 6.00 มม.</t>
  </si>
  <si>
    <t xml:space="preserve">       - ลวดเชื่อม KOBE 2.6 มม.</t>
  </si>
  <si>
    <t>ลัง</t>
  </si>
  <si>
    <t xml:space="preserve">       - ทาสีกันสนิมโครงเหล็กหลังคา KOBE สีเทา</t>
  </si>
  <si>
    <t>ถัง</t>
  </si>
  <si>
    <t xml:space="preserve">       - น้ำมันสน</t>
  </si>
  <si>
    <t xml:space="preserve">       - ใบตัดเหล็ก 14 นิ้ว</t>
  </si>
  <si>
    <t>ใบ</t>
  </si>
  <si>
    <t>รวมงานข้อ 1.7</t>
  </si>
  <si>
    <t>รวมค่างานโครงสร้างวิศวกรรมทั้งหมด</t>
  </si>
  <si>
    <t>งานสถาปัตยกรรม</t>
  </si>
  <si>
    <t xml:space="preserve"> 2.1 งานประปาโครงสร้าง</t>
  </si>
  <si>
    <t xml:space="preserve">       - ท่อ PVC C5 6 นิ้ว แบบบาน</t>
  </si>
  <si>
    <t xml:space="preserve">       - ท่อ PVC C5 4 นิ้ว </t>
  </si>
  <si>
    <t xml:space="preserve">       - ท่อ PVC C5 2.5 นิ้ว </t>
  </si>
  <si>
    <t xml:space="preserve">       - ท่อ PVC C5 2 นิ้ว </t>
  </si>
  <si>
    <t xml:space="preserve">       - ท่อ PVC C5 1.5 นิ้ว </t>
  </si>
  <si>
    <t xml:space="preserve">       - ท่อ PVC C5 1 นิ้ว </t>
  </si>
  <si>
    <t xml:space="preserve">       - ท่อ PVC C13.5 3/4</t>
  </si>
  <si>
    <t xml:space="preserve">       - ข้องอ 90 4 นิ้ว แบบบาง</t>
  </si>
  <si>
    <t>ตัว</t>
  </si>
  <si>
    <t xml:space="preserve">       - ข้องอ 45 4 นิ้ว แบบบาง</t>
  </si>
  <si>
    <t xml:space="preserve">       - ข้องอ 90 2.5 นิ้ว แบบบาง</t>
  </si>
  <si>
    <t xml:space="preserve">       - ข้อต่อสามทาง 2.5 นิ้ว แบบบาง</t>
  </si>
  <si>
    <t xml:space="preserve">       - ข้องอ 90 2 นิ้ว แบบบาง</t>
  </si>
  <si>
    <t xml:space="preserve">       - ข้องอ 90 1.5 นิ้ว แบบบาง</t>
  </si>
  <si>
    <t xml:space="preserve">       - ข้อต่อสามทาง 2 นิ้ว แบบบาง</t>
  </si>
  <si>
    <t xml:space="preserve">       - ข้อต่อตรง 2 นิ้ว ลด 1.5 นิ้ว แบบบาง</t>
  </si>
  <si>
    <t xml:space="preserve">       - ข้อต่อตรงเกลียวนอก 1.5 นิ้ว แบบบาง</t>
  </si>
  <si>
    <t xml:space="preserve">       - ข้อต่อตรง 1.5 นิ้ว ลด 1 นิ้ว แบบบาง</t>
  </si>
  <si>
    <t xml:space="preserve">       - ข้อต่อตรง 1 นิ้ว ลด 3/4 นิ้ว แบบบาง</t>
  </si>
  <si>
    <t xml:space="preserve">       - ข้องอ 90 3/4 นิ้ว </t>
  </si>
  <si>
    <t xml:space="preserve">       - กาวทาท่อ 1000G</t>
  </si>
  <si>
    <t>ก.ป.</t>
  </si>
  <si>
    <t xml:space="preserve">       - ถังบำบัดน้ำเสีย DOS 1600 L</t>
  </si>
  <si>
    <t>ม้วน</t>
  </si>
  <si>
    <t xml:space="preserve">       - พลาสติกใส ขาวขุน 1.40*50</t>
  </si>
  <si>
    <t xml:space="preserve">       - บ่อพัก พร้อมฝา ขนาด 0.35*0.40 ม.</t>
  </si>
  <si>
    <t>อัน</t>
  </si>
  <si>
    <t xml:space="preserve">       - ฝาบ่อพัก </t>
  </si>
  <si>
    <t>ฝา</t>
  </si>
  <si>
    <t>รวมงานข้อ 2.1</t>
  </si>
  <si>
    <t xml:space="preserve">       - ปูนก่ออิฐมวลเบา</t>
  </si>
  <si>
    <t>ลูก</t>
  </si>
  <si>
    <t xml:space="preserve">       - ปูนฉาบอิฐมวลเบา M210</t>
  </si>
  <si>
    <t xml:space="preserve">       - ปูนเขียว TPI 197</t>
  </si>
  <si>
    <t xml:space="preserve">       - ปูนฉาบสำเร็จ M209</t>
  </si>
  <si>
    <t xml:space="preserve">       - เสาเข็ม ไอตัน ขนาด 0.18 x 0.18 x 16 ม.</t>
  </si>
  <si>
    <t xml:space="preserve">       - คอนกรีตผสมเสร็จ 280 กก./ตร.ซม. (ปั้ม)</t>
  </si>
  <si>
    <t xml:space="preserve">       - เหล็กตัวซี C 100 x 50 x 2.0 มม.</t>
  </si>
  <si>
    <t xml:space="preserve">       - ถังดักไขมัน 25 L</t>
  </si>
  <si>
    <t>รวมงานข้อ 2.3</t>
  </si>
  <si>
    <t>เมตร</t>
  </si>
  <si>
    <t>รวมงานข้อ 2.4</t>
  </si>
  <si>
    <t>ห้อง</t>
  </si>
  <si>
    <t>ชุด</t>
  </si>
  <si>
    <t>งานระบบไฟฟ้าและสื่อสาร</t>
  </si>
  <si>
    <t xml:space="preserve"> 3.1 งานดวงโคมไฟฟ้า</t>
  </si>
  <si>
    <t xml:space="preserve">       - กระดิ่งหน้าบ้าน</t>
  </si>
  <si>
    <t xml:space="preserve">       - เต้ารับเดี่ยว (ปลั๊ก)</t>
  </si>
  <si>
    <t xml:space="preserve">       - เต้ารับแอร์</t>
  </si>
  <si>
    <t xml:space="preserve">       - เต้ารับน้ำอุ่น</t>
  </si>
  <si>
    <t xml:space="preserve">       - ตู้เบรกเกอร์ ขนาด 12 ช่อง</t>
  </si>
  <si>
    <t xml:space="preserve">       - มาตรวัดกระแสไฟฟ้า ขนาด 15 AMP.</t>
  </si>
  <si>
    <t xml:space="preserve">รวมค่างานระบบไฟฟ้าและสื่อสารทั้งหมด </t>
  </si>
  <si>
    <t>รวมงานข้อ 3.1</t>
  </si>
  <si>
    <t xml:space="preserve"> 3.2 งานสวิทซ์และเต้ารับ (ปลั๊ก)</t>
  </si>
  <si>
    <t>รวมงานข้อ 3.2</t>
  </si>
  <si>
    <t xml:space="preserve"> 3.3 งานเดินสายไฟฟ้า</t>
  </si>
  <si>
    <t>รวมงานข้อ 3.3</t>
  </si>
  <si>
    <t xml:space="preserve"> 3.4 งานแผงสวิทซ์ และเซอร์กิตเบรกเกอร์</t>
  </si>
  <si>
    <t>รวมงานข้อ 3.4</t>
  </si>
  <si>
    <t xml:space="preserve">       - โคมไฟฟ้าดาวไลน์ 10W</t>
  </si>
  <si>
    <t xml:space="preserve">       - โคมไฟฟ้าฟลูออเรสเซนต์ ยาว</t>
  </si>
  <si>
    <t xml:space="preserve">       - โคมไฟหน้าบ้าน</t>
  </si>
  <si>
    <t xml:space="preserve">       - ผนังก่ออิฐบล็อค</t>
  </si>
  <si>
    <t xml:space="preserve">       - หิน3/4</t>
  </si>
  <si>
    <t xml:space="preserve">       - ทรายหยาบ</t>
  </si>
  <si>
    <t>คิว</t>
  </si>
  <si>
    <t xml:space="preserve">       - เหล็กทับหลังสำเร็จ (50ม.)</t>
  </si>
  <si>
    <t xml:space="preserve">       - เหล็กตะแกรงไวร์เมท 4 มม @0.20</t>
  </si>
  <si>
    <t xml:space="preserve">รวมค่างานต่อเติมหลังคาที่จอดรถหน้าทั้งหมด </t>
  </si>
  <si>
    <t xml:space="preserve">       - ไม้ตกแต่งซีซาแนล 6 นิ้ว</t>
  </si>
  <si>
    <t xml:space="preserve">       - เดินสายไฟฟ้า ดวงโคม เต้ารับ สวิทซ์</t>
  </si>
  <si>
    <t xml:space="preserve">       - สวิทซ์เดี่ยว 1 ดวง</t>
  </si>
  <si>
    <t xml:space="preserve">       - สวิทซ์เดี่ยว 2 ดวง</t>
  </si>
  <si>
    <t xml:space="preserve">       - สวิทซ์เดี่ยว 4 ดวง</t>
  </si>
  <si>
    <t xml:space="preserve">       - เหล็กกล่อง 4"x4"x2.3 mm</t>
  </si>
  <si>
    <t xml:space="preserve">       - เหล็กกล่อง 4"x2"x2.3 mm</t>
  </si>
  <si>
    <t xml:space="preserve">       - เหล็กกล่อง 1.5"x1.5"x1.8 mm</t>
  </si>
  <si>
    <t xml:space="preserve">       - เหล็กกล่อง 3"x1.5"x1.8 mm</t>
  </si>
  <si>
    <t xml:space="preserve">       - PL-6"x6"x 6 mm.</t>
  </si>
  <si>
    <t xml:space="preserve">       - PL-5"x5"x 6 mm.</t>
  </si>
  <si>
    <t xml:space="preserve">       -แฟตบาร์ 2"x2"x4.00มม.</t>
  </si>
  <si>
    <t>รวมงานข้อ 4</t>
  </si>
  <si>
    <t xml:space="preserve">       - หลอดดาวไลน์ 10W</t>
  </si>
  <si>
    <t xml:space="preserve">       - แผ่นเมทัลชีท PU FORM</t>
  </si>
  <si>
    <t xml:space="preserve">       - สกรูยิงแผ่น</t>
  </si>
  <si>
    <t xml:space="preserve">       - ปูนแดง TPI </t>
  </si>
  <si>
    <t>ก้อน</t>
  </si>
  <si>
    <t xml:space="preserve">  - งานติดตั้งโครงหลังคาเหล็ก </t>
  </si>
  <si>
    <t xml:space="preserve">  - งานติดตั้งรางน้ำ</t>
  </si>
  <si>
    <t xml:space="preserve">  - งานติดตั้งแฟลชชิ่ง ครอบข้าง รวมมุกหน้าบ้าน</t>
  </si>
  <si>
    <t xml:space="preserve">  - งานตั้งเสา</t>
  </si>
  <si>
    <t xml:space="preserve">  - งานมุงหลังคาเมทัลชีท</t>
  </si>
  <si>
    <t xml:space="preserve">  - งานทาสีโครงหลังคา</t>
  </si>
  <si>
    <t xml:space="preserve">  - งานเดินท่อน้ำฝน </t>
  </si>
  <si>
    <t xml:space="preserve">  - งานติดตั้งซีซาแนลต่อเติมหน้าบ้าน</t>
  </si>
  <si>
    <t>ตรม</t>
  </si>
  <si>
    <t>หลัง</t>
  </si>
  <si>
    <t xml:space="preserve">  - งานทำมุกหน้าบ้าน</t>
  </si>
  <si>
    <t xml:space="preserve">  - งานเชื่อมเหล็กท้าวแขน</t>
  </si>
  <si>
    <t xml:space="preserve">  - งานติดตั้งซีซาแนลมุกหน้าบ้าน</t>
  </si>
  <si>
    <r>
      <t xml:space="preserve">     - </t>
    </r>
    <r>
      <rPr>
        <sz val="14"/>
        <color theme="1"/>
        <rFont val="Cordia New"/>
        <family val="2"/>
      </rPr>
      <t>ท่อ PE เกษตร 20*20</t>
    </r>
  </si>
  <si>
    <t xml:space="preserve"> 2.2 งานผนังจับเซี้ยมอุดรู เจีย</t>
  </si>
  <si>
    <t>รวมงานข้อ 2.2</t>
  </si>
  <si>
    <t xml:space="preserve">       - ค่าแรงงานก่อรั้วหน้าบ่าน</t>
  </si>
  <si>
    <t xml:space="preserve"> 2.3 งานก่อรั้วหน้าบ้าน</t>
  </si>
  <si>
    <t xml:space="preserve"> 2.4 งานเทพื้นที่จอดรถหน้าบ้าน</t>
  </si>
  <si>
    <t>งานต่อเติมหลังคาที่จอดรถหน้าบ้าน</t>
  </si>
  <si>
    <t xml:space="preserve">BOQ ต้นทุน 1 ห้องแถว ทาวโฮมชั้นเดียว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</si>
</sst>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-* #,##0_-;\-* #,##0_-;_-* &quot;-&quot;??_-;_-@_-"/>
    <numFmt numFmtId="188" formatCode="_(* #,##0.00_);_(* \(#,##0.00\);_(* &quot;-&quot;??_);_(@_)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4"/>
      <color theme="1"/>
      <name val="Cordia New"/>
      <family val="2"/>
    </font>
    <font>
      <sz val="14"/>
      <color theme="1"/>
      <name val="Cordia New"/>
      <family val="2"/>
    </font>
    <font>
      <sz val="14"/>
      <color rgb="FFFF0000"/>
      <name val="Cordia New"/>
      <family val="2"/>
    </font>
    <font>
      <b/>
      <sz val="14"/>
      <color rgb="FFFF0000"/>
      <name val="Cordia New"/>
      <family val="2"/>
    </font>
    <font>
      <sz val="12"/>
      <color theme="1"/>
      <name val="Cordia New"/>
      <family val="2"/>
    </font>
    <font>
      <sz val="14"/>
      <name val="Cordia New"/>
      <family val="2"/>
    </font>
    <font>
      <sz val="14"/>
      <color theme="1"/>
      <name val="TH SarabunPSK"/>
      <family val="2"/>
    </font>
    <font>
      <sz val="10"/>
      <name val="Arial"/>
      <family val="2"/>
    </font>
    <font>
      <sz val="11"/>
      <color rgb="FFFF0000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14"/>
      <color theme="1"/>
      <name val="Cordia New"/>
      <family val="2"/>
      <charset val="222"/>
    </font>
    <font>
      <b/>
      <sz val="14"/>
      <color rgb="FFFF0000"/>
      <name val="Cordia New"/>
      <family val="2"/>
      <charset val="222"/>
    </font>
    <font>
      <sz val="14"/>
      <color rgb="FFFF0000"/>
      <name val="TH SarabunPSK"/>
      <family val="2"/>
    </font>
    <font>
      <b/>
      <sz val="14"/>
      <color theme="1"/>
      <name val="TH SarabunPSK"/>
      <family val="2"/>
      <charset val="222"/>
    </font>
    <font>
      <b/>
      <sz val="20"/>
      <color theme="1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9" fillId="0" borderId="0"/>
    <xf numFmtId="188" fontId="9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187" fontId="3" fillId="0" borderId="6" xfId="1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43" fontId="3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43" fontId="3" fillId="0" borderId="6" xfId="1" applyFont="1" applyBorder="1" applyAlignment="1">
      <alignment vertical="center"/>
    </xf>
    <xf numFmtId="43" fontId="7" fillId="0" borderId="6" xfId="1" applyFont="1" applyBorder="1" applyAlignment="1">
      <alignment vertical="center"/>
    </xf>
    <xf numFmtId="43" fontId="3" fillId="0" borderId="6" xfId="1" applyFont="1" applyBorder="1" applyAlignment="1">
      <alignment horizontal="center" vertical="center"/>
    </xf>
    <xf numFmtId="43" fontId="4" fillId="0" borderId="6" xfId="1" applyFont="1" applyBorder="1" applyAlignment="1">
      <alignment vertical="center"/>
    </xf>
    <xf numFmtId="187" fontId="3" fillId="0" borderId="0" xfId="1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43" fontId="3" fillId="0" borderId="8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3" fontId="3" fillId="0" borderId="8" xfId="1" applyFont="1" applyBorder="1" applyAlignment="1">
      <alignment horizontal="center" vertical="center"/>
    </xf>
    <xf numFmtId="43" fontId="3" fillId="0" borderId="12" xfId="1" applyFont="1" applyBorder="1" applyAlignment="1">
      <alignment horizontal="center" vertical="center"/>
    </xf>
    <xf numFmtId="43" fontId="3" fillId="0" borderId="12" xfId="0" applyNumberFormat="1" applyFont="1" applyBorder="1" applyAlignment="1">
      <alignment horizontal="center" vertical="center"/>
    </xf>
    <xf numFmtId="43" fontId="3" fillId="0" borderId="0" xfId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3" fontId="3" fillId="0" borderId="0" xfId="0" applyNumberFormat="1" applyFont="1" applyAlignment="1">
      <alignment vertical="center"/>
    </xf>
    <xf numFmtId="187" fontId="3" fillId="0" borderId="5" xfId="1" applyNumberFormat="1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43" fontId="3" fillId="0" borderId="8" xfId="1" applyFont="1" applyBorder="1" applyAlignment="1">
      <alignment vertical="center"/>
    </xf>
    <xf numFmtId="0" fontId="8" fillId="0" borderId="0" xfId="0" applyFont="1"/>
    <xf numFmtId="43" fontId="5" fillId="0" borderId="0" xfId="1" applyFont="1" applyBorder="1" applyAlignment="1">
      <alignment vertical="center"/>
    </xf>
    <xf numFmtId="43" fontId="5" fillId="0" borderId="0" xfId="0" applyNumberFormat="1" applyFont="1" applyAlignment="1">
      <alignment vertical="center"/>
    </xf>
    <xf numFmtId="43" fontId="3" fillId="0" borderId="11" xfId="1" applyFont="1" applyBorder="1" applyAlignment="1">
      <alignment vertical="center"/>
    </xf>
    <xf numFmtId="43" fontId="4" fillId="0" borderId="11" xfId="1" applyFont="1" applyBorder="1" applyAlignment="1">
      <alignment vertical="center"/>
    </xf>
    <xf numFmtId="43" fontId="3" fillId="0" borderId="11" xfId="0" applyNumberFormat="1" applyFont="1" applyBorder="1" applyAlignment="1">
      <alignment vertical="center"/>
    </xf>
    <xf numFmtId="2" fontId="3" fillId="0" borderId="6" xfId="0" applyNumberFormat="1" applyFont="1" applyBorder="1" applyAlignment="1">
      <alignment vertical="center"/>
    </xf>
    <xf numFmtId="43" fontId="7" fillId="0" borderId="8" xfId="1" applyFont="1" applyBorder="1" applyAlignment="1">
      <alignment vertical="center"/>
    </xf>
    <xf numFmtId="187" fontId="3" fillId="0" borderId="6" xfId="1" applyNumberFormat="1" applyFont="1" applyBorder="1" applyAlignment="1">
      <alignment horizontal="left" vertical="top"/>
    </xf>
    <xf numFmtId="43" fontId="7" fillId="0" borderId="6" xfId="1" applyFont="1" applyBorder="1" applyAlignment="1">
      <alignment horizontal="left" vertical="top"/>
    </xf>
    <xf numFmtId="43" fontId="3" fillId="0" borderId="6" xfId="1" applyFont="1" applyBorder="1" applyAlignment="1">
      <alignment horizontal="left" vertical="top"/>
    </xf>
    <xf numFmtId="43" fontId="7" fillId="0" borderId="0" xfId="2" applyNumberFormat="1" applyFont="1" applyAlignment="1">
      <alignment horizontal="left" vertical="top"/>
    </xf>
    <xf numFmtId="43" fontId="3" fillId="0" borderId="8" xfId="1" applyFont="1" applyBorder="1" applyAlignment="1">
      <alignment horizontal="left" vertical="top"/>
    </xf>
    <xf numFmtId="43" fontId="3" fillId="0" borderId="11" xfId="0" applyNumberFormat="1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43" fontId="7" fillId="0" borderId="13" xfId="1" applyFont="1" applyBorder="1" applyAlignment="1">
      <alignment horizontal="left" vertical="top"/>
    </xf>
    <xf numFmtId="43" fontId="7" fillId="0" borderId="8" xfId="1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43" fontId="7" fillId="0" borderId="8" xfId="2" applyNumberFormat="1" applyFont="1" applyBorder="1" applyAlignment="1">
      <alignment horizontal="left" vertical="top"/>
    </xf>
    <xf numFmtId="43" fontId="7" fillId="0" borderId="6" xfId="2" applyNumberFormat="1" applyFont="1" applyBorder="1" applyAlignment="1">
      <alignment horizontal="left" vertical="top"/>
    </xf>
    <xf numFmtId="43" fontId="3" fillId="0" borderId="6" xfId="0" applyNumberFormat="1" applyFont="1" applyBorder="1" applyAlignment="1">
      <alignment horizontal="left" vertical="top"/>
    </xf>
    <xf numFmtId="0" fontId="6" fillId="0" borderId="1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43" fontId="7" fillId="0" borderId="13" xfId="1" applyFont="1" applyBorder="1" applyAlignment="1">
      <alignment vertical="center"/>
    </xf>
    <xf numFmtId="43" fontId="7" fillId="0" borderId="13" xfId="1" applyFont="1" applyBorder="1" applyAlignment="1">
      <alignment vertical="top"/>
    </xf>
    <xf numFmtId="0" fontId="3" fillId="0" borderId="8" xfId="0" applyFont="1" applyBorder="1" applyAlignment="1">
      <alignment horizontal="center" vertical="top"/>
    </xf>
    <xf numFmtId="43" fontId="7" fillId="0" borderId="6" xfId="1" applyFont="1" applyBorder="1" applyAlignment="1">
      <alignment vertical="top"/>
    </xf>
    <xf numFmtId="43" fontId="3" fillId="0" borderId="6" xfId="1" applyFont="1" applyBorder="1" applyAlignment="1">
      <alignment vertical="top"/>
    </xf>
    <xf numFmtId="43" fontId="7" fillId="0" borderId="8" xfId="1" applyFont="1" applyBorder="1" applyAlignment="1">
      <alignment vertical="top"/>
    </xf>
    <xf numFmtId="0" fontId="3" fillId="0" borderId="6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43" fontId="3" fillId="0" borderId="8" xfId="1" applyFont="1" applyBorder="1" applyAlignment="1">
      <alignment horizontal="center" vertical="center"/>
    </xf>
    <xf numFmtId="43" fontId="3" fillId="0" borderId="12" xfId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3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43" fontId="5" fillId="0" borderId="6" xfId="1" applyFont="1" applyBorder="1" applyAlignment="1">
      <alignment vertical="center"/>
    </xf>
    <xf numFmtId="0" fontId="0" fillId="0" borderId="0" xfId="0" applyFont="1"/>
    <xf numFmtId="43" fontId="5" fillId="0" borderId="6" xfId="0" applyNumberFormat="1" applyFont="1" applyFill="1" applyBorder="1" applyAlignment="1">
      <alignment vertical="center"/>
    </xf>
    <xf numFmtId="187" fontId="4" fillId="0" borderId="6" xfId="1" applyNumberFormat="1" applyFont="1" applyBorder="1" applyAlignment="1">
      <alignment vertical="center"/>
    </xf>
    <xf numFmtId="187" fontId="4" fillId="0" borderId="6" xfId="1" applyNumberFormat="1" applyFont="1" applyFill="1" applyBorder="1" applyAlignment="1">
      <alignment vertical="center"/>
    </xf>
    <xf numFmtId="43" fontId="4" fillId="0" borderId="6" xfId="1" applyFont="1" applyFill="1" applyBorder="1" applyAlignment="1">
      <alignment vertical="center"/>
    </xf>
    <xf numFmtId="0" fontId="4" fillId="0" borderId="6" xfId="0" applyFont="1" applyFill="1" applyBorder="1" applyAlignment="1">
      <alignment horizontal="center" vertical="center"/>
    </xf>
    <xf numFmtId="43" fontId="5" fillId="0" borderId="6" xfId="1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10" fillId="0" borderId="0" xfId="0" applyFont="1"/>
    <xf numFmtId="43" fontId="5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87" fontId="3" fillId="0" borderId="11" xfId="1" applyNumberFormat="1" applyFont="1" applyFill="1" applyBorder="1" applyAlignment="1">
      <alignment vertical="center"/>
    </xf>
    <xf numFmtId="0" fontId="2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43" fontId="3" fillId="0" borderId="14" xfId="1" applyFont="1" applyFill="1" applyBorder="1" applyAlignment="1">
      <alignment vertical="center"/>
    </xf>
    <xf numFmtId="43" fontId="5" fillId="0" borderId="15" xfId="1" applyFont="1" applyFill="1" applyBorder="1" applyAlignment="1">
      <alignment vertical="center"/>
    </xf>
    <xf numFmtId="43" fontId="5" fillId="0" borderId="14" xfId="1" applyFont="1" applyFill="1" applyBorder="1" applyAlignment="1">
      <alignment vertical="center"/>
    </xf>
    <xf numFmtId="43" fontId="5" fillId="0" borderId="11" xfId="1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0" fillId="0" borderId="0" xfId="0" applyFill="1"/>
    <xf numFmtId="187" fontId="12" fillId="2" borderId="7" xfId="1" applyNumberFormat="1" applyFont="1" applyFill="1" applyBorder="1" applyAlignment="1">
      <alignment vertical="center"/>
    </xf>
    <xf numFmtId="0" fontId="12" fillId="2" borderId="7" xfId="0" applyFont="1" applyFill="1" applyBorder="1" applyAlignment="1">
      <alignment horizontal="center" vertical="center"/>
    </xf>
    <xf numFmtId="43" fontId="12" fillId="2" borderId="7" xfId="1" applyFont="1" applyFill="1" applyBorder="1" applyAlignment="1">
      <alignment vertical="center"/>
    </xf>
    <xf numFmtId="43" fontId="13" fillId="2" borderId="7" xfId="1" applyFont="1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0" fontId="11" fillId="0" borderId="0" xfId="0" applyFont="1"/>
    <xf numFmtId="0" fontId="14" fillId="0" borderId="0" xfId="0" applyFont="1"/>
    <xf numFmtId="43" fontId="13" fillId="2" borderId="7" xfId="0" applyNumberFormat="1" applyFont="1" applyFill="1" applyBorder="1" applyAlignment="1">
      <alignment vertical="center"/>
    </xf>
    <xf numFmtId="0" fontId="15" fillId="2" borderId="0" xfId="0" applyFont="1" applyFill="1"/>
    <xf numFmtId="0" fontId="11" fillId="2" borderId="0" xfId="0" applyFont="1" applyFill="1"/>
    <xf numFmtId="187" fontId="12" fillId="2" borderId="5" xfId="1" applyNumberFormat="1" applyFont="1" applyFill="1" applyBorder="1" applyAlignment="1">
      <alignment vertical="center"/>
    </xf>
    <xf numFmtId="0" fontId="12" fillId="2" borderId="6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187" fontId="13" fillId="2" borderId="6" xfId="1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4">
    <cellStyle name="Comma 2" xfId="3" xr:uid="{45E5286D-3A0B-4632-92AA-65830BE1B839}"/>
    <cellStyle name="Normal 2" xfId="2" xr:uid="{5A9964B4-0CC1-4B4D-99C5-0DF08D880F74}"/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8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961F73-0AF9-4AAA-B3BD-20955D512DA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c2c4a19-dd15-4da0-851b-ceb8f5eac54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5BCC-53C2-45EC-8E88-7C8E10F46BFF}">
  <dimension ref="A1:T178"/>
  <sheetViews>
    <sheetView tabSelected="1" view="pageBreakPreview" topLeftCell="A7" zoomScaleNormal="100" zoomScaleSheetLayoutView="100" workbookViewId="0">
      <selection activeCell="I30" sqref="I30"/>
    </sheetView>
  </sheetViews>
  <sheetFormatPr defaultRowHeight="14.25" x14ac:dyDescent="0.2"/>
  <cols>
    <col min="1" max="1" width="6.125" customWidth="1"/>
    <col min="2" max="2" width="43.5" customWidth="1"/>
    <col min="3" max="3" width="8.625" customWidth="1"/>
    <col min="4" max="4" width="5" bestFit="1" customWidth="1"/>
    <col min="5" max="5" width="10" customWidth="1"/>
    <col min="6" max="6" width="13" bestFit="1" customWidth="1"/>
    <col min="7" max="7" width="10.5" customWidth="1"/>
    <col min="8" max="8" width="12.125" customWidth="1"/>
    <col min="9" max="9" width="12.875" bestFit="1" customWidth="1"/>
    <col min="10" max="10" width="8.625" customWidth="1"/>
    <col min="12" max="12" width="11.5" bestFit="1" customWidth="1"/>
  </cols>
  <sheetData>
    <row r="1" spans="1:10" ht="15.6" customHeight="1" x14ac:dyDescent="0.45">
      <c r="A1" s="117"/>
      <c r="B1" s="117"/>
      <c r="C1" s="117"/>
      <c r="D1" s="117"/>
      <c r="E1" s="117"/>
      <c r="F1" s="117"/>
      <c r="G1" s="117"/>
      <c r="H1" s="117"/>
      <c r="I1" s="116"/>
      <c r="J1" s="116"/>
    </row>
    <row r="2" spans="1:10" ht="15.6" customHeight="1" x14ac:dyDescent="0.2">
      <c r="A2" s="119" t="s">
        <v>182</v>
      </c>
      <c r="B2" s="119"/>
      <c r="C2" s="119"/>
      <c r="D2" s="119"/>
      <c r="E2" s="119"/>
      <c r="F2" s="119"/>
      <c r="G2" s="119"/>
      <c r="H2" s="119"/>
      <c r="I2" s="119"/>
      <c r="J2" s="119"/>
    </row>
    <row r="3" spans="1:10" ht="15.6" customHeight="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</row>
    <row r="4" spans="1:10" ht="15.6" customHeight="1" thickBot="1" x14ac:dyDescent="0.55000000000000004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15.6" customHeight="1" thickTop="1" x14ac:dyDescent="0.2">
      <c r="A5" s="120" t="s">
        <v>0</v>
      </c>
      <c r="B5" s="120" t="s">
        <v>1</v>
      </c>
      <c r="C5" s="120" t="s">
        <v>2</v>
      </c>
      <c r="D5" s="120" t="s">
        <v>3</v>
      </c>
      <c r="E5" s="120" t="s">
        <v>4</v>
      </c>
      <c r="F5" s="120"/>
      <c r="G5" s="120" t="s">
        <v>5</v>
      </c>
      <c r="H5" s="120"/>
      <c r="I5" s="5" t="s">
        <v>6</v>
      </c>
      <c r="J5" s="120" t="s">
        <v>7</v>
      </c>
    </row>
    <row r="6" spans="1:10" ht="15.6" customHeight="1" thickBot="1" x14ac:dyDescent="0.25">
      <c r="A6" s="121"/>
      <c r="B6" s="121"/>
      <c r="C6" s="121"/>
      <c r="D6" s="121"/>
      <c r="E6" s="6" t="s">
        <v>8</v>
      </c>
      <c r="F6" s="6" t="s">
        <v>9</v>
      </c>
      <c r="G6" s="6" t="s">
        <v>8</v>
      </c>
      <c r="H6" s="6" t="s">
        <v>9</v>
      </c>
      <c r="I6" s="7" t="s">
        <v>10</v>
      </c>
      <c r="J6" s="121"/>
    </row>
    <row r="7" spans="1:10" s="109" customFormat="1" ht="15.6" customHeight="1" thickTop="1" x14ac:dyDescent="0.2">
      <c r="A7" s="114">
        <v>1</v>
      </c>
      <c r="B7" s="115" t="s">
        <v>12</v>
      </c>
      <c r="C7" s="112"/>
      <c r="D7" s="112"/>
      <c r="E7" s="112"/>
      <c r="F7" s="112"/>
      <c r="G7" s="112"/>
      <c r="H7" s="112"/>
      <c r="I7" s="112"/>
      <c r="J7" s="112"/>
    </row>
    <row r="8" spans="1:10" ht="15.6" customHeight="1" x14ac:dyDescent="0.2">
      <c r="A8" s="11"/>
      <c r="B8" s="10" t="s">
        <v>13</v>
      </c>
      <c r="C8" s="12"/>
      <c r="D8" s="12"/>
      <c r="E8" s="12"/>
      <c r="F8" s="12"/>
      <c r="G8" s="12"/>
      <c r="H8" s="12"/>
      <c r="I8" s="12"/>
      <c r="J8" s="12"/>
    </row>
    <row r="9" spans="1:10" ht="15.6" customHeight="1" x14ac:dyDescent="0.2">
      <c r="A9" s="11"/>
      <c r="B9" s="12" t="s">
        <v>14</v>
      </c>
      <c r="C9" s="18">
        <f>10/6</f>
        <v>1.6666666666666667</v>
      </c>
      <c r="D9" s="13" t="s">
        <v>15</v>
      </c>
      <c r="E9" s="18">
        <v>3500</v>
      </c>
      <c r="F9" s="18">
        <f>E9*C9</f>
        <v>5833.3333333333339</v>
      </c>
      <c r="G9" s="18">
        <v>0</v>
      </c>
      <c r="H9" s="18">
        <f>G9*C9</f>
        <v>0</v>
      </c>
      <c r="I9" s="15">
        <f>F9+H9</f>
        <v>5833.3333333333339</v>
      </c>
      <c r="J9" s="12"/>
    </row>
    <row r="10" spans="1:10" ht="15.6" customHeight="1" x14ac:dyDescent="0.2">
      <c r="A10" s="11"/>
      <c r="B10" s="12" t="s">
        <v>36</v>
      </c>
      <c r="C10" s="18">
        <f>5.5/6</f>
        <v>0.91666666666666663</v>
      </c>
      <c r="D10" s="13" t="s">
        <v>16</v>
      </c>
      <c r="E10" s="18">
        <v>1500</v>
      </c>
      <c r="F10" s="18">
        <f>E10*C10</f>
        <v>1375</v>
      </c>
      <c r="G10" s="18">
        <v>0</v>
      </c>
      <c r="H10" s="18">
        <f>G10*C10</f>
        <v>0</v>
      </c>
      <c r="I10" s="15">
        <f>F10+H10</f>
        <v>1375</v>
      </c>
      <c r="J10" s="12"/>
    </row>
    <row r="11" spans="1:10" ht="15.6" customHeight="1" x14ac:dyDescent="0.2">
      <c r="A11" s="11"/>
      <c r="B11" s="12" t="s">
        <v>17</v>
      </c>
      <c r="C11" s="20">
        <v>0</v>
      </c>
      <c r="D11" s="13" t="s">
        <v>16</v>
      </c>
      <c r="E11" s="21">
        <v>0</v>
      </c>
      <c r="F11" s="18">
        <f>E11*C11</f>
        <v>0</v>
      </c>
      <c r="G11" s="18">
        <v>0</v>
      </c>
      <c r="H11" s="18">
        <f>G11*C11</f>
        <v>0</v>
      </c>
      <c r="I11" s="15">
        <f>F11+H11</f>
        <v>0</v>
      </c>
      <c r="J11" s="12"/>
    </row>
    <row r="12" spans="1:10" ht="15.6" customHeight="1" x14ac:dyDescent="0.2">
      <c r="A12" s="11"/>
      <c r="B12" s="12" t="s">
        <v>18</v>
      </c>
      <c r="C12" s="18">
        <f>40/6</f>
        <v>6.666666666666667</v>
      </c>
      <c r="D12" s="13" t="s">
        <v>16</v>
      </c>
      <c r="E12" s="19">
        <v>100</v>
      </c>
      <c r="F12" s="18">
        <f>E12*C12</f>
        <v>666.66666666666674</v>
      </c>
      <c r="G12" s="18">
        <v>0</v>
      </c>
      <c r="H12" s="18">
        <f>G12*C12</f>
        <v>0</v>
      </c>
      <c r="I12" s="15">
        <f>F12+H12</f>
        <v>666.66666666666674</v>
      </c>
      <c r="J12" s="12"/>
    </row>
    <row r="13" spans="1:10" ht="15.6" customHeight="1" x14ac:dyDescent="0.2">
      <c r="A13" s="11"/>
      <c r="B13" s="74" t="s">
        <v>19</v>
      </c>
      <c r="C13" s="14"/>
      <c r="D13" s="14"/>
      <c r="E13" s="14"/>
      <c r="F13" s="75">
        <f>SUM(F9:F12)</f>
        <v>7875.0000000000009</v>
      </c>
      <c r="G13" s="76"/>
      <c r="H13" s="75">
        <f>SUM(H9:H12)</f>
        <v>0</v>
      </c>
      <c r="I13" s="75">
        <f>SUM(I9:I12)</f>
        <v>7875.0000000000009</v>
      </c>
      <c r="J13" s="12"/>
    </row>
    <row r="14" spans="1:10" ht="15.6" customHeight="1" x14ac:dyDescent="0.2">
      <c r="A14" s="11"/>
      <c r="B14" s="10" t="s">
        <v>20</v>
      </c>
      <c r="C14" s="12"/>
      <c r="D14" s="12"/>
      <c r="E14" s="12"/>
      <c r="F14" s="12"/>
      <c r="G14" s="12"/>
      <c r="H14" s="18"/>
      <c r="I14" s="12"/>
      <c r="J14" s="12"/>
    </row>
    <row r="15" spans="1:10" ht="15.6" customHeight="1" x14ac:dyDescent="0.2">
      <c r="A15" s="11"/>
      <c r="B15" s="12" t="s">
        <v>109</v>
      </c>
      <c r="C15" s="18">
        <f>53/6</f>
        <v>8.8333333333333339</v>
      </c>
      <c r="D15" s="13" t="s">
        <v>21</v>
      </c>
      <c r="E15" s="19">
        <v>2080</v>
      </c>
      <c r="F15" s="18">
        <f>E15*C15</f>
        <v>18373.333333333336</v>
      </c>
      <c r="G15" s="18">
        <v>750</v>
      </c>
      <c r="H15" s="18">
        <f>G15*C15</f>
        <v>6625</v>
      </c>
      <c r="I15" s="15">
        <f>H15+F15</f>
        <v>24998.333333333336</v>
      </c>
      <c r="J15" s="12"/>
    </row>
    <row r="16" spans="1:10" ht="15.6" customHeight="1" x14ac:dyDescent="0.2">
      <c r="A16" s="11"/>
      <c r="B16" s="12" t="s">
        <v>22</v>
      </c>
      <c r="C16" s="18">
        <f>C15</f>
        <v>8.8333333333333339</v>
      </c>
      <c r="D16" s="13" t="s">
        <v>21</v>
      </c>
      <c r="E16" s="18">
        <v>0</v>
      </c>
      <c r="F16" s="18">
        <v>0</v>
      </c>
      <c r="G16" s="19">
        <v>100</v>
      </c>
      <c r="H16" s="18">
        <f>G16*C16</f>
        <v>883.33333333333337</v>
      </c>
      <c r="I16" s="15">
        <f>H16+F16</f>
        <v>883.33333333333337</v>
      </c>
      <c r="J16" s="12"/>
    </row>
    <row r="17" spans="1:10" ht="15.6" customHeight="1" x14ac:dyDescent="0.2">
      <c r="A17" s="11"/>
      <c r="B17" s="74" t="s">
        <v>23</v>
      </c>
      <c r="C17" s="14"/>
      <c r="D17" s="14"/>
      <c r="E17" s="14"/>
      <c r="F17" s="75">
        <f>SUM(F15:F16)</f>
        <v>18373.333333333336</v>
      </c>
      <c r="G17" s="75"/>
      <c r="H17" s="75">
        <f t="shared" ref="H17:I17" si="0">SUM(H15:H16)</f>
        <v>7508.333333333333</v>
      </c>
      <c r="I17" s="75">
        <f t="shared" si="0"/>
        <v>25881.666666666668</v>
      </c>
      <c r="J17" s="12"/>
    </row>
    <row r="18" spans="1:10" ht="15.6" customHeight="1" x14ac:dyDescent="0.2">
      <c r="A18" s="11"/>
      <c r="B18" s="10" t="s">
        <v>24</v>
      </c>
      <c r="C18" s="12"/>
      <c r="D18" s="12"/>
      <c r="E18" s="12"/>
      <c r="F18" s="12"/>
      <c r="G18" s="12"/>
      <c r="H18" s="12"/>
      <c r="I18" s="12"/>
      <c r="J18" s="12"/>
    </row>
    <row r="19" spans="1:10" ht="15.6" customHeight="1" x14ac:dyDescent="0.2">
      <c r="A19" s="11"/>
      <c r="B19" s="12" t="s">
        <v>25</v>
      </c>
      <c r="C19" s="18">
        <f>20/6</f>
        <v>3.3333333333333335</v>
      </c>
      <c r="D19" s="13" t="s">
        <v>60</v>
      </c>
      <c r="E19" s="19">
        <v>590</v>
      </c>
      <c r="F19" s="18">
        <f>E19*C19</f>
        <v>1966.6666666666667</v>
      </c>
      <c r="G19" s="18">
        <v>0</v>
      </c>
      <c r="H19" s="18">
        <f>G19*C19</f>
        <v>0</v>
      </c>
      <c r="I19" s="15">
        <f>H19+F19</f>
        <v>1966.6666666666667</v>
      </c>
      <c r="J19" s="12"/>
    </row>
    <row r="20" spans="1:10" ht="15.6" customHeight="1" x14ac:dyDescent="0.2">
      <c r="A20" s="11"/>
      <c r="B20" s="12" t="s">
        <v>27</v>
      </c>
      <c r="C20" s="18">
        <v>0</v>
      </c>
      <c r="D20" s="13" t="s">
        <v>26</v>
      </c>
      <c r="E20" s="21">
        <v>0</v>
      </c>
      <c r="F20" s="18">
        <f>E20*C20</f>
        <v>0</v>
      </c>
      <c r="G20" s="18">
        <v>0</v>
      </c>
      <c r="H20" s="18">
        <f>G20*C20</f>
        <v>0</v>
      </c>
      <c r="I20" s="15">
        <f>H20+F20</f>
        <v>0</v>
      </c>
      <c r="J20" s="12"/>
    </row>
    <row r="21" spans="1:10" ht="15.6" customHeight="1" x14ac:dyDescent="0.2">
      <c r="A21" s="9"/>
      <c r="B21" s="12" t="s">
        <v>28</v>
      </c>
      <c r="C21" s="18">
        <f>200/6</f>
        <v>33.333333333333336</v>
      </c>
      <c r="D21" s="13" t="s">
        <v>21</v>
      </c>
      <c r="E21" s="18">
        <v>25</v>
      </c>
      <c r="F21" s="18">
        <f>E21*C21</f>
        <v>833.33333333333337</v>
      </c>
      <c r="G21" s="18">
        <v>0</v>
      </c>
      <c r="H21" s="18">
        <f>G21*C21</f>
        <v>0</v>
      </c>
      <c r="I21" s="15">
        <f>H21+F21</f>
        <v>833.33333333333337</v>
      </c>
      <c r="J21" s="12"/>
    </row>
    <row r="22" spans="1:10" ht="15.6" customHeight="1" x14ac:dyDescent="0.2">
      <c r="A22" s="9"/>
      <c r="B22" s="12" t="s">
        <v>29</v>
      </c>
      <c r="C22" s="18">
        <v>0</v>
      </c>
      <c r="D22" s="13" t="s">
        <v>30</v>
      </c>
      <c r="E22" s="21">
        <v>0</v>
      </c>
      <c r="F22" s="18">
        <f>E22*C22</f>
        <v>0</v>
      </c>
      <c r="G22" s="18">
        <v>0</v>
      </c>
      <c r="H22" s="18">
        <f>G22*C22</f>
        <v>0</v>
      </c>
      <c r="I22" s="15">
        <f>H22+F22</f>
        <v>0</v>
      </c>
      <c r="J22" s="12"/>
    </row>
    <row r="23" spans="1:10" ht="15.6" customHeight="1" x14ac:dyDescent="0.2">
      <c r="A23" s="11"/>
      <c r="B23" s="12" t="s">
        <v>31</v>
      </c>
      <c r="C23" s="18">
        <v>0</v>
      </c>
      <c r="D23" s="13" t="s">
        <v>32</v>
      </c>
      <c r="E23" s="18">
        <v>0</v>
      </c>
      <c r="F23" s="18">
        <f>E23*C23</f>
        <v>0</v>
      </c>
      <c r="G23" s="18">
        <v>0</v>
      </c>
      <c r="H23" s="18">
        <f>G23*C23</f>
        <v>0</v>
      </c>
      <c r="I23" s="15">
        <f>H23+F23</f>
        <v>0</v>
      </c>
      <c r="J23" s="12"/>
    </row>
    <row r="24" spans="1:10" ht="15.6" customHeight="1" x14ac:dyDescent="0.2">
      <c r="A24" s="11"/>
      <c r="B24" s="74" t="s">
        <v>33</v>
      </c>
      <c r="C24" s="14"/>
      <c r="D24" s="14"/>
      <c r="E24" s="14"/>
      <c r="F24" s="75">
        <f>SUM(F19:F23)</f>
        <v>2800</v>
      </c>
      <c r="G24" s="75"/>
      <c r="H24" s="75">
        <f t="shared" ref="H24:I24" si="1">SUM(H19:H23)</f>
        <v>0</v>
      </c>
      <c r="I24" s="75">
        <f t="shared" si="1"/>
        <v>2800</v>
      </c>
      <c r="J24" s="12"/>
    </row>
    <row r="25" spans="1:10" ht="15.6" customHeight="1" x14ac:dyDescent="0.2">
      <c r="A25" s="11"/>
      <c r="B25" s="10" t="s">
        <v>34</v>
      </c>
      <c r="C25" s="12"/>
      <c r="D25" s="12"/>
      <c r="E25" s="12"/>
      <c r="F25" s="12"/>
      <c r="G25" s="12"/>
      <c r="H25" s="12"/>
      <c r="I25" s="12"/>
      <c r="J25" s="12"/>
    </row>
    <row r="26" spans="1:10" ht="15.6" customHeight="1" x14ac:dyDescent="0.2">
      <c r="A26" s="11"/>
      <c r="B26" s="12" t="s">
        <v>35</v>
      </c>
      <c r="C26" s="12">
        <f>15/6</f>
        <v>2.5</v>
      </c>
      <c r="D26" s="13" t="s">
        <v>16</v>
      </c>
      <c r="E26" s="18">
        <v>1300</v>
      </c>
      <c r="F26" s="18">
        <f>E26*C26</f>
        <v>3250</v>
      </c>
      <c r="G26" s="73">
        <v>173.47</v>
      </c>
      <c r="H26" s="24">
        <f>(G26*C29)/2</f>
        <v>8673.5</v>
      </c>
      <c r="I26" s="15">
        <f>SUM(F26+H26)</f>
        <v>11923.5</v>
      </c>
      <c r="J26" s="12"/>
    </row>
    <row r="27" spans="1:10" ht="15.6" customHeight="1" x14ac:dyDescent="0.2">
      <c r="A27" s="11"/>
      <c r="B27" s="12" t="s">
        <v>36</v>
      </c>
      <c r="C27" s="42">
        <f>55/6</f>
        <v>9.1666666666666661</v>
      </c>
      <c r="D27" s="13" t="s">
        <v>16</v>
      </c>
      <c r="E27" s="18">
        <v>1500</v>
      </c>
      <c r="F27" s="18">
        <f>E27*C27</f>
        <v>13750</v>
      </c>
      <c r="G27" s="18">
        <v>0</v>
      </c>
      <c r="H27" s="18">
        <f>G27*C27</f>
        <v>0</v>
      </c>
      <c r="I27" s="15">
        <f>SUM(F27+H27)</f>
        <v>13750</v>
      </c>
      <c r="J27" s="12"/>
    </row>
    <row r="28" spans="1:10" ht="15.6" customHeight="1" x14ac:dyDescent="0.2">
      <c r="A28" s="11"/>
      <c r="B28" s="12" t="s">
        <v>37</v>
      </c>
      <c r="C28" s="18">
        <v>0</v>
      </c>
      <c r="D28" s="13" t="s">
        <v>16</v>
      </c>
      <c r="E28" s="18">
        <v>1600</v>
      </c>
      <c r="F28" s="18">
        <f>E28*C28</f>
        <v>0</v>
      </c>
      <c r="G28" s="18">
        <v>0</v>
      </c>
      <c r="H28" s="18">
        <f>G28*C28</f>
        <v>0</v>
      </c>
      <c r="I28" s="15">
        <f>SUM(F28+H28)</f>
        <v>0</v>
      </c>
      <c r="J28" s="12"/>
    </row>
    <row r="29" spans="1:10" ht="15.6" customHeight="1" x14ac:dyDescent="0.2">
      <c r="A29" s="11"/>
      <c r="B29" s="12" t="s">
        <v>38</v>
      </c>
      <c r="C29" s="18">
        <f>600/6</f>
        <v>100</v>
      </c>
      <c r="D29" s="13" t="s">
        <v>32</v>
      </c>
      <c r="E29" s="18">
        <v>74.2</v>
      </c>
      <c r="F29" s="18">
        <f>E29*C29</f>
        <v>7420</v>
      </c>
      <c r="G29" s="18">
        <v>0</v>
      </c>
      <c r="H29" s="18">
        <f>G29*C29</f>
        <v>0</v>
      </c>
      <c r="I29" s="15">
        <f>SUM(F29+H29)</f>
        <v>7420</v>
      </c>
      <c r="J29" s="12"/>
    </row>
    <row r="30" spans="1:10" ht="15.6" customHeight="1" x14ac:dyDescent="0.2">
      <c r="A30" s="9"/>
      <c r="B30" s="74" t="s">
        <v>39</v>
      </c>
      <c r="C30" s="14"/>
      <c r="D30" s="14"/>
      <c r="E30" s="75"/>
      <c r="F30" s="75">
        <f t="shared" ref="F30" si="2">SUM(F26:F29)</f>
        <v>24420</v>
      </c>
      <c r="G30" s="75"/>
      <c r="H30" s="75">
        <f t="shared" ref="H30" si="3">SUM(H26:H29)</f>
        <v>8673.5</v>
      </c>
      <c r="I30" s="75">
        <f>SUM(I26:I29)</f>
        <v>33093.5</v>
      </c>
      <c r="J30" s="12"/>
    </row>
    <row r="31" spans="1:10" ht="15.6" customHeight="1" x14ac:dyDescent="0.2">
      <c r="A31" s="11"/>
      <c r="B31" s="10" t="s">
        <v>40</v>
      </c>
      <c r="C31" s="12"/>
      <c r="D31" s="12"/>
      <c r="E31" s="12"/>
      <c r="F31" s="12"/>
      <c r="G31" s="25"/>
      <c r="H31" s="25"/>
      <c r="I31" s="25"/>
      <c r="J31" s="12"/>
    </row>
    <row r="32" spans="1:10" ht="15.6" customHeight="1" x14ac:dyDescent="0.2">
      <c r="A32" s="11"/>
      <c r="B32" s="12" t="s">
        <v>41</v>
      </c>
      <c r="C32" s="18">
        <f>(50*2.22/1000)/6</f>
        <v>1.8500000000000003E-2</v>
      </c>
      <c r="D32" s="13" t="s">
        <v>42</v>
      </c>
      <c r="E32" s="19">
        <v>64</v>
      </c>
      <c r="F32" s="18">
        <f>C32*1000/2.22*E32</f>
        <v>533.33333333333337</v>
      </c>
      <c r="G32" s="18">
        <v>0</v>
      </c>
      <c r="H32" s="18">
        <f>G32*C32</f>
        <v>0</v>
      </c>
      <c r="I32" s="15">
        <f>H32+F32</f>
        <v>533.33333333333337</v>
      </c>
      <c r="J32" s="12"/>
    </row>
    <row r="33" spans="1:10" ht="15.6" customHeight="1" x14ac:dyDescent="0.2">
      <c r="A33" s="11"/>
      <c r="B33" s="12" t="s">
        <v>43</v>
      </c>
      <c r="C33" s="18">
        <f>(65*4.99/1000)/6</f>
        <v>5.405833333333334E-2</v>
      </c>
      <c r="D33" s="13" t="s">
        <v>42</v>
      </c>
      <c r="E33" s="19">
        <v>137</v>
      </c>
      <c r="F33" s="18">
        <f>C33*1000/4.99*E33</f>
        <v>1484.1666666666667</v>
      </c>
      <c r="G33" s="18">
        <v>0</v>
      </c>
      <c r="H33" s="18">
        <f>G33*C33</f>
        <v>0</v>
      </c>
      <c r="I33" s="15">
        <f>H33+F33</f>
        <v>1484.1666666666667</v>
      </c>
      <c r="J33" s="12"/>
    </row>
    <row r="34" spans="1:10" ht="15.6" customHeight="1" x14ac:dyDescent="0.2">
      <c r="A34" s="11"/>
      <c r="B34" s="12" t="s">
        <v>44</v>
      </c>
      <c r="C34" s="18">
        <f>(215*8.88/1000)/6</f>
        <v>0.31820000000000004</v>
      </c>
      <c r="D34" s="13" t="s">
        <v>42</v>
      </c>
      <c r="E34" s="19">
        <v>240</v>
      </c>
      <c r="F34" s="18">
        <f>C34*1000/8.88*E34</f>
        <v>8600</v>
      </c>
      <c r="G34" s="18">
        <v>0</v>
      </c>
      <c r="H34" s="18">
        <f>G34*C34</f>
        <v>0</v>
      </c>
      <c r="I34" s="15">
        <f>H34+F34</f>
        <v>8600</v>
      </c>
      <c r="J34" s="12"/>
    </row>
    <row r="35" spans="1:10" ht="15.6" customHeight="1" x14ac:dyDescent="0.2">
      <c r="A35" s="11"/>
      <c r="B35" s="12" t="s">
        <v>45</v>
      </c>
      <c r="C35" s="18">
        <v>0</v>
      </c>
      <c r="D35" s="13" t="s">
        <v>42</v>
      </c>
      <c r="E35" s="19">
        <v>425</v>
      </c>
      <c r="F35" s="18">
        <f>C35*1000/15.78*E35</f>
        <v>0</v>
      </c>
      <c r="G35" s="18">
        <v>0</v>
      </c>
      <c r="H35" s="18">
        <f>G35*C35</f>
        <v>0</v>
      </c>
      <c r="I35" s="15">
        <f>H35+F35</f>
        <v>0</v>
      </c>
      <c r="J35" s="12"/>
    </row>
    <row r="36" spans="1:10" ht="15.6" customHeight="1" x14ac:dyDescent="0.2">
      <c r="A36" s="11"/>
      <c r="B36" s="12" t="s">
        <v>46</v>
      </c>
      <c r="C36" s="18">
        <v>0</v>
      </c>
      <c r="D36" s="13" t="s">
        <v>30</v>
      </c>
      <c r="E36" s="21">
        <v>0</v>
      </c>
      <c r="F36" s="18">
        <f>C36*1000/15.78*E36</f>
        <v>0</v>
      </c>
      <c r="G36" s="18">
        <v>0</v>
      </c>
      <c r="H36" s="18">
        <f>G36*C36</f>
        <v>0</v>
      </c>
      <c r="I36" s="15">
        <f>H36+F36</f>
        <v>0</v>
      </c>
      <c r="J36" s="12"/>
    </row>
    <row r="37" spans="1:10" ht="15.6" customHeight="1" x14ac:dyDescent="0.2">
      <c r="A37" s="11"/>
      <c r="B37" s="74" t="s">
        <v>47</v>
      </c>
      <c r="C37" s="21"/>
      <c r="D37" s="77"/>
      <c r="E37" s="21"/>
      <c r="F37" s="78">
        <f>SUM(F32:F36)</f>
        <v>10617.5</v>
      </c>
      <c r="G37" s="78"/>
      <c r="H37" s="78">
        <f t="shared" ref="H37:I37" si="4">SUM(H32:H36)</f>
        <v>0</v>
      </c>
      <c r="I37" s="78">
        <f t="shared" si="4"/>
        <v>10617.5</v>
      </c>
      <c r="J37" s="12"/>
    </row>
    <row r="38" spans="1:10" ht="15.6" customHeight="1" x14ac:dyDescent="0.2">
      <c r="A38" s="11"/>
      <c r="B38" s="10" t="s">
        <v>48</v>
      </c>
      <c r="C38" s="12"/>
      <c r="D38" s="12"/>
      <c r="E38" s="12"/>
      <c r="F38" s="12"/>
      <c r="G38" s="12"/>
      <c r="H38" s="12"/>
      <c r="I38" s="12"/>
      <c r="J38" s="12"/>
    </row>
    <row r="39" spans="1:10" ht="15.6" customHeight="1" x14ac:dyDescent="0.2">
      <c r="A39" s="11"/>
      <c r="B39" s="12" t="s">
        <v>43</v>
      </c>
      <c r="C39" s="18">
        <f>0.299/6</f>
        <v>4.9833333333333334E-2</v>
      </c>
      <c r="D39" s="13" t="s">
        <v>42</v>
      </c>
      <c r="E39" s="19">
        <v>137</v>
      </c>
      <c r="F39" s="18">
        <f>C39*1000/4.99*E39</f>
        <v>1368.1696726786906</v>
      </c>
      <c r="G39" s="26">
        <v>115</v>
      </c>
      <c r="H39" s="26">
        <f>G39*C42</f>
        <v>11500</v>
      </c>
      <c r="I39" s="15">
        <f>H39+F39</f>
        <v>12868.16967267869</v>
      </c>
      <c r="J39" s="12"/>
    </row>
    <row r="40" spans="1:10" ht="15.6" customHeight="1" x14ac:dyDescent="0.2">
      <c r="A40" s="11"/>
      <c r="B40" s="12" t="s">
        <v>44</v>
      </c>
      <c r="C40" s="18">
        <f>0.53/6</f>
        <v>8.8333333333333333E-2</v>
      </c>
      <c r="D40" s="13" t="s">
        <v>42</v>
      </c>
      <c r="E40" s="19">
        <v>240</v>
      </c>
      <c r="F40" s="18">
        <f>C40*1000/8.88*E40</f>
        <v>2387.3873873873872</v>
      </c>
      <c r="G40" s="18">
        <v>0</v>
      </c>
      <c r="H40" s="18">
        <f>G40*C40</f>
        <v>0</v>
      </c>
      <c r="I40" s="15">
        <f>H40+F40</f>
        <v>2387.3873873873872</v>
      </c>
      <c r="J40" s="12"/>
    </row>
    <row r="41" spans="1:10" ht="15.6" customHeight="1" x14ac:dyDescent="0.2">
      <c r="A41" s="9"/>
      <c r="B41" s="12" t="s">
        <v>110</v>
      </c>
      <c r="C41" s="18">
        <f>59/6</f>
        <v>9.8333333333333339</v>
      </c>
      <c r="D41" s="13" t="s">
        <v>16</v>
      </c>
      <c r="E41" s="19">
        <v>1600</v>
      </c>
      <c r="F41" s="18">
        <f>E41*C41</f>
        <v>15733.333333333334</v>
      </c>
      <c r="G41" s="18">
        <v>1</v>
      </c>
      <c r="H41" s="18">
        <f>G41*C41</f>
        <v>9.8333333333333339</v>
      </c>
      <c r="I41" s="15">
        <f>H41+F41</f>
        <v>15743.166666666668</v>
      </c>
      <c r="J41" s="12"/>
    </row>
    <row r="42" spans="1:10" ht="15.6" customHeight="1" x14ac:dyDescent="0.2">
      <c r="A42" s="9"/>
      <c r="B42" s="12" t="s">
        <v>49</v>
      </c>
      <c r="C42" s="18">
        <f>600/6</f>
        <v>100</v>
      </c>
      <c r="D42" s="13" t="s">
        <v>32</v>
      </c>
      <c r="E42" s="19">
        <v>74.2</v>
      </c>
      <c r="F42" s="18">
        <f>E42*C42</f>
        <v>7420</v>
      </c>
      <c r="G42" s="18">
        <v>2</v>
      </c>
      <c r="H42" s="18">
        <f>G42*C42</f>
        <v>200</v>
      </c>
      <c r="I42" s="15">
        <f>H42+F42</f>
        <v>7620</v>
      </c>
      <c r="J42" s="12"/>
    </row>
    <row r="43" spans="1:10" s="79" customFormat="1" ht="15.6" customHeight="1" thickBot="1" x14ac:dyDescent="0.25">
      <c r="A43" s="9"/>
      <c r="B43" s="74" t="s">
        <v>50</v>
      </c>
      <c r="C43" s="21"/>
      <c r="D43" s="77"/>
      <c r="E43" s="21"/>
      <c r="F43" s="78">
        <f>SUM(F39:F42)</f>
        <v>26908.890393399412</v>
      </c>
      <c r="G43" s="78"/>
      <c r="H43" s="78">
        <f t="shared" ref="H43:I43" si="5">SUM(H39:H42)</f>
        <v>11709.833333333334</v>
      </c>
      <c r="I43" s="78">
        <f t="shared" si="5"/>
        <v>38618.723726732744</v>
      </c>
      <c r="J43" s="12"/>
    </row>
    <row r="44" spans="1:10" ht="15.6" customHeight="1" thickTop="1" x14ac:dyDescent="0.2">
      <c r="A44" s="32"/>
      <c r="B44" s="8" t="s">
        <v>51</v>
      </c>
      <c r="C44" s="17"/>
      <c r="D44" s="17"/>
      <c r="E44" s="17"/>
      <c r="F44" s="17"/>
      <c r="G44" s="17"/>
      <c r="H44" s="17"/>
      <c r="I44" s="17"/>
      <c r="J44" s="17"/>
    </row>
    <row r="45" spans="1:10" ht="15.6" customHeight="1" x14ac:dyDescent="0.2">
      <c r="A45" s="11"/>
      <c r="B45" s="12" t="s">
        <v>52</v>
      </c>
      <c r="C45" s="18">
        <f>12/6</f>
        <v>2</v>
      </c>
      <c r="D45" s="13" t="s">
        <v>53</v>
      </c>
      <c r="E45" s="19">
        <v>225</v>
      </c>
      <c r="F45" s="18">
        <f t="shared" ref="F45:F63" si="6">E45*C45</f>
        <v>450</v>
      </c>
      <c r="G45" s="18">
        <v>0</v>
      </c>
      <c r="H45" s="18">
        <f t="shared" ref="H45:H58" si="7">G45*C45</f>
        <v>0</v>
      </c>
      <c r="I45" s="15">
        <f t="shared" ref="I45:I63" si="8">H45+F45</f>
        <v>450</v>
      </c>
      <c r="J45" s="14"/>
    </row>
    <row r="46" spans="1:10" ht="15.6" customHeight="1" x14ac:dyDescent="0.2">
      <c r="A46" s="11"/>
      <c r="B46" s="12" t="s">
        <v>54</v>
      </c>
      <c r="C46" s="18">
        <f>73/6</f>
        <v>12.166666666666666</v>
      </c>
      <c r="D46" s="13" t="s">
        <v>53</v>
      </c>
      <c r="E46" s="19">
        <v>500</v>
      </c>
      <c r="F46" s="18">
        <f t="shared" si="6"/>
        <v>6083.333333333333</v>
      </c>
      <c r="G46" s="18">
        <v>0</v>
      </c>
      <c r="H46" s="18">
        <f t="shared" si="7"/>
        <v>0</v>
      </c>
      <c r="I46" s="15">
        <f t="shared" si="8"/>
        <v>6083.333333333333</v>
      </c>
      <c r="J46" s="14"/>
    </row>
    <row r="47" spans="1:10" ht="15.6" customHeight="1" x14ac:dyDescent="0.2">
      <c r="A47" s="9"/>
      <c r="B47" s="12" t="s">
        <v>111</v>
      </c>
      <c r="C47" s="18">
        <f>46/6</f>
        <v>7.666666666666667</v>
      </c>
      <c r="D47" s="13" t="s">
        <v>53</v>
      </c>
      <c r="E47" s="19">
        <v>650</v>
      </c>
      <c r="F47" s="18">
        <f t="shared" si="6"/>
        <v>4983.3333333333339</v>
      </c>
      <c r="G47" s="18">
        <v>0</v>
      </c>
      <c r="H47" s="18">
        <f t="shared" si="7"/>
        <v>0</v>
      </c>
      <c r="I47" s="15">
        <f t="shared" si="8"/>
        <v>4983.3333333333339</v>
      </c>
      <c r="J47" s="14"/>
    </row>
    <row r="48" spans="1:10" ht="15.6" customHeight="1" x14ac:dyDescent="0.2">
      <c r="A48" s="11"/>
      <c r="B48" s="12" t="s">
        <v>55</v>
      </c>
      <c r="C48" s="18">
        <f>28/6</f>
        <v>4.666666666666667</v>
      </c>
      <c r="D48" s="13" t="s">
        <v>53</v>
      </c>
      <c r="E48" s="19">
        <v>740</v>
      </c>
      <c r="F48" s="18">
        <f t="shared" si="6"/>
        <v>3453.3333333333335</v>
      </c>
      <c r="G48" s="18">
        <v>0</v>
      </c>
      <c r="H48" s="18">
        <f t="shared" si="7"/>
        <v>0</v>
      </c>
      <c r="I48" s="15">
        <f t="shared" si="8"/>
        <v>3453.3333333333335</v>
      </c>
      <c r="J48" s="14"/>
    </row>
    <row r="49" spans="1:10" ht="15.6" customHeight="1" x14ac:dyDescent="0.2">
      <c r="A49" s="11"/>
      <c r="B49" s="12" t="s">
        <v>56</v>
      </c>
      <c r="C49" s="18">
        <f>2/6</f>
        <v>0.33333333333333331</v>
      </c>
      <c r="D49" s="13" t="s">
        <v>53</v>
      </c>
      <c r="E49" s="19">
        <v>1900</v>
      </c>
      <c r="F49" s="18">
        <f t="shared" si="6"/>
        <v>633.33333333333326</v>
      </c>
      <c r="G49" s="18">
        <v>0</v>
      </c>
      <c r="H49" s="18">
        <f t="shared" si="7"/>
        <v>0</v>
      </c>
      <c r="I49" s="15">
        <f t="shared" si="8"/>
        <v>633.33333333333326</v>
      </c>
      <c r="J49" s="14"/>
    </row>
    <row r="50" spans="1:10" ht="15.6" customHeight="1" x14ac:dyDescent="0.2">
      <c r="A50" s="11"/>
      <c r="B50" s="12" t="s">
        <v>57</v>
      </c>
      <c r="C50" s="18">
        <f>1/6</f>
        <v>0.16666666666666666</v>
      </c>
      <c r="D50" s="13" t="s">
        <v>53</v>
      </c>
      <c r="E50" s="19">
        <v>905</v>
      </c>
      <c r="F50" s="18">
        <f t="shared" si="6"/>
        <v>150.83333333333331</v>
      </c>
      <c r="G50" s="18">
        <v>0</v>
      </c>
      <c r="H50" s="18">
        <f t="shared" si="7"/>
        <v>0</v>
      </c>
      <c r="I50" s="15">
        <f t="shared" si="8"/>
        <v>150.83333333333331</v>
      </c>
      <c r="J50" s="14"/>
    </row>
    <row r="51" spans="1:10" ht="15.6" customHeight="1" x14ac:dyDescent="0.2">
      <c r="A51" s="11"/>
      <c r="B51" s="12" t="s">
        <v>58</v>
      </c>
      <c r="C51" s="18">
        <f>8/6</f>
        <v>1.3333333333333333</v>
      </c>
      <c r="D51" s="13" t="s">
        <v>53</v>
      </c>
      <c r="E51" s="19">
        <v>1040</v>
      </c>
      <c r="F51" s="18">
        <f t="shared" si="6"/>
        <v>1386.6666666666665</v>
      </c>
      <c r="G51" s="18">
        <v>0</v>
      </c>
      <c r="H51" s="18">
        <f t="shared" si="7"/>
        <v>0</v>
      </c>
      <c r="I51" s="15">
        <f t="shared" si="8"/>
        <v>1386.6666666666665</v>
      </c>
      <c r="J51" s="14"/>
    </row>
    <row r="52" spans="1:10" ht="15.6" customHeight="1" x14ac:dyDescent="0.2">
      <c r="A52" s="11"/>
      <c r="B52" s="12" t="s">
        <v>59</v>
      </c>
      <c r="C52" s="18">
        <f>6/6</f>
        <v>1</v>
      </c>
      <c r="D52" s="13" t="s">
        <v>60</v>
      </c>
      <c r="E52" s="19">
        <v>109</v>
      </c>
      <c r="F52" s="18">
        <f t="shared" si="6"/>
        <v>109</v>
      </c>
      <c r="G52" s="18">
        <v>0</v>
      </c>
      <c r="H52" s="18">
        <f t="shared" si="7"/>
        <v>0</v>
      </c>
      <c r="I52" s="15">
        <f t="shared" si="8"/>
        <v>109</v>
      </c>
      <c r="J52" s="14"/>
    </row>
    <row r="53" spans="1:10" ht="15.6" customHeight="1" x14ac:dyDescent="0.2">
      <c r="A53" s="9"/>
      <c r="B53" s="12" t="s">
        <v>61</v>
      </c>
      <c r="C53" s="18">
        <f>14/6</f>
        <v>2.3333333333333335</v>
      </c>
      <c r="D53" s="13" t="s">
        <v>60</v>
      </c>
      <c r="E53" s="19">
        <v>53</v>
      </c>
      <c r="F53" s="18">
        <f t="shared" si="6"/>
        <v>123.66666666666667</v>
      </c>
      <c r="G53" s="18">
        <v>0</v>
      </c>
      <c r="H53" s="18">
        <f t="shared" si="7"/>
        <v>0</v>
      </c>
      <c r="I53" s="15">
        <f t="shared" si="8"/>
        <v>123.66666666666667</v>
      </c>
      <c r="J53" s="14"/>
    </row>
    <row r="54" spans="1:10" ht="15.6" customHeight="1" x14ac:dyDescent="0.2">
      <c r="A54" s="9"/>
      <c r="B54" s="12" t="s">
        <v>62</v>
      </c>
      <c r="C54" s="18">
        <f>1/6</f>
        <v>0.16666666666666666</v>
      </c>
      <c r="D54" s="13" t="s">
        <v>60</v>
      </c>
      <c r="E54" s="19">
        <v>670</v>
      </c>
      <c r="F54" s="18">
        <f t="shared" si="6"/>
        <v>111.66666666666666</v>
      </c>
      <c r="G54" s="18">
        <v>0</v>
      </c>
      <c r="H54" s="18">
        <f t="shared" si="7"/>
        <v>0</v>
      </c>
      <c r="I54" s="15">
        <f t="shared" si="8"/>
        <v>111.66666666666666</v>
      </c>
      <c r="J54" s="14"/>
    </row>
    <row r="55" spans="1:10" ht="15.6" customHeight="1" x14ac:dyDescent="0.2">
      <c r="A55" s="11"/>
      <c r="B55" s="12" t="s">
        <v>63</v>
      </c>
      <c r="C55" s="18">
        <f>1/6</f>
        <v>0.16666666666666666</v>
      </c>
      <c r="D55" s="13" t="s">
        <v>64</v>
      </c>
      <c r="E55" s="18">
        <v>1500</v>
      </c>
      <c r="F55" s="18">
        <f t="shared" si="6"/>
        <v>250</v>
      </c>
      <c r="G55" s="18">
        <v>0</v>
      </c>
      <c r="H55" s="18">
        <f t="shared" si="7"/>
        <v>0</v>
      </c>
      <c r="I55" s="15">
        <f t="shared" si="8"/>
        <v>250</v>
      </c>
      <c r="J55" s="12"/>
    </row>
    <row r="56" spans="1:10" ht="15.6" customHeight="1" x14ac:dyDescent="0.2">
      <c r="A56" s="11"/>
      <c r="B56" s="12" t="s">
        <v>65</v>
      </c>
      <c r="C56" s="18">
        <f>6/6</f>
        <v>1</v>
      </c>
      <c r="D56" s="13" t="s">
        <v>66</v>
      </c>
      <c r="E56" s="19">
        <v>1189</v>
      </c>
      <c r="F56" s="18">
        <f t="shared" si="6"/>
        <v>1189</v>
      </c>
      <c r="G56" s="18">
        <v>0</v>
      </c>
      <c r="H56" s="18">
        <f t="shared" si="7"/>
        <v>0</v>
      </c>
      <c r="I56" s="15">
        <f t="shared" si="8"/>
        <v>1189</v>
      </c>
      <c r="J56" s="12"/>
    </row>
    <row r="57" spans="1:10" ht="15.6" customHeight="1" x14ac:dyDescent="0.2">
      <c r="A57" s="11"/>
      <c r="B57" s="12" t="s">
        <v>67</v>
      </c>
      <c r="C57" s="18">
        <f>10/6</f>
        <v>1.6666666666666667</v>
      </c>
      <c r="D57" s="13" t="s">
        <v>66</v>
      </c>
      <c r="E57" s="19">
        <v>499</v>
      </c>
      <c r="F57" s="18">
        <f t="shared" si="6"/>
        <v>831.66666666666674</v>
      </c>
      <c r="G57" s="18">
        <v>0</v>
      </c>
      <c r="H57" s="18">
        <f t="shared" si="7"/>
        <v>0</v>
      </c>
      <c r="I57" s="15">
        <f t="shared" si="8"/>
        <v>831.66666666666674</v>
      </c>
      <c r="J57" s="12"/>
    </row>
    <row r="58" spans="1:10" ht="15.6" customHeight="1" x14ac:dyDescent="0.2">
      <c r="A58" s="11"/>
      <c r="B58" s="12" t="s">
        <v>68</v>
      </c>
      <c r="C58" s="42">
        <f>10/6</f>
        <v>1.6666666666666667</v>
      </c>
      <c r="D58" s="13" t="s">
        <v>69</v>
      </c>
      <c r="E58" s="18">
        <v>98</v>
      </c>
      <c r="F58" s="18">
        <f t="shared" si="6"/>
        <v>163.33333333333334</v>
      </c>
      <c r="G58" s="18">
        <v>0</v>
      </c>
      <c r="H58" s="18">
        <f t="shared" si="7"/>
        <v>0</v>
      </c>
      <c r="I58" s="15">
        <f t="shared" si="8"/>
        <v>163.33333333333334</v>
      </c>
      <c r="J58" s="12"/>
    </row>
    <row r="59" spans="1:10" ht="15.6" customHeight="1" x14ac:dyDescent="0.2">
      <c r="A59" s="11"/>
      <c r="B59" s="61" t="s">
        <v>162</v>
      </c>
      <c r="C59" s="64">
        <f>446.43/6</f>
        <v>74.405000000000001</v>
      </c>
      <c r="D59" s="65" t="s">
        <v>170</v>
      </c>
      <c r="E59" s="66">
        <v>0</v>
      </c>
      <c r="F59" s="67">
        <f t="shared" si="6"/>
        <v>0</v>
      </c>
      <c r="G59" s="19">
        <v>135</v>
      </c>
      <c r="H59" s="20">
        <f>C59*G59</f>
        <v>10044.674999999999</v>
      </c>
      <c r="I59" s="15">
        <f t="shared" si="8"/>
        <v>10044.674999999999</v>
      </c>
      <c r="J59" s="14"/>
    </row>
    <row r="60" spans="1:10" ht="15.6" customHeight="1" x14ac:dyDescent="0.2">
      <c r="A60" s="11"/>
      <c r="B60" s="62" t="s">
        <v>172</v>
      </c>
      <c r="C60" s="68">
        <v>1</v>
      </c>
      <c r="D60" s="69" t="s">
        <v>171</v>
      </c>
      <c r="E60" s="66">
        <v>0</v>
      </c>
      <c r="F60" s="67">
        <f t="shared" si="6"/>
        <v>0</v>
      </c>
      <c r="G60" s="63">
        <v>1000</v>
      </c>
      <c r="H60" s="20">
        <f>C60*G60</f>
        <v>1000</v>
      </c>
      <c r="I60" s="15">
        <f t="shared" si="8"/>
        <v>1000</v>
      </c>
      <c r="J60" s="14"/>
    </row>
    <row r="61" spans="1:10" ht="15.6" customHeight="1" x14ac:dyDescent="0.2">
      <c r="A61" s="11"/>
      <c r="B61" s="62" t="s">
        <v>165</v>
      </c>
      <c r="C61" s="68">
        <f>11/6</f>
        <v>1.8333333333333333</v>
      </c>
      <c r="D61" s="69" t="s">
        <v>21</v>
      </c>
      <c r="E61" s="66">
        <v>0</v>
      </c>
      <c r="F61" s="67">
        <f t="shared" si="6"/>
        <v>0</v>
      </c>
      <c r="G61" s="43">
        <v>300</v>
      </c>
      <c r="H61" s="20">
        <f>C61*G61</f>
        <v>550</v>
      </c>
      <c r="I61" s="15">
        <f t="shared" si="8"/>
        <v>550</v>
      </c>
      <c r="J61" s="14"/>
    </row>
    <row r="62" spans="1:10" ht="15.6" customHeight="1" x14ac:dyDescent="0.2">
      <c r="A62" s="9"/>
      <c r="B62" s="62" t="s">
        <v>173</v>
      </c>
      <c r="C62" s="68">
        <f>8/6</f>
        <v>1.3333333333333333</v>
      </c>
      <c r="D62" s="69" t="s">
        <v>21</v>
      </c>
      <c r="E62" s="66">
        <v>0</v>
      </c>
      <c r="F62" s="67">
        <f t="shared" si="6"/>
        <v>0</v>
      </c>
      <c r="G62" s="19">
        <v>500</v>
      </c>
      <c r="H62" s="20">
        <f>C62*G62</f>
        <v>666.66666666666663</v>
      </c>
      <c r="I62" s="15">
        <f t="shared" si="8"/>
        <v>666.66666666666663</v>
      </c>
      <c r="J62" s="14"/>
    </row>
    <row r="63" spans="1:10" ht="15.6" customHeight="1" x14ac:dyDescent="0.2">
      <c r="A63" s="9"/>
      <c r="B63" s="61" t="s">
        <v>174</v>
      </c>
      <c r="C63" s="68">
        <v>4</v>
      </c>
      <c r="D63" s="70" t="s">
        <v>114</v>
      </c>
      <c r="E63" s="66">
        <v>0</v>
      </c>
      <c r="F63" s="67">
        <f t="shared" si="6"/>
        <v>0</v>
      </c>
      <c r="G63" s="19">
        <v>80</v>
      </c>
      <c r="H63" s="20">
        <f>C63*G63</f>
        <v>320</v>
      </c>
      <c r="I63" s="15">
        <f t="shared" si="8"/>
        <v>320</v>
      </c>
      <c r="J63" s="14"/>
    </row>
    <row r="64" spans="1:10" ht="15.6" customHeight="1" x14ac:dyDescent="0.2">
      <c r="A64" s="11"/>
      <c r="B64" s="74" t="s">
        <v>70</v>
      </c>
      <c r="C64" s="14"/>
      <c r="D64" s="14"/>
      <c r="E64" s="14"/>
      <c r="F64" s="75">
        <f>SUM(F45:F63)</f>
        <v>19919.166666666672</v>
      </c>
      <c r="G64" s="75"/>
      <c r="H64" s="75">
        <f t="shared" ref="H64:I64" si="9">SUM(H45:H63)</f>
        <v>12581.341666666665</v>
      </c>
      <c r="I64" s="75">
        <f t="shared" si="9"/>
        <v>32500.508333333339</v>
      </c>
      <c r="J64" s="12"/>
    </row>
    <row r="65" spans="1:20" s="105" customFormat="1" ht="15.6" customHeight="1" x14ac:dyDescent="0.2">
      <c r="A65" s="100"/>
      <c r="B65" s="101" t="s">
        <v>71</v>
      </c>
      <c r="C65" s="100"/>
      <c r="D65" s="101" t="s">
        <v>11</v>
      </c>
      <c r="E65" s="102"/>
      <c r="F65" s="103">
        <f>SUM(F13+F17+F24+F30+F37+F43+F64)</f>
        <v>110913.89039339942</v>
      </c>
      <c r="G65" s="103"/>
      <c r="H65" s="103">
        <f t="shared" ref="H65:I65" si="10">SUM(H13+H17+H24+H30+H37+H43+H64)</f>
        <v>40473.008333333331</v>
      </c>
      <c r="I65" s="103">
        <f t="shared" si="10"/>
        <v>151386.89872673276</v>
      </c>
      <c r="J65" s="104"/>
    </row>
    <row r="66" spans="1:20" ht="15.6" customHeight="1" x14ac:dyDescent="0.2">
      <c r="A66" s="22"/>
      <c r="B66" s="2"/>
      <c r="C66" s="29"/>
      <c r="D66" s="30"/>
      <c r="E66" s="29"/>
      <c r="F66" s="29"/>
      <c r="G66" s="29"/>
      <c r="H66" s="29"/>
      <c r="I66" s="31"/>
      <c r="J66" s="2"/>
    </row>
    <row r="67" spans="1:20" ht="15.6" customHeight="1" x14ac:dyDescent="0.5">
      <c r="A67" s="3"/>
      <c r="B67" s="3"/>
      <c r="C67" s="3"/>
      <c r="D67" s="3"/>
      <c r="E67" s="3"/>
      <c r="F67" s="3"/>
      <c r="G67" s="118"/>
      <c r="H67" s="118"/>
      <c r="I67" s="118"/>
      <c r="J67" s="118"/>
    </row>
    <row r="68" spans="1:20" ht="18.75" customHeight="1" x14ac:dyDescent="0.5">
      <c r="A68" s="117"/>
      <c r="B68" s="117"/>
      <c r="C68" s="117"/>
      <c r="D68" s="117"/>
      <c r="E68" s="117"/>
      <c r="F68" s="117"/>
      <c r="G68" s="117"/>
      <c r="H68" s="117"/>
      <c r="I68" s="116"/>
      <c r="J68" s="116"/>
      <c r="K68" s="36"/>
      <c r="L68" s="36"/>
      <c r="M68" s="36"/>
      <c r="N68" s="36"/>
      <c r="O68" s="36"/>
      <c r="P68" s="36"/>
      <c r="Q68" s="36"/>
      <c r="R68" s="36"/>
      <c r="S68" s="36"/>
      <c r="T68" s="36"/>
    </row>
    <row r="69" spans="1:20" ht="15.6" customHeight="1" thickBot="1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</row>
    <row r="70" spans="1:20" ht="15.6" customHeight="1" thickTop="1" x14ac:dyDescent="0.2">
      <c r="A70" s="4" t="s">
        <v>0</v>
      </c>
      <c r="B70" s="4" t="s">
        <v>1</v>
      </c>
      <c r="C70" s="4" t="s">
        <v>2</v>
      </c>
      <c r="D70" s="4" t="s">
        <v>3</v>
      </c>
      <c r="E70" s="124" t="s">
        <v>4</v>
      </c>
      <c r="F70" s="125"/>
      <c r="G70" s="124" t="s">
        <v>5</v>
      </c>
      <c r="H70" s="125"/>
      <c r="I70" s="5" t="s">
        <v>6</v>
      </c>
      <c r="J70" s="4" t="s">
        <v>7</v>
      </c>
    </row>
    <row r="71" spans="1:20" ht="15.6" customHeight="1" thickBot="1" x14ac:dyDescent="0.25">
      <c r="A71" s="6"/>
      <c r="B71" s="6"/>
      <c r="C71" s="6"/>
      <c r="D71" s="6"/>
      <c r="E71" s="6" t="s">
        <v>8</v>
      </c>
      <c r="F71" s="6" t="s">
        <v>9</v>
      </c>
      <c r="G71" s="6" t="s">
        <v>8</v>
      </c>
      <c r="H71" s="6" t="s">
        <v>9</v>
      </c>
      <c r="I71" s="7" t="s">
        <v>10</v>
      </c>
      <c r="J71" s="6"/>
    </row>
    <row r="72" spans="1:20" s="109" customFormat="1" ht="15.6" customHeight="1" thickTop="1" x14ac:dyDescent="0.2">
      <c r="A72" s="110">
        <v>2</v>
      </c>
      <c r="B72" s="113" t="s">
        <v>72</v>
      </c>
      <c r="C72" s="113"/>
      <c r="D72" s="113"/>
      <c r="E72" s="113"/>
      <c r="F72" s="113"/>
      <c r="G72" s="113"/>
      <c r="H72" s="113"/>
      <c r="I72" s="113"/>
      <c r="J72" s="113"/>
    </row>
    <row r="73" spans="1:20" ht="15.6" customHeight="1" x14ac:dyDescent="0.2">
      <c r="A73" s="11"/>
      <c r="B73" s="10" t="s">
        <v>73</v>
      </c>
      <c r="C73" s="12"/>
      <c r="D73" s="12"/>
      <c r="E73" s="12"/>
      <c r="F73" s="12"/>
      <c r="G73" s="12"/>
      <c r="H73" s="12"/>
      <c r="I73" s="12"/>
      <c r="J73" s="12"/>
    </row>
    <row r="74" spans="1:20" ht="15.6" customHeight="1" x14ac:dyDescent="0.2">
      <c r="A74" s="11"/>
      <c r="B74" s="12" t="s">
        <v>74</v>
      </c>
      <c r="C74" s="18">
        <f>30/6</f>
        <v>5</v>
      </c>
      <c r="D74" s="13" t="s">
        <v>53</v>
      </c>
      <c r="E74" s="19">
        <v>1090</v>
      </c>
      <c r="F74" s="18">
        <f t="shared" ref="F74:F99" si="11">E74*C74</f>
        <v>5450</v>
      </c>
      <c r="G74" s="18">
        <v>0</v>
      </c>
      <c r="H74" s="18">
        <f t="shared" ref="H74:H99" si="12">G74*C74</f>
        <v>0</v>
      </c>
      <c r="I74" s="15">
        <f t="shared" ref="I74:I99" si="13">H74+F74</f>
        <v>5450</v>
      </c>
      <c r="J74" s="12"/>
    </row>
    <row r="75" spans="1:20" ht="15.6" customHeight="1" x14ac:dyDescent="0.2">
      <c r="A75" s="11"/>
      <c r="B75" s="12" t="s">
        <v>75</v>
      </c>
      <c r="C75" s="18">
        <f>12/6</f>
        <v>2</v>
      </c>
      <c r="D75" s="13" t="s">
        <v>53</v>
      </c>
      <c r="E75" s="19">
        <v>510</v>
      </c>
      <c r="F75" s="18">
        <f t="shared" si="11"/>
        <v>1020</v>
      </c>
      <c r="G75" s="18">
        <v>0</v>
      </c>
      <c r="H75" s="18">
        <f t="shared" si="12"/>
        <v>0</v>
      </c>
      <c r="I75" s="15">
        <f t="shared" si="13"/>
        <v>1020</v>
      </c>
      <c r="J75" s="12"/>
    </row>
    <row r="76" spans="1:20" ht="15.6" customHeight="1" x14ac:dyDescent="0.2">
      <c r="A76" s="9"/>
      <c r="B76" s="12" t="s">
        <v>76</v>
      </c>
      <c r="C76" s="18">
        <f>6/6</f>
        <v>1</v>
      </c>
      <c r="D76" s="13" t="s">
        <v>53</v>
      </c>
      <c r="E76" s="19">
        <v>234</v>
      </c>
      <c r="F76" s="18">
        <f t="shared" si="11"/>
        <v>234</v>
      </c>
      <c r="G76" s="18">
        <v>0</v>
      </c>
      <c r="H76" s="18">
        <f t="shared" si="12"/>
        <v>0</v>
      </c>
      <c r="I76" s="15">
        <f t="shared" si="13"/>
        <v>234</v>
      </c>
      <c r="J76" s="12"/>
    </row>
    <row r="77" spans="1:20" ht="15.6" customHeight="1" x14ac:dyDescent="0.2">
      <c r="A77" s="11"/>
      <c r="B77" s="12" t="s">
        <v>77</v>
      </c>
      <c r="C77" s="18">
        <f>12/6</f>
        <v>2</v>
      </c>
      <c r="D77" s="13" t="s">
        <v>53</v>
      </c>
      <c r="E77" s="19">
        <v>144</v>
      </c>
      <c r="F77" s="18">
        <f t="shared" si="11"/>
        <v>288</v>
      </c>
      <c r="G77" s="18">
        <v>0</v>
      </c>
      <c r="H77" s="18">
        <f t="shared" si="12"/>
        <v>0</v>
      </c>
      <c r="I77" s="15">
        <f t="shared" si="13"/>
        <v>288</v>
      </c>
      <c r="J77" s="12"/>
    </row>
    <row r="78" spans="1:20" ht="15.6" customHeight="1" x14ac:dyDescent="0.2">
      <c r="A78" s="11"/>
      <c r="B78" s="12" t="s">
        <v>78</v>
      </c>
      <c r="C78" s="18">
        <f>6/6</f>
        <v>1</v>
      </c>
      <c r="D78" s="13" t="s">
        <v>53</v>
      </c>
      <c r="E78" s="19">
        <v>53</v>
      </c>
      <c r="F78" s="18">
        <f t="shared" si="11"/>
        <v>53</v>
      </c>
      <c r="G78" s="18">
        <v>0</v>
      </c>
      <c r="H78" s="18">
        <f t="shared" si="12"/>
        <v>0</v>
      </c>
      <c r="I78" s="15">
        <f t="shared" si="13"/>
        <v>53</v>
      </c>
      <c r="J78" s="12"/>
    </row>
    <row r="79" spans="1:20" ht="15.6" customHeight="1" x14ac:dyDescent="0.2">
      <c r="A79" s="9"/>
      <c r="B79" s="12" t="s">
        <v>79</v>
      </c>
      <c r="C79" s="18">
        <f>6/6</f>
        <v>1</v>
      </c>
      <c r="D79" s="13" t="s">
        <v>53</v>
      </c>
      <c r="E79" s="19">
        <v>48</v>
      </c>
      <c r="F79" s="18">
        <f t="shared" si="11"/>
        <v>48</v>
      </c>
      <c r="G79" s="18">
        <v>0</v>
      </c>
      <c r="H79" s="18">
        <f t="shared" si="12"/>
        <v>0</v>
      </c>
      <c r="I79" s="15">
        <f t="shared" si="13"/>
        <v>48</v>
      </c>
      <c r="J79" s="12"/>
    </row>
    <row r="80" spans="1:20" ht="15.6" customHeight="1" x14ac:dyDescent="0.2">
      <c r="A80" s="9"/>
      <c r="B80" s="12" t="s">
        <v>80</v>
      </c>
      <c r="C80" s="18">
        <f>6/6</f>
        <v>1</v>
      </c>
      <c r="D80" s="13" t="s">
        <v>53</v>
      </c>
      <c r="E80" s="19">
        <v>64</v>
      </c>
      <c r="F80" s="18">
        <f t="shared" si="11"/>
        <v>64</v>
      </c>
      <c r="G80" s="18">
        <v>0</v>
      </c>
      <c r="H80" s="18">
        <f t="shared" si="12"/>
        <v>0</v>
      </c>
      <c r="I80" s="15">
        <f t="shared" si="13"/>
        <v>64</v>
      </c>
      <c r="J80" s="12"/>
    </row>
    <row r="81" spans="1:10" ht="15.6" customHeight="1" x14ac:dyDescent="0.2">
      <c r="A81" s="11"/>
      <c r="B81" s="12" t="s">
        <v>81</v>
      </c>
      <c r="C81" s="18">
        <f>6/6</f>
        <v>1</v>
      </c>
      <c r="D81" s="13" t="s">
        <v>82</v>
      </c>
      <c r="E81" s="19">
        <v>84.6</v>
      </c>
      <c r="F81" s="18">
        <f t="shared" si="11"/>
        <v>84.6</v>
      </c>
      <c r="G81" s="18">
        <v>0</v>
      </c>
      <c r="H81" s="18">
        <f t="shared" si="12"/>
        <v>0</v>
      </c>
      <c r="I81" s="15">
        <f t="shared" si="13"/>
        <v>84.6</v>
      </c>
      <c r="J81" s="12"/>
    </row>
    <row r="82" spans="1:10" ht="15.6" customHeight="1" x14ac:dyDescent="0.2">
      <c r="A82" s="11"/>
      <c r="B82" s="12" t="s">
        <v>83</v>
      </c>
      <c r="C82" s="18">
        <f>18/6</f>
        <v>3</v>
      </c>
      <c r="D82" s="13" t="s">
        <v>82</v>
      </c>
      <c r="E82" s="19">
        <v>84.6</v>
      </c>
      <c r="F82" s="18">
        <f t="shared" si="11"/>
        <v>253.79999999999998</v>
      </c>
      <c r="G82" s="18">
        <v>0</v>
      </c>
      <c r="H82" s="18">
        <f t="shared" si="12"/>
        <v>0</v>
      </c>
      <c r="I82" s="15">
        <f t="shared" si="13"/>
        <v>253.79999999999998</v>
      </c>
      <c r="J82" s="12"/>
    </row>
    <row r="83" spans="1:10" ht="15.6" customHeight="1" x14ac:dyDescent="0.2">
      <c r="A83" s="11"/>
      <c r="B83" s="12" t="s">
        <v>84</v>
      </c>
      <c r="C83" s="18">
        <f>24/6</f>
        <v>4</v>
      </c>
      <c r="D83" s="13" t="s">
        <v>82</v>
      </c>
      <c r="E83" s="19">
        <v>22.8</v>
      </c>
      <c r="F83" s="18">
        <f t="shared" si="11"/>
        <v>91.2</v>
      </c>
      <c r="G83" s="18">
        <v>0</v>
      </c>
      <c r="H83" s="18">
        <f t="shared" si="12"/>
        <v>0</v>
      </c>
      <c r="I83" s="15">
        <f t="shared" si="13"/>
        <v>91.2</v>
      </c>
      <c r="J83" s="12"/>
    </row>
    <row r="84" spans="1:10" ht="15.6" customHeight="1" x14ac:dyDescent="0.2">
      <c r="A84" s="11"/>
      <c r="B84" s="12" t="s">
        <v>85</v>
      </c>
      <c r="C84" s="18">
        <f>12/6</f>
        <v>2</v>
      </c>
      <c r="D84" s="13" t="s">
        <v>82</v>
      </c>
      <c r="E84" s="19">
        <v>31.3</v>
      </c>
      <c r="F84" s="18">
        <f t="shared" si="11"/>
        <v>62.6</v>
      </c>
      <c r="G84" s="18">
        <v>0</v>
      </c>
      <c r="H84" s="18">
        <f t="shared" si="12"/>
        <v>0</v>
      </c>
      <c r="I84" s="15">
        <f t="shared" si="13"/>
        <v>62.6</v>
      </c>
      <c r="J84" s="12"/>
    </row>
    <row r="85" spans="1:10" ht="15.6" customHeight="1" x14ac:dyDescent="0.2">
      <c r="A85" s="11"/>
      <c r="B85" s="12" t="s">
        <v>86</v>
      </c>
      <c r="C85" s="18">
        <f>24/6</f>
        <v>4</v>
      </c>
      <c r="D85" s="13" t="s">
        <v>82</v>
      </c>
      <c r="E85" s="19">
        <v>13.9</v>
      </c>
      <c r="F85" s="18">
        <f t="shared" si="11"/>
        <v>55.6</v>
      </c>
      <c r="G85" s="18">
        <v>0</v>
      </c>
      <c r="H85" s="18">
        <f t="shared" si="12"/>
        <v>0</v>
      </c>
      <c r="I85" s="15">
        <f t="shared" si="13"/>
        <v>55.6</v>
      </c>
      <c r="J85" s="12"/>
    </row>
    <row r="86" spans="1:10" ht="15.6" customHeight="1" x14ac:dyDescent="0.2">
      <c r="A86" s="11"/>
      <c r="B86" s="12" t="s">
        <v>87</v>
      </c>
      <c r="C86" s="18">
        <f>6/6</f>
        <v>1</v>
      </c>
      <c r="D86" s="13" t="s">
        <v>82</v>
      </c>
      <c r="E86" s="19">
        <v>8.0500000000000007</v>
      </c>
      <c r="F86" s="18">
        <f t="shared" si="11"/>
        <v>8.0500000000000007</v>
      </c>
      <c r="G86" s="18">
        <v>0</v>
      </c>
      <c r="H86" s="18">
        <f t="shared" si="12"/>
        <v>0</v>
      </c>
      <c r="I86" s="15">
        <f t="shared" si="13"/>
        <v>8.0500000000000007</v>
      </c>
      <c r="J86" s="12"/>
    </row>
    <row r="87" spans="1:10" ht="15.6" customHeight="1" x14ac:dyDescent="0.2">
      <c r="A87" s="11"/>
      <c r="B87" s="12" t="s">
        <v>88</v>
      </c>
      <c r="C87" s="18">
        <f>12/6</f>
        <v>2</v>
      </c>
      <c r="D87" s="13" t="s">
        <v>82</v>
      </c>
      <c r="E87" s="19">
        <v>18.600000000000001</v>
      </c>
      <c r="F87" s="18">
        <f t="shared" si="11"/>
        <v>37.200000000000003</v>
      </c>
      <c r="G87" s="18">
        <v>0</v>
      </c>
      <c r="H87" s="18">
        <f t="shared" si="12"/>
        <v>0</v>
      </c>
      <c r="I87" s="15">
        <f t="shared" si="13"/>
        <v>37.200000000000003</v>
      </c>
      <c r="J87" s="12"/>
    </row>
    <row r="88" spans="1:10" ht="15.6" customHeight="1" x14ac:dyDescent="0.2">
      <c r="A88" s="11"/>
      <c r="B88" s="12" t="s">
        <v>89</v>
      </c>
      <c r="C88" s="18">
        <f>6/6</f>
        <v>1</v>
      </c>
      <c r="D88" s="13" t="s">
        <v>82</v>
      </c>
      <c r="E88" s="19">
        <v>13.8</v>
      </c>
      <c r="F88" s="18">
        <f t="shared" si="11"/>
        <v>13.8</v>
      </c>
      <c r="G88" s="18">
        <v>0</v>
      </c>
      <c r="H88" s="18">
        <f t="shared" si="12"/>
        <v>0</v>
      </c>
      <c r="I88" s="15">
        <f t="shared" si="13"/>
        <v>13.8</v>
      </c>
      <c r="J88" s="12"/>
    </row>
    <row r="89" spans="1:10" ht="15.6" customHeight="1" x14ac:dyDescent="0.2">
      <c r="A89" s="11"/>
      <c r="B89" s="12" t="s">
        <v>90</v>
      </c>
      <c r="C89" s="18">
        <f>6/6</f>
        <v>1</v>
      </c>
      <c r="D89" s="13" t="s">
        <v>82</v>
      </c>
      <c r="E89" s="19">
        <v>15</v>
      </c>
      <c r="F89" s="18">
        <f t="shared" si="11"/>
        <v>15</v>
      </c>
      <c r="G89" s="18">
        <v>0</v>
      </c>
      <c r="H89" s="18">
        <f t="shared" si="12"/>
        <v>0</v>
      </c>
      <c r="I89" s="15">
        <f t="shared" si="13"/>
        <v>15</v>
      </c>
      <c r="J89" s="12"/>
    </row>
    <row r="90" spans="1:10" ht="15.6" customHeight="1" x14ac:dyDescent="0.2">
      <c r="A90" s="11"/>
      <c r="B90" s="12" t="s">
        <v>91</v>
      </c>
      <c r="C90" s="18">
        <f>6/6</f>
        <v>1</v>
      </c>
      <c r="D90" s="13" t="s">
        <v>82</v>
      </c>
      <c r="E90" s="19">
        <v>13</v>
      </c>
      <c r="F90" s="18">
        <f t="shared" si="11"/>
        <v>13</v>
      </c>
      <c r="G90" s="18">
        <v>0</v>
      </c>
      <c r="H90" s="18">
        <f t="shared" si="12"/>
        <v>0</v>
      </c>
      <c r="I90" s="15">
        <f t="shared" si="13"/>
        <v>13</v>
      </c>
      <c r="J90" s="12"/>
    </row>
    <row r="91" spans="1:10" ht="15.6" customHeight="1" x14ac:dyDescent="0.2">
      <c r="A91" s="11"/>
      <c r="B91" s="12" t="s">
        <v>92</v>
      </c>
      <c r="C91" s="18">
        <f>6/6</f>
        <v>1</v>
      </c>
      <c r="D91" s="13" t="s">
        <v>82</v>
      </c>
      <c r="E91" s="19">
        <v>12</v>
      </c>
      <c r="F91" s="18">
        <f t="shared" si="11"/>
        <v>12</v>
      </c>
      <c r="G91" s="18">
        <v>0</v>
      </c>
      <c r="H91" s="18">
        <f t="shared" si="12"/>
        <v>0</v>
      </c>
      <c r="I91" s="15">
        <f t="shared" si="13"/>
        <v>12</v>
      </c>
      <c r="J91" s="12"/>
    </row>
    <row r="92" spans="1:10" ht="15.6" customHeight="1" x14ac:dyDescent="0.2">
      <c r="A92" s="11"/>
      <c r="B92" s="12" t="s">
        <v>93</v>
      </c>
      <c r="C92" s="18">
        <f>6/6</f>
        <v>1</v>
      </c>
      <c r="D92" s="13" t="s">
        <v>82</v>
      </c>
      <c r="E92" s="19">
        <v>4.7</v>
      </c>
      <c r="F92" s="18">
        <f t="shared" si="11"/>
        <v>4.7</v>
      </c>
      <c r="G92" s="18">
        <v>0</v>
      </c>
      <c r="H92" s="18">
        <f t="shared" si="12"/>
        <v>0</v>
      </c>
      <c r="I92" s="15">
        <f t="shared" si="13"/>
        <v>4.7</v>
      </c>
      <c r="J92" s="12"/>
    </row>
    <row r="93" spans="1:10" ht="15.6" customHeight="1" x14ac:dyDescent="0.2">
      <c r="A93" s="9"/>
      <c r="B93" s="12" t="s">
        <v>94</v>
      </c>
      <c r="C93" s="18">
        <f>7.5/6</f>
        <v>1.25</v>
      </c>
      <c r="D93" s="13" t="s">
        <v>95</v>
      </c>
      <c r="E93" s="19">
        <v>434</v>
      </c>
      <c r="F93" s="18">
        <f t="shared" si="11"/>
        <v>542.5</v>
      </c>
      <c r="G93" s="18">
        <v>0</v>
      </c>
      <c r="H93" s="18">
        <f t="shared" si="12"/>
        <v>0</v>
      </c>
      <c r="I93" s="15">
        <f t="shared" si="13"/>
        <v>542.5</v>
      </c>
      <c r="J93" s="12"/>
    </row>
    <row r="94" spans="1:10" ht="15.6" customHeight="1" x14ac:dyDescent="0.2">
      <c r="A94" s="9"/>
      <c r="B94" s="12" t="s">
        <v>96</v>
      </c>
      <c r="C94" s="18">
        <f>6/6</f>
        <v>1</v>
      </c>
      <c r="D94" s="13" t="s">
        <v>66</v>
      </c>
      <c r="E94" s="19">
        <v>3600</v>
      </c>
      <c r="F94" s="18">
        <f t="shared" si="11"/>
        <v>3600</v>
      </c>
      <c r="G94" s="18">
        <v>0</v>
      </c>
      <c r="H94" s="18">
        <f t="shared" si="12"/>
        <v>0</v>
      </c>
      <c r="I94" s="15">
        <f t="shared" si="13"/>
        <v>3600</v>
      </c>
      <c r="J94" s="12"/>
    </row>
    <row r="95" spans="1:10" ht="15.6" customHeight="1" x14ac:dyDescent="0.2">
      <c r="A95" s="11"/>
      <c r="B95" s="10" t="s">
        <v>175</v>
      </c>
      <c r="C95" s="18">
        <f>2/6</f>
        <v>0.33333333333333331</v>
      </c>
      <c r="D95" s="13" t="s">
        <v>97</v>
      </c>
      <c r="E95" s="18">
        <v>600</v>
      </c>
      <c r="F95" s="18">
        <f t="shared" si="11"/>
        <v>200</v>
      </c>
      <c r="G95" s="18">
        <v>0</v>
      </c>
      <c r="H95" s="18">
        <f t="shared" si="12"/>
        <v>0</v>
      </c>
      <c r="I95" s="15">
        <f t="shared" si="13"/>
        <v>200</v>
      </c>
      <c r="J95" s="12"/>
    </row>
    <row r="96" spans="1:10" ht="15.6" customHeight="1" x14ac:dyDescent="0.2">
      <c r="A96" s="11"/>
      <c r="B96" s="12" t="s">
        <v>112</v>
      </c>
      <c r="C96" s="18">
        <f>6/6</f>
        <v>1</v>
      </c>
      <c r="D96" s="13" t="s">
        <v>66</v>
      </c>
      <c r="E96" s="18">
        <v>1100</v>
      </c>
      <c r="F96" s="18">
        <f t="shared" si="11"/>
        <v>1100</v>
      </c>
      <c r="G96" s="18">
        <v>0</v>
      </c>
      <c r="H96" s="18">
        <f t="shared" si="12"/>
        <v>0</v>
      </c>
      <c r="I96" s="15">
        <f t="shared" si="13"/>
        <v>1100</v>
      </c>
      <c r="J96" s="12"/>
    </row>
    <row r="97" spans="1:10" ht="15.6" customHeight="1" x14ac:dyDescent="0.2">
      <c r="A97" s="11"/>
      <c r="B97" s="12" t="s">
        <v>98</v>
      </c>
      <c r="C97" s="18">
        <f>3.5/6</f>
        <v>0.58333333333333337</v>
      </c>
      <c r="D97" s="13" t="s">
        <v>97</v>
      </c>
      <c r="E97" s="18">
        <v>160</v>
      </c>
      <c r="F97" s="18">
        <f t="shared" si="11"/>
        <v>93.333333333333343</v>
      </c>
      <c r="G97" s="18">
        <v>0</v>
      </c>
      <c r="H97" s="18">
        <f t="shared" si="12"/>
        <v>0</v>
      </c>
      <c r="I97" s="15">
        <f t="shared" si="13"/>
        <v>93.333333333333343</v>
      </c>
      <c r="J97" s="12"/>
    </row>
    <row r="98" spans="1:10" ht="15.6" customHeight="1" x14ac:dyDescent="0.2">
      <c r="A98" s="9"/>
      <c r="B98" s="12" t="s">
        <v>99</v>
      </c>
      <c r="C98" s="18">
        <f>12/6</f>
        <v>2</v>
      </c>
      <c r="D98" s="13" t="s">
        <v>100</v>
      </c>
      <c r="E98" s="19">
        <v>108</v>
      </c>
      <c r="F98" s="18">
        <f t="shared" si="11"/>
        <v>216</v>
      </c>
      <c r="G98" s="18">
        <v>0</v>
      </c>
      <c r="H98" s="18">
        <f t="shared" si="12"/>
        <v>0</v>
      </c>
      <c r="I98" s="15">
        <f t="shared" si="13"/>
        <v>216</v>
      </c>
      <c r="J98" s="12"/>
    </row>
    <row r="99" spans="1:10" ht="15.6" customHeight="1" x14ac:dyDescent="0.2">
      <c r="A99" s="9"/>
      <c r="B99" s="12" t="s">
        <v>101</v>
      </c>
      <c r="C99" s="18">
        <f>12/6</f>
        <v>2</v>
      </c>
      <c r="D99" s="13" t="s">
        <v>102</v>
      </c>
      <c r="E99" s="19">
        <v>42</v>
      </c>
      <c r="F99" s="18">
        <f t="shared" si="11"/>
        <v>84</v>
      </c>
      <c r="G99" s="18">
        <v>0</v>
      </c>
      <c r="H99" s="18">
        <f t="shared" si="12"/>
        <v>0</v>
      </c>
      <c r="I99" s="15">
        <f t="shared" si="13"/>
        <v>84</v>
      </c>
      <c r="J99" s="12"/>
    </row>
    <row r="100" spans="1:10" ht="15.6" customHeight="1" x14ac:dyDescent="0.2">
      <c r="A100" s="82"/>
      <c r="B100" s="74" t="s">
        <v>103</v>
      </c>
      <c r="C100" s="83"/>
      <c r="D100" s="84"/>
      <c r="E100" s="83"/>
      <c r="F100" s="85">
        <f>SUM(F74:F99)</f>
        <v>13644.383333333335</v>
      </c>
      <c r="G100" s="85"/>
      <c r="H100" s="85">
        <f t="shared" ref="H100:I100" si="14">SUM(H74:H99)</f>
        <v>0</v>
      </c>
      <c r="I100" s="85">
        <f t="shared" si="14"/>
        <v>13644.383333333335</v>
      </c>
      <c r="J100" s="86"/>
    </row>
    <row r="101" spans="1:10" ht="15.6" customHeight="1" x14ac:dyDescent="0.2">
      <c r="A101" s="9"/>
      <c r="B101" s="10" t="s">
        <v>176</v>
      </c>
      <c r="C101" s="18"/>
      <c r="D101" s="13"/>
      <c r="E101" s="21"/>
      <c r="F101" s="18"/>
      <c r="G101" s="21"/>
      <c r="H101" s="18"/>
      <c r="I101" s="15"/>
      <c r="J101" s="12"/>
    </row>
    <row r="102" spans="1:10" ht="15.6" customHeight="1" x14ac:dyDescent="0.2">
      <c r="A102" s="11"/>
      <c r="B102" s="12" t="s">
        <v>104</v>
      </c>
      <c r="C102" s="18">
        <v>1</v>
      </c>
      <c r="D102" s="13" t="s">
        <v>105</v>
      </c>
      <c r="E102" s="18">
        <v>109</v>
      </c>
      <c r="F102" s="18">
        <f>E102*C102</f>
        <v>109</v>
      </c>
      <c r="G102" s="26">
        <v>6000</v>
      </c>
      <c r="H102" s="26">
        <f>G102*1</f>
        <v>6000</v>
      </c>
      <c r="I102" s="15">
        <f>H102+F102</f>
        <v>6109</v>
      </c>
      <c r="J102" s="12"/>
    </row>
    <row r="103" spans="1:10" ht="15.6" customHeight="1" x14ac:dyDescent="0.2">
      <c r="A103" s="11"/>
      <c r="B103" s="12" t="s">
        <v>106</v>
      </c>
      <c r="C103" s="18">
        <f>20/6</f>
        <v>3.3333333333333335</v>
      </c>
      <c r="D103" s="13" t="s">
        <v>105</v>
      </c>
      <c r="E103" s="18">
        <v>75</v>
      </c>
      <c r="F103" s="18">
        <f>E103*C103</f>
        <v>250</v>
      </c>
      <c r="G103" s="18">
        <v>0</v>
      </c>
      <c r="H103" s="71">
        <f>G103*1</f>
        <v>0</v>
      </c>
      <c r="I103" s="15">
        <f>H103+F103</f>
        <v>250</v>
      </c>
      <c r="J103" s="12"/>
    </row>
    <row r="104" spans="1:10" s="88" customFormat="1" ht="15.6" customHeight="1" x14ac:dyDescent="0.2">
      <c r="A104" s="87"/>
      <c r="B104" s="74" t="s">
        <v>177</v>
      </c>
      <c r="C104" s="14"/>
      <c r="D104" s="14"/>
      <c r="E104" s="14"/>
      <c r="F104" s="75">
        <f>SUM(F102:F103)</f>
        <v>359</v>
      </c>
      <c r="G104" s="75"/>
      <c r="H104" s="75">
        <f t="shared" ref="H104:I104" si="15">SUM(H102:H103)</f>
        <v>6000</v>
      </c>
      <c r="I104" s="75">
        <f t="shared" si="15"/>
        <v>6359</v>
      </c>
      <c r="J104" s="14"/>
    </row>
    <row r="105" spans="1:10" ht="15.6" customHeight="1" x14ac:dyDescent="0.2">
      <c r="A105" s="11"/>
      <c r="B105" s="10" t="s">
        <v>179</v>
      </c>
      <c r="C105" s="12"/>
      <c r="D105" s="12"/>
      <c r="E105" s="12"/>
      <c r="F105" s="12"/>
      <c r="G105" s="12"/>
      <c r="H105" s="12"/>
      <c r="I105" s="12"/>
      <c r="J105" s="12"/>
    </row>
    <row r="106" spans="1:10" ht="15.6" customHeight="1" x14ac:dyDescent="0.2">
      <c r="A106" s="11"/>
      <c r="B106" s="12" t="s">
        <v>137</v>
      </c>
      <c r="C106" s="18">
        <f>525/6</f>
        <v>87.5</v>
      </c>
      <c r="D106" s="13" t="s">
        <v>161</v>
      </c>
      <c r="E106" s="18">
        <v>5.5</v>
      </c>
      <c r="F106" s="18">
        <f t="shared" ref="F106:F114" si="16">E106*C106</f>
        <v>481.25</v>
      </c>
      <c r="G106" s="18">
        <v>0</v>
      </c>
      <c r="H106" s="18">
        <f t="shared" ref="H106:H113" si="17">G106*C106</f>
        <v>0</v>
      </c>
      <c r="I106" s="15">
        <f t="shared" ref="I106:I114" si="18">H106+F106</f>
        <v>481.25</v>
      </c>
      <c r="J106" s="12"/>
    </row>
    <row r="107" spans="1:10" ht="15.6" customHeight="1" x14ac:dyDescent="0.2">
      <c r="A107" s="11"/>
      <c r="B107" s="12" t="s">
        <v>138</v>
      </c>
      <c r="C107" s="18">
        <f>2/6</f>
        <v>0.33333333333333331</v>
      </c>
      <c r="D107" s="13" t="s">
        <v>140</v>
      </c>
      <c r="E107" s="18">
        <v>500</v>
      </c>
      <c r="F107" s="18">
        <f t="shared" si="16"/>
        <v>166.66666666666666</v>
      </c>
      <c r="G107" s="18">
        <v>0</v>
      </c>
      <c r="H107" s="18">
        <f t="shared" si="17"/>
        <v>0</v>
      </c>
      <c r="I107" s="15">
        <f t="shared" si="18"/>
        <v>166.66666666666666</v>
      </c>
      <c r="J107" s="12"/>
    </row>
    <row r="108" spans="1:10" ht="15.6" customHeight="1" x14ac:dyDescent="0.2">
      <c r="A108" s="11"/>
      <c r="B108" s="12" t="s">
        <v>139</v>
      </c>
      <c r="C108" s="18">
        <f>2/6</f>
        <v>0.33333333333333331</v>
      </c>
      <c r="D108" s="13" t="s">
        <v>140</v>
      </c>
      <c r="E108" s="18">
        <v>400</v>
      </c>
      <c r="F108" s="18">
        <f t="shared" si="16"/>
        <v>133.33333333333331</v>
      </c>
      <c r="G108" s="18">
        <v>0</v>
      </c>
      <c r="H108" s="18">
        <f t="shared" si="17"/>
        <v>0</v>
      </c>
      <c r="I108" s="15">
        <f t="shared" si="18"/>
        <v>133.33333333333331</v>
      </c>
      <c r="J108" s="12"/>
    </row>
    <row r="109" spans="1:10" ht="15.6" customHeight="1" x14ac:dyDescent="0.2">
      <c r="A109" s="11"/>
      <c r="B109" s="12" t="s">
        <v>107</v>
      </c>
      <c r="C109" s="18">
        <f>20/6</f>
        <v>3.3333333333333335</v>
      </c>
      <c r="D109" s="13" t="s">
        <v>105</v>
      </c>
      <c r="E109" s="18">
        <v>92</v>
      </c>
      <c r="F109" s="18">
        <f t="shared" si="16"/>
        <v>306.66666666666669</v>
      </c>
      <c r="G109" s="18">
        <v>0</v>
      </c>
      <c r="H109" s="18">
        <f t="shared" si="17"/>
        <v>0</v>
      </c>
      <c r="I109" s="15">
        <f t="shared" si="18"/>
        <v>306.66666666666669</v>
      </c>
      <c r="J109" s="12"/>
    </row>
    <row r="110" spans="1:10" ht="15.6" customHeight="1" x14ac:dyDescent="0.2">
      <c r="A110" s="11"/>
      <c r="B110" s="12" t="s">
        <v>108</v>
      </c>
      <c r="C110" s="18">
        <f>60/6</f>
        <v>10</v>
      </c>
      <c r="D110" s="13" t="s">
        <v>105</v>
      </c>
      <c r="E110" s="18">
        <v>61</v>
      </c>
      <c r="F110" s="18">
        <f t="shared" si="16"/>
        <v>610</v>
      </c>
      <c r="G110" s="18">
        <v>0</v>
      </c>
      <c r="H110" s="18">
        <f t="shared" si="17"/>
        <v>0</v>
      </c>
      <c r="I110" s="15">
        <f t="shared" si="18"/>
        <v>610</v>
      </c>
      <c r="J110" s="12"/>
    </row>
    <row r="111" spans="1:10" ht="15.6" customHeight="1" x14ac:dyDescent="0.2">
      <c r="A111" s="11"/>
      <c r="B111" s="12" t="s">
        <v>160</v>
      </c>
      <c r="C111" s="18">
        <f>10/6</f>
        <v>1.6666666666666667</v>
      </c>
      <c r="D111" s="13" t="s">
        <v>53</v>
      </c>
      <c r="E111" s="19">
        <v>110</v>
      </c>
      <c r="F111" s="18">
        <f t="shared" si="16"/>
        <v>183.33333333333334</v>
      </c>
      <c r="G111" s="18">
        <v>0</v>
      </c>
      <c r="H111" s="18">
        <f t="shared" si="17"/>
        <v>0</v>
      </c>
      <c r="I111" s="15">
        <f t="shared" si="18"/>
        <v>183.33333333333334</v>
      </c>
      <c r="J111" s="12"/>
    </row>
    <row r="112" spans="1:10" ht="15.6" customHeight="1" x14ac:dyDescent="0.2">
      <c r="A112" s="11"/>
      <c r="B112" s="12" t="s">
        <v>41</v>
      </c>
      <c r="C112" s="18">
        <f>10/6</f>
        <v>1.6666666666666667</v>
      </c>
      <c r="D112" s="13" t="s">
        <v>53</v>
      </c>
      <c r="E112" s="19">
        <v>64</v>
      </c>
      <c r="F112" s="18">
        <f t="shared" si="16"/>
        <v>106.66666666666667</v>
      </c>
      <c r="G112" s="18">
        <v>0</v>
      </c>
      <c r="H112" s="18">
        <f t="shared" si="17"/>
        <v>0</v>
      </c>
      <c r="I112" s="15">
        <f t="shared" si="18"/>
        <v>106.66666666666667</v>
      </c>
      <c r="J112" s="12"/>
    </row>
    <row r="113" spans="1:20" ht="15.6" customHeight="1" x14ac:dyDescent="0.2">
      <c r="A113" s="11"/>
      <c r="B113" s="12" t="s">
        <v>141</v>
      </c>
      <c r="C113" s="18">
        <f>1/6</f>
        <v>0.16666666666666666</v>
      </c>
      <c r="D113" s="13" t="s">
        <v>97</v>
      </c>
      <c r="E113" s="18">
        <v>0</v>
      </c>
      <c r="F113" s="18">
        <f t="shared" si="16"/>
        <v>0</v>
      </c>
      <c r="G113" s="18">
        <v>0</v>
      </c>
      <c r="H113" s="18">
        <f t="shared" si="17"/>
        <v>0</v>
      </c>
      <c r="I113" s="15">
        <f t="shared" si="18"/>
        <v>0</v>
      </c>
      <c r="J113" s="12"/>
    </row>
    <row r="114" spans="1:20" ht="15.6" customHeight="1" x14ac:dyDescent="0.2">
      <c r="A114" s="11"/>
      <c r="B114" s="12" t="s">
        <v>178</v>
      </c>
      <c r="C114" s="18">
        <v>1</v>
      </c>
      <c r="D114" s="13" t="s">
        <v>116</v>
      </c>
      <c r="E114" s="18">
        <v>0</v>
      </c>
      <c r="F114" s="18">
        <f t="shared" si="16"/>
        <v>0</v>
      </c>
      <c r="G114" s="72">
        <v>1012</v>
      </c>
      <c r="H114" s="71">
        <f>G114*1</f>
        <v>1012</v>
      </c>
      <c r="I114" s="15">
        <f t="shared" si="18"/>
        <v>1012</v>
      </c>
      <c r="J114" s="12"/>
    </row>
    <row r="115" spans="1:20" s="90" customFormat="1" ht="15.6" customHeight="1" x14ac:dyDescent="0.2">
      <c r="A115" s="77"/>
      <c r="B115" s="74" t="s">
        <v>113</v>
      </c>
      <c r="C115" s="77"/>
      <c r="D115" s="77"/>
      <c r="E115" s="77"/>
      <c r="F115" s="89">
        <f>SUM(F106:F114)</f>
        <v>1987.9166666666667</v>
      </c>
      <c r="G115" s="89"/>
      <c r="H115" s="89">
        <f t="shared" ref="H115:I115" si="19">SUM(H106:H114)</f>
        <v>1012</v>
      </c>
      <c r="I115" s="89">
        <f t="shared" si="19"/>
        <v>2999.916666666667</v>
      </c>
      <c r="J115" s="77"/>
    </row>
    <row r="116" spans="1:20" ht="15.6" customHeight="1" x14ac:dyDescent="0.2">
      <c r="A116" s="11"/>
      <c r="B116" s="16"/>
      <c r="C116" s="12"/>
      <c r="D116" s="12"/>
      <c r="E116" s="12"/>
      <c r="F116" s="12"/>
      <c r="G116" s="12"/>
      <c r="H116" s="12"/>
      <c r="I116" s="12"/>
      <c r="J116" s="12"/>
    </row>
    <row r="117" spans="1:20" ht="15.6" customHeight="1" x14ac:dyDescent="0.2">
      <c r="A117" s="11"/>
      <c r="B117" s="10" t="s">
        <v>180</v>
      </c>
      <c r="C117" s="12"/>
      <c r="D117" s="12"/>
      <c r="E117" s="12"/>
      <c r="F117" s="12"/>
      <c r="G117" s="12"/>
      <c r="H117" s="12"/>
      <c r="I117" s="12"/>
      <c r="J117" s="12"/>
    </row>
    <row r="118" spans="1:20" ht="15.6" customHeight="1" x14ac:dyDescent="0.2">
      <c r="A118" s="11"/>
      <c r="B118" s="12" t="s">
        <v>142</v>
      </c>
      <c r="C118" s="18">
        <f>144/6</f>
        <v>24</v>
      </c>
      <c r="D118" s="13" t="s">
        <v>32</v>
      </c>
      <c r="E118" s="18">
        <v>45</v>
      </c>
      <c r="F118" s="18">
        <f>E118*C118</f>
        <v>1080</v>
      </c>
      <c r="G118" s="18">
        <v>80</v>
      </c>
      <c r="H118" s="18">
        <f>G118*C118</f>
        <v>1920</v>
      </c>
      <c r="I118" s="15">
        <f>F118+H118</f>
        <v>3000</v>
      </c>
      <c r="J118" s="12"/>
    </row>
    <row r="119" spans="1:20" ht="15.6" customHeight="1" x14ac:dyDescent="0.2">
      <c r="A119" s="11"/>
      <c r="B119" s="12" t="s">
        <v>36</v>
      </c>
      <c r="C119" s="42">
        <f>17/6</f>
        <v>2.8333333333333335</v>
      </c>
      <c r="D119" s="13" t="s">
        <v>16</v>
      </c>
      <c r="E119" s="18">
        <v>1500</v>
      </c>
      <c r="F119" s="18">
        <f>E119*C119</f>
        <v>4250</v>
      </c>
      <c r="G119" s="18">
        <v>0</v>
      </c>
      <c r="H119" s="18">
        <f>G119*C119</f>
        <v>0</v>
      </c>
      <c r="I119" s="15">
        <f>H119+F119</f>
        <v>4250</v>
      </c>
      <c r="J119" s="12"/>
    </row>
    <row r="120" spans="1:20" s="90" customFormat="1" ht="15.6" customHeight="1" x14ac:dyDescent="0.2">
      <c r="A120" s="77"/>
      <c r="B120" s="74" t="s">
        <v>115</v>
      </c>
      <c r="C120" s="77"/>
      <c r="D120" s="77"/>
      <c r="E120" s="77"/>
      <c r="F120" s="89">
        <f>SUM(F118:F119)</f>
        <v>5330</v>
      </c>
      <c r="G120" s="89"/>
      <c r="H120" s="89">
        <f t="shared" ref="H120:I120" si="20">SUM(H118:H119)</f>
        <v>1920</v>
      </c>
      <c r="I120" s="89">
        <f t="shared" si="20"/>
        <v>7250</v>
      </c>
      <c r="J120" s="77"/>
    </row>
    <row r="121" spans="1:20" ht="15.6" customHeight="1" x14ac:dyDescent="0.2">
      <c r="A121" s="11"/>
      <c r="B121" s="16"/>
      <c r="C121" s="18"/>
      <c r="D121" s="13"/>
      <c r="E121" s="21"/>
      <c r="F121" s="18"/>
      <c r="G121" s="18"/>
      <c r="H121" s="18"/>
      <c r="I121" s="15"/>
      <c r="J121" s="12"/>
    </row>
    <row r="122" spans="1:20" s="105" customFormat="1" ht="15.6" customHeight="1" x14ac:dyDescent="0.2">
      <c r="A122" s="100"/>
      <c r="B122" s="101" t="s">
        <v>71</v>
      </c>
      <c r="C122" s="100"/>
      <c r="D122" s="101" t="s">
        <v>11</v>
      </c>
      <c r="E122" s="102"/>
      <c r="F122" s="103">
        <f>F100+F104+F115+F120</f>
        <v>21321.300000000003</v>
      </c>
      <c r="G122" s="103"/>
      <c r="H122" s="103">
        <f t="shared" ref="H122:I122" si="21">H100+H104+H115+H120</f>
        <v>8932</v>
      </c>
      <c r="I122" s="103">
        <f t="shared" si="21"/>
        <v>30253.300000000003</v>
      </c>
      <c r="J122" s="104"/>
    </row>
    <row r="123" spans="1:20" s="99" customFormat="1" ht="15.6" customHeight="1" thickBot="1" x14ac:dyDescent="0.25">
      <c r="A123" s="91"/>
      <c r="B123" s="92"/>
      <c r="C123" s="91"/>
      <c r="D123" s="93"/>
      <c r="E123" s="94"/>
      <c r="F123" s="95"/>
      <c r="G123" s="96"/>
      <c r="H123" s="95"/>
      <c r="I123" s="97"/>
      <c r="J123" s="98"/>
    </row>
    <row r="124" spans="1:20" ht="18.75" customHeight="1" thickTop="1" x14ac:dyDescent="0.2">
      <c r="A124" s="122" t="s">
        <v>0</v>
      </c>
      <c r="B124" s="122" t="s">
        <v>1</v>
      </c>
      <c r="C124" s="122" t="s">
        <v>2</v>
      </c>
      <c r="D124" s="122" t="s">
        <v>3</v>
      </c>
      <c r="E124" s="124" t="s">
        <v>4</v>
      </c>
      <c r="F124" s="125"/>
      <c r="G124" s="124" t="s">
        <v>5</v>
      </c>
      <c r="H124" s="125"/>
      <c r="I124" s="5" t="s">
        <v>6</v>
      </c>
      <c r="J124" s="122" t="s">
        <v>7</v>
      </c>
    </row>
    <row r="125" spans="1:20" ht="18.75" customHeight="1" thickBot="1" x14ac:dyDescent="0.25">
      <c r="A125" s="123"/>
      <c r="B125" s="123"/>
      <c r="C125" s="123"/>
      <c r="D125" s="123"/>
      <c r="E125" s="6" t="s">
        <v>8</v>
      </c>
      <c r="F125" s="6" t="s">
        <v>9</v>
      </c>
      <c r="G125" s="6" t="s">
        <v>8</v>
      </c>
      <c r="H125" s="6" t="s">
        <v>9</v>
      </c>
      <c r="I125" s="7" t="s">
        <v>10</v>
      </c>
      <c r="J125" s="123"/>
    </row>
    <row r="126" spans="1:20" s="109" customFormat="1" ht="18.75" customHeight="1" thickTop="1" x14ac:dyDescent="0.5">
      <c r="A126" s="110">
        <v>3</v>
      </c>
      <c r="B126" s="113" t="s">
        <v>118</v>
      </c>
      <c r="C126" s="113"/>
      <c r="D126" s="113"/>
      <c r="E126" s="113"/>
      <c r="F126" s="113"/>
      <c r="G126" s="113"/>
      <c r="H126" s="113"/>
      <c r="I126" s="113"/>
      <c r="J126" s="113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</row>
    <row r="127" spans="1:20" ht="18.75" customHeight="1" x14ac:dyDescent="0.5">
      <c r="A127" s="11"/>
      <c r="B127" s="10" t="s">
        <v>119</v>
      </c>
      <c r="C127" s="12"/>
      <c r="D127" s="12"/>
      <c r="E127" s="12"/>
      <c r="F127" s="12"/>
      <c r="G127" s="12"/>
      <c r="H127" s="12"/>
      <c r="I127" s="12"/>
      <c r="J127" s="12"/>
      <c r="K127" s="36"/>
      <c r="L127" s="36"/>
      <c r="M127" s="36"/>
      <c r="N127" s="36"/>
      <c r="O127" s="36"/>
      <c r="P127" s="36"/>
      <c r="Q127" s="36"/>
      <c r="R127" s="36"/>
      <c r="S127" s="36"/>
      <c r="T127" s="36"/>
    </row>
    <row r="128" spans="1:20" ht="18.75" customHeight="1" x14ac:dyDescent="0.5">
      <c r="A128" s="11"/>
      <c r="B128" s="12" t="s">
        <v>134</v>
      </c>
      <c r="C128" s="18">
        <f>90/6</f>
        <v>15</v>
      </c>
      <c r="D128" s="13" t="s">
        <v>117</v>
      </c>
      <c r="E128" s="18">
        <v>31</v>
      </c>
      <c r="F128" s="18">
        <f>E128*C128</f>
        <v>465</v>
      </c>
      <c r="G128" s="18">
        <v>0</v>
      </c>
      <c r="H128" s="18">
        <f>G128*C128</f>
        <v>0</v>
      </c>
      <c r="I128" s="15">
        <f>H128+F128</f>
        <v>465</v>
      </c>
      <c r="J128" s="12"/>
      <c r="K128" s="36"/>
      <c r="L128" s="36"/>
      <c r="M128" s="36"/>
      <c r="N128" s="36"/>
      <c r="O128" s="36"/>
      <c r="P128" s="36"/>
      <c r="Q128" s="36"/>
      <c r="R128" s="36"/>
      <c r="S128" s="36"/>
      <c r="T128" s="36"/>
    </row>
    <row r="129" spans="1:20" ht="18.75" customHeight="1" x14ac:dyDescent="0.5">
      <c r="A129" s="11"/>
      <c r="B129" s="12" t="s">
        <v>157</v>
      </c>
      <c r="C129" s="18">
        <f>96/6</f>
        <v>16</v>
      </c>
      <c r="D129" s="13" t="s">
        <v>117</v>
      </c>
      <c r="E129" s="18">
        <v>65</v>
      </c>
      <c r="F129" s="18">
        <f>E129*C129</f>
        <v>1040</v>
      </c>
      <c r="G129" s="18">
        <v>1</v>
      </c>
      <c r="H129" s="18">
        <f>G129*C129</f>
        <v>16</v>
      </c>
      <c r="I129" s="15">
        <f>H129+F129</f>
        <v>1056</v>
      </c>
      <c r="J129" s="12"/>
      <c r="K129" s="36"/>
      <c r="L129" s="36"/>
      <c r="M129" s="36"/>
      <c r="N129" s="36"/>
      <c r="O129" s="36"/>
      <c r="P129" s="36"/>
      <c r="Q129" s="36"/>
      <c r="R129" s="36"/>
      <c r="S129" s="36"/>
      <c r="T129" s="36"/>
    </row>
    <row r="130" spans="1:20" ht="18.75" customHeight="1" x14ac:dyDescent="0.5">
      <c r="A130" s="11"/>
      <c r="B130" s="12" t="s">
        <v>135</v>
      </c>
      <c r="C130" s="18">
        <v>1</v>
      </c>
      <c r="D130" s="13" t="s">
        <v>117</v>
      </c>
      <c r="E130" s="18">
        <v>109</v>
      </c>
      <c r="F130" s="18">
        <f>E130*C130</f>
        <v>109</v>
      </c>
      <c r="G130" s="18">
        <v>2</v>
      </c>
      <c r="H130" s="18">
        <f>G130*C130</f>
        <v>2</v>
      </c>
      <c r="I130" s="15">
        <f>H130+F130</f>
        <v>111</v>
      </c>
      <c r="J130" s="12"/>
      <c r="K130" s="36"/>
      <c r="L130" s="36"/>
      <c r="M130" s="36"/>
      <c r="N130" s="36"/>
      <c r="O130" s="36"/>
      <c r="P130" s="36"/>
      <c r="Q130" s="36"/>
      <c r="R130" s="36"/>
      <c r="S130" s="36"/>
      <c r="T130" s="36"/>
    </row>
    <row r="131" spans="1:20" ht="18.75" customHeight="1" x14ac:dyDescent="0.5">
      <c r="A131" s="9"/>
      <c r="B131" s="12" t="s">
        <v>136</v>
      </c>
      <c r="C131" s="18">
        <v>1</v>
      </c>
      <c r="D131" s="13" t="s">
        <v>117</v>
      </c>
      <c r="E131" s="18">
        <v>349</v>
      </c>
      <c r="F131" s="18">
        <f>E131*C131</f>
        <v>349</v>
      </c>
      <c r="G131" s="18">
        <v>3</v>
      </c>
      <c r="H131" s="18">
        <f>G131*C131</f>
        <v>3</v>
      </c>
      <c r="I131" s="15">
        <f>H131+F131</f>
        <v>352</v>
      </c>
      <c r="J131" s="12"/>
      <c r="K131" s="36"/>
      <c r="L131" s="36"/>
      <c r="M131" s="36"/>
      <c r="N131" s="36"/>
      <c r="O131" s="36"/>
      <c r="P131" s="36"/>
      <c r="Q131" s="36"/>
      <c r="R131" s="36"/>
      <c r="S131" s="36"/>
      <c r="T131" s="36"/>
    </row>
    <row r="132" spans="1:20" ht="18.75" customHeight="1" x14ac:dyDescent="0.5">
      <c r="A132" s="9"/>
      <c r="B132" s="12" t="s">
        <v>120</v>
      </c>
      <c r="C132" s="18">
        <v>1</v>
      </c>
      <c r="D132" s="13" t="s">
        <v>117</v>
      </c>
      <c r="E132" s="18">
        <v>0</v>
      </c>
      <c r="F132" s="18">
        <f>E132*C132</f>
        <v>0</v>
      </c>
      <c r="G132" s="18">
        <v>4</v>
      </c>
      <c r="H132" s="18">
        <f>G132*C132</f>
        <v>4</v>
      </c>
      <c r="I132" s="15">
        <f>H132+F132</f>
        <v>4</v>
      </c>
      <c r="J132" s="12"/>
      <c r="K132" s="36"/>
      <c r="L132" s="36"/>
      <c r="M132" s="36"/>
      <c r="N132" s="36"/>
      <c r="O132" s="36"/>
      <c r="P132" s="36"/>
      <c r="Q132" s="36"/>
      <c r="R132" s="36"/>
      <c r="S132" s="36"/>
      <c r="T132" s="36"/>
    </row>
    <row r="133" spans="1:20" s="88" customFormat="1" ht="18.75" customHeight="1" x14ac:dyDescent="0.5">
      <c r="A133" s="81"/>
      <c r="B133" s="74" t="s">
        <v>127</v>
      </c>
      <c r="C133" s="14"/>
      <c r="D133" s="14"/>
      <c r="E133" s="14"/>
      <c r="F133" s="89">
        <f>SUM(F128:F132)</f>
        <v>1963</v>
      </c>
      <c r="G133" s="89"/>
      <c r="H133" s="89">
        <f t="shared" ref="H133" si="22">SUM(H128:H132)</f>
        <v>25</v>
      </c>
      <c r="I133" s="89">
        <f t="shared" ref="I133" si="23">SUM(I131:I132)</f>
        <v>356</v>
      </c>
      <c r="J133" s="14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</row>
    <row r="134" spans="1:20" ht="18.75" customHeight="1" x14ac:dyDescent="0.5">
      <c r="A134" s="11"/>
      <c r="B134" s="10" t="s">
        <v>128</v>
      </c>
      <c r="C134" s="12"/>
      <c r="D134" s="12"/>
      <c r="E134" s="12"/>
      <c r="F134" s="12"/>
      <c r="G134" s="40"/>
      <c r="H134" s="39"/>
      <c r="I134" s="12"/>
      <c r="J134" s="12"/>
      <c r="K134" s="36"/>
      <c r="L134" s="36"/>
      <c r="M134" s="36"/>
      <c r="N134" s="36"/>
      <c r="O134" s="36"/>
      <c r="P134" s="36"/>
      <c r="Q134" s="36"/>
      <c r="R134" s="36"/>
      <c r="S134" s="36"/>
      <c r="T134" s="36"/>
    </row>
    <row r="135" spans="1:20" ht="18.75" customHeight="1" x14ac:dyDescent="0.5">
      <c r="A135" s="11"/>
      <c r="B135" s="12" t="s">
        <v>146</v>
      </c>
      <c r="C135" s="18">
        <v>3</v>
      </c>
      <c r="D135" s="13" t="s">
        <v>117</v>
      </c>
      <c r="E135" s="18">
        <v>100</v>
      </c>
      <c r="F135" s="18">
        <f t="shared" ref="F135:F140" si="24">E135*C135</f>
        <v>300</v>
      </c>
      <c r="G135" s="18">
        <v>0</v>
      </c>
      <c r="H135" s="18">
        <f t="shared" ref="H135:H140" si="25">G135*C135</f>
        <v>0</v>
      </c>
      <c r="I135" s="15">
        <f t="shared" ref="I135:I140" si="26">H135+F135</f>
        <v>300</v>
      </c>
      <c r="J135" s="12"/>
      <c r="K135" s="36"/>
      <c r="L135" s="36"/>
      <c r="M135" s="36"/>
      <c r="N135" s="36"/>
      <c r="O135" s="36"/>
      <c r="P135" s="36"/>
      <c r="Q135" s="36"/>
      <c r="R135" s="36"/>
      <c r="S135" s="36"/>
      <c r="T135" s="36"/>
    </row>
    <row r="136" spans="1:20" ht="18.75" customHeight="1" x14ac:dyDescent="0.5">
      <c r="A136" s="11"/>
      <c r="B136" s="12" t="s">
        <v>147</v>
      </c>
      <c r="C136" s="18">
        <v>3</v>
      </c>
      <c r="D136" s="13" t="s">
        <v>117</v>
      </c>
      <c r="E136" s="18">
        <v>200</v>
      </c>
      <c r="F136" s="18">
        <f t="shared" si="24"/>
        <v>600</v>
      </c>
      <c r="G136" s="18">
        <v>0</v>
      </c>
      <c r="H136" s="18">
        <f t="shared" si="25"/>
        <v>0</v>
      </c>
      <c r="I136" s="15">
        <f t="shared" si="26"/>
        <v>600</v>
      </c>
      <c r="J136" s="12"/>
      <c r="K136" s="36"/>
      <c r="L136" s="36"/>
      <c r="M136" s="36"/>
      <c r="N136" s="36"/>
      <c r="O136" s="36"/>
      <c r="P136" s="36"/>
      <c r="Q136" s="36"/>
      <c r="R136" s="36"/>
      <c r="S136" s="36"/>
      <c r="T136" s="36"/>
    </row>
    <row r="137" spans="1:20" ht="18.75" customHeight="1" x14ac:dyDescent="0.5">
      <c r="A137" s="11"/>
      <c r="B137" s="12" t="s">
        <v>148</v>
      </c>
      <c r="C137" s="18">
        <v>2</v>
      </c>
      <c r="D137" s="13" t="s">
        <v>117</v>
      </c>
      <c r="E137" s="18">
        <v>400</v>
      </c>
      <c r="F137" s="18">
        <f t="shared" si="24"/>
        <v>800</v>
      </c>
      <c r="G137" s="18">
        <v>0</v>
      </c>
      <c r="H137" s="18">
        <f t="shared" si="25"/>
        <v>0</v>
      </c>
      <c r="I137" s="15">
        <f t="shared" si="26"/>
        <v>800</v>
      </c>
      <c r="J137" s="12"/>
      <c r="K137" s="36"/>
      <c r="L137" s="36"/>
      <c r="M137" s="36"/>
      <c r="N137" s="36"/>
      <c r="O137" s="36"/>
      <c r="P137" s="36"/>
      <c r="Q137" s="36"/>
      <c r="R137" s="36"/>
      <c r="S137" s="36"/>
      <c r="T137" s="36"/>
    </row>
    <row r="138" spans="1:20" ht="18.75" customHeight="1" x14ac:dyDescent="0.5">
      <c r="A138" s="9"/>
      <c r="B138" s="12" t="s">
        <v>121</v>
      </c>
      <c r="C138" s="18">
        <f>66/6</f>
        <v>11</v>
      </c>
      <c r="D138" s="13" t="s">
        <v>117</v>
      </c>
      <c r="E138" s="18">
        <v>100</v>
      </c>
      <c r="F138" s="18">
        <f t="shared" si="24"/>
        <v>1100</v>
      </c>
      <c r="G138" s="18">
        <v>0</v>
      </c>
      <c r="H138" s="18">
        <f t="shared" si="25"/>
        <v>0</v>
      </c>
      <c r="I138" s="15">
        <f t="shared" si="26"/>
        <v>1100</v>
      </c>
      <c r="J138" s="12"/>
      <c r="K138" s="36"/>
      <c r="L138" s="36"/>
      <c r="M138" s="36"/>
      <c r="N138" s="36"/>
      <c r="O138" s="36"/>
      <c r="P138" s="36"/>
      <c r="Q138" s="36"/>
      <c r="R138" s="36"/>
      <c r="S138" s="36"/>
      <c r="T138" s="36"/>
    </row>
    <row r="139" spans="1:20" ht="18.75" customHeight="1" x14ac:dyDescent="0.5">
      <c r="A139" s="9"/>
      <c r="B139" s="12" t="s">
        <v>122</v>
      </c>
      <c r="C139" s="18">
        <f>18/6</f>
        <v>3</v>
      </c>
      <c r="D139" s="13" t="s">
        <v>117</v>
      </c>
      <c r="E139" s="18">
        <v>100</v>
      </c>
      <c r="F139" s="18">
        <f t="shared" si="24"/>
        <v>300</v>
      </c>
      <c r="G139" s="18">
        <v>0</v>
      </c>
      <c r="H139" s="18">
        <f t="shared" si="25"/>
        <v>0</v>
      </c>
      <c r="I139" s="15">
        <f t="shared" si="26"/>
        <v>300</v>
      </c>
      <c r="J139" s="12"/>
      <c r="K139" s="36"/>
      <c r="L139" s="36"/>
      <c r="M139" s="36"/>
      <c r="N139" s="36"/>
      <c r="O139" s="36"/>
      <c r="P139" s="36"/>
      <c r="Q139" s="36"/>
      <c r="R139" s="36"/>
      <c r="S139" s="36"/>
      <c r="T139" s="36"/>
    </row>
    <row r="140" spans="1:20" ht="18.75" customHeight="1" x14ac:dyDescent="0.5">
      <c r="A140" s="9"/>
      <c r="B140" s="12" t="s">
        <v>123</v>
      </c>
      <c r="C140" s="18">
        <f>6/6</f>
        <v>1</v>
      </c>
      <c r="D140" s="13" t="s">
        <v>117</v>
      </c>
      <c r="E140" s="18">
        <v>100</v>
      </c>
      <c r="F140" s="18">
        <f t="shared" si="24"/>
        <v>100</v>
      </c>
      <c r="G140" s="18">
        <v>0</v>
      </c>
      <c r="H140" s="18">
        <f t="shared" si="25"/>
        <v>0</v>
      </c>
      <c r="I140" s="15">
        <f t="shared" si="26"/>
        <v>100</v>
      </c>
      <c r="J140" s="12"/>
      <c r="K140" s="36"/>
      <c r="L140" s="36"/>
      <c r="M140" s="36"/>
      <c r="N140" s="36"/>
      <c r="O140" s="36"/>
      <c r="P140" s="36"/>
      <c r="Q140" s="36"/>
      <c r="R140" s="36"/>
      <c r="S140" s="36"/>
      <c r="T140" s="36"/>
    </row>
    <row r="141" spans="1:20" s="88" customFormat="1" ht="15.6" customHeight="1" x14ac:dyDescent="0.2">
      <c r="A141" s="87"/>
      <c r="B141" s="74" t="s">
        <v>129</v>
      </c>
      <c r="C141" s="14"/>
      <c r="D141" s="14"/>
      <c r="E141" s="14"/>
      <c r="F141" s="89">
        <f>SUM(F135:F140)</f>
        <v>3200</v>
      </c>
      <c r="G141" s="89"/>
      <c r="H141" s="89">
        <f t="shared" ref="H141:I141" si="27">SUM(H135:H140)</f>
        <v>0</v>
      </c>
      <c r="I141" s="89">
        <f t="shared" si="27"/>
        <v>3200</v>
      </c>
      <c r="J141" s="14"/>
    </row>
    <row r="142" spans="1:20" ht="18.75" customHeight="1" x14ac:dyDescent="0.5">
      <c r="A142" s="11"/>
      <c r="B142" s="10" t="s">
        <v>130</v>
      </c>
      <c r="C142" s="12"/>
      <c r="D142" s="12"/>
      <c r="E142" s="12"/>
      <c r="F142" s="12"/>
      <c r="G142" s="12"/>
      <c r="H142" s="12"/>
      <c r="I142" s="12"/>
      <c r="J142" s="12"/>
      <c r="K142" s="36"/>
      <c r="L142" s="36"/>
      <c r="M142" s="36"/>
      <c r="N142" s="36"/>
      <c r="O142" s="36"/>
      <c r="P142" s="36"/>
      <c r="Q142" s="36"/>
      <c r="R142" s="36"/>
      <c r="S142" s="36"/>
      <c r="T142" s="36"/>
    </row>
    <row r="143" spans="1:20" ht="18.75" customHeight="1" x14ac:dyDescent="0.5">
      <c r="A143" s="11"/>
      <c r="B143" s="12" t="s">
        <v>145</v>
      </c>
      <c r="C143" s="18">
        <v>1</v>
      </c>
      <c r="D143" s="13" t="s">
        <v>116</v>
      </c>
      <c r="E143" s="18">
        <v>0</v>
      </c>
      <c r="F143" s="18">
        <f>E143*C143</f>
        <v>0</v>
      </c>
      <c r="G143" s="35">
        <v>29850</v>
      </c>
      <c r="H143" s="18">
        <f>G143*C143</f>
        <v>29850</v>
      </c>
      <c r="I143" s="15">
        <f>H143+F143</f>
        <v>29850</v>
      </c>
      <c r="J143" s="12"/>
      <c r="K143" s="36"/>
      <c r="L143" s="36"/>
      <c r="M143" s="36"/>
      <c r="N143" s="36"/>
      <c r="O143" s="36"/>
      <c r="P143" s="36"/>
      <c r="Q143" s="36"/>
      <c r="R143" s="36"/>
      <c r="S143" s="36"/>
      <c r="T143" s="36"/>
    </row>
    <row r="144" spans="1:20" s="88" customFormat="1" ht="18.75" customHeight="1" x14ac:dyDescent="0.5">
      <c r="A144" s="81"/>
      <c r="B144" s="74" t="s">
        <v>131</v>
      </c>
      <c r="C144" s="14"/>
      <c r="D144" s="14"/>
      <c r="E144" s="14"/>
      <c r="F144" s="75">
        <f>SUM(F143)</f>
        <v>0</v>
      </c>
      <c r="G144" s="75"/>
      <c r="H144" s="75">
        <f t="shared" ref="H144:I144" si="28">SUM(H143)</f>
        <v>29850</v>
      </c>
      <c r="I144" s="75">
        <f t="shared" si="28"/>
        <v>29850</v>
      </c>
      <c r="J144" s="14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</row>
    <row r="145" spans="1:20" ht="18.75" customHeight="1" x14ac:dyDescent="0.5">
      <c r="A145" s="11"/>
      <c r="B145" s="10" t="s">
        <v>132</v>
      </c>
      <c r="C145" s="12"/>
      <c r="D145" s="12"/>
      <c r="E145" s="12"/>
      <c r="F145" s="12"/>
      <c r="G145" s="39"/>
      <c r="H145" s="39"/>
      <c r="I145" s="41"/>
      <c r="J145" s="12"/>
      <c r="K145" s="36"/>
      <c r="L145" s="36"/>
      <c r="M145" s="36"/>
      <c r="N145" s="36"/>
      <c r="O145" s="36"/>
      <c r="P145" s="36"/>
      <c r="Q145" s="36"/>
      <c r="R145" s="36"/>
      <c r="S145" s="36"/>
      <c r="T145" s="36"/>
    </row>
    <row r="146" spans="1:20" ht="18.75" customHeight="1" x14ac:dyDescent="0.5">
      <c r="A146" s="11"/>
      <c r="B146" s="12" t="s">
        <v>124</v>
      </c>
      <c r="C146" s="18">
        <v>1</v>
      </c>
      <c r="D146" s="13" t="s">
        <v>117</v>
      </c>
      <c r="E146" s="18">
        <v>100</v>
      </c>
      <c r="F146" s="18">
        <f>E146*C146</f>
        <v>100</v>
      </c>
      <c r="G146" s="18">
        <v>0</v>
      </c>
      <c r="H146" s="18">
        <f>G146*C146</f>
        <v>0</v>
      </c>
      <c r="I146" s="15">
        <f>H146+F146</f>
        <v>100</v>
      </c>
      <c r="J146" s="12"/>
      <c r="K146" s="36"/>
      <c r="L146" s="36"/>
      <c r="M146" s="36"/>
      <c r="N146" s="36"/>
      <c r="O146" s="36"/>
      <c r="P146" s="36"/>
      <c r="Q146" s="36"/>
      <c r="R146" s="36"/>
      <c r="S146" s="36"/>
      <c r="T146" s="36"/>
    </row>
    <row r="147" spans="1:20" ht="18.75" customHeight="1" x14ac:dyDescent="0.5">
      <c r="A147" s="11"/>
      <c r="B147" s="12" t="s">
        <v>125</v>
      </c>
      <c r="C147" s="18">
        <v>1</v>
      </c>
      <c r="D147" s="13" t="s">
        <v>117</v>
      </c>
      <c r="E147" s="18">
        <v>101</v>
      </c>
      <c r="F147" s="18">
        <f>E147*C147</f>
        <v>101</v>
      </c>
      <c r="G147" s="18">
        <v>1</v>
      </c>
      <c r="H147" s="18">
        <f>G147*C147</f>
        <v>1</v>
      </c>
      <c r="I147" s="15">
        <f>H147+F147</f>
        <v>102</v>
      </c>
      <c r="J147" s="12"/>
      <c r="K147" s="36"/>
      <c r="L147" s="36"/>
      <c r="M147" s="36"/>
      <c r="N147" s="36"/>
      <c r="O147" s="36"/>
      <c r="P147" s="36"/>
      <c r="Q147" s="36"/>
      <c r="R147" s="36"/>
      <c r="S147" s="36"/>
      <c r="T147" s="36"/>
    </row>
    <row r="148" spans="1:20" s="88" customFormat="1" ht="18.75" customHeight="1" x14ac:dyDescent="0.5">
      <c r="A148" s="81"/>
      <c r="B148" s="74" t="s">
        <v>133</v>
      </c>
      <c r="C148" s="14"/>
      <c r="D148" s="14"/>
      <c r="E148" s="14"/>
      <c r="F148" s="75">
        <f>SUM(F146:F147)</f>
        <v>201</v>
      </c>
      <c r="G148" s="75"/>
      <c r="H148" s="75">
        <f t="shared" ref="H148:I148" si="29">SUM(H146:H147)</f>
        <v>1</v>
      </c>
      <c r="I148" s="75">
        <f t="shared" si="29"/>
        <v>202</v>
      </c>
      <c r="J148" s="14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</row>
    <row r="149" spans="1:20" s="109" customFormat="1" ht="18.75" customHeight="1" x14ac:dyDescent="0.5">
      <c r="A149" s="100"/>
      <c r="B149" s="101" t="s">
        <v>126</v>
      </c>
      <c r="C149" s="100"/>
      <c r="D149" s="101" t="s">
        <v>11</v>
      </c>
      <c r="E149" s="102"/>
      <c r="F149" s="103">
        <f>F133+F141+F148</f>
        <v>5364</v>
      </c>
      <c r="G149" s="103"/>
      <c r="H149" s="103">
        <f t="shared" ref="H149:I149" si="30">H133+H141+H148</f>
        <v>26</v>
      </c>
      <c r="I149" s="103">
        <f t="shared" si="30"/>
        <v>3758</v>
      </c>
      <c r="J149" s="104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</row>
    <row r="150" spans="1:20" ht="18.75" customHeight="1" x14ac:dyDescent="0.5">
      <c r="A150" s="22"/>
      <c r="B150" s="23"/>
      <c r="C150" s="22"/>
      <c r="D150" s="30"/>
      <c r="E150" s="29"/>
      <c r="F150" s="37"/>
      <c r="G150" s="29"/>
      <c r="H150" s="37"/>
      <c r="I150" s="38"/>
      <c r="J150" s="2"/>
      <c r="K150" s="36"/>
      <c r="L150" s="36"/>
      <c r="M150" s="36"/>
      <c r="N150" s="36"/>
      <c r="O150" s="36"/>
      <c r="P150" s="36"/>
      <c r="Q150" s="36"/>
      <c r="R150" s="36"/>
      <c r="S150" s="36"/>
      <c r="T150" s="36"/>
    </row>
    <row r="151" spans="1:20" ht="7.5" customHeight="1" thickBot="1" x14ac:dyDescent="0.5500000000000000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6"/>
      <c r="L151" s="36"/>
      <c r="M151" s="36"/>
      <c r="N151" s="36"/>
      <c r="O151" s="36"/>
      <c r="P151" s="36"/>
      <c r="Q151" s="36"/>
      <c r="R151" s="36"/>
      <c r="S151" s="36"/>
      <c r="T151" s="36"/>
    </row>
    <row r="152" spans="1:20" ht="18.75" customHeight="1" thickTop="1" x14ac:dyDescent="0.5">
      <c r="A152" s="120" t="s">
        <v>0</v>
      </c>
      <c r="B152" s="120" t="s">
        <v>1</v>
      </c>
      <c r="C152" s="120" t="s">
        <v>2</v>
      </c>
      <c r="D152" s="120" t="s">
        <v>3</v>
      </c>
      <c r="E152" s="120" t="s">
        <v>4</v>
      </c>
      <c r="F152" s="120"/>
      <c r="G152" s="120" t="s">
        <v>5</v>
      </c>
      <c r="H152" s="120"/>
      <c r="I152" s="5" t="s">
        <v>6</v>
      </c>
      <c r="J152" s="120" t="s">
        <v>7</v>
      </c>
      <c r="K152" s="36"/>
      <c r="L152" s="36"/>
      <c r="M152" s="36"/>
      <c r="N152" s="36"/>
      <c r="O152" s="36"/>
      <c r="P152" s="36"/>
      <c r="Q152" s="36"/>
      <c r="R152" s="36"/>
      <c r="S152" s="36"/>
      <c r="T152" s="36"/>
    </row>
    <row r="153" spans="1:20" ht="18.75" customHeight="1" thickBot="1" x14ac:dyDescent="0.55000000000000004">
      <c r="A153" s="121"/>
      <c r="B153" s="121"/>
      <c r="C153" s="121"/>
      <c r="D153" s="121"/>
      <c r="E153" s="6" t="s">
        <v>8</v>
      </c>
      <c r="F153" s="6" t="s">
        <v>9</v>
      </c>
      <c r="G153" s="6" t="s">
        <v>8</v>
      </c>
      <c r="H153" s="6" t="s">
        <v>9</v>
      </c>
      <c r="I153" s="7" t="s">
        <v>10</v>
      </c>
      <c r="J153" s="121"/>
      <c r="K153" s="36"/>
      <c r="L153" s="36"/>
      <c r="M153" s="36"/>
      <c r="N153" s="36"/>
      <c r="O153" s="36"/>
      <c r="P153" s="36"/>
      <c r="Q153" s="36"/>
      <c r="R153" s="36"/>
      <c r="S153" s="36"/>
      <c r="T153" s="36"/>
    </row>
    <row r="154" spans="1:20" s="109" customFormat="1" ht="18.75" customHeight="1" thickTop="1" x14ac:dyDescent="0.5">
      <c r="A154" s="110">
        <v>4</v>
      </c>
      <c r="B154" s="111" t="s">
        <v>181</v>
      </c>
      <c r="C154" s="112"/>
      <c r="D154" s="112"/>
      <c r="E154" s="112"/>
      <c r="F154" s="112"/>
      <c r="G154" s="112"/>
      <c r="H154" s="112"/>
      <c r="I154" s="112"/>
      <c r="J154" s="112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</row>
    <row r="155" spans="1:20" ht="15.6" customHeight="1" x14ac:dyDescent="0.2">
      <c r="A155" s="11"/>
      <c r="B155" s="12" t="s">
        <v>149</v>
      </c>
      <c r="C155" s="18">
        <v>1</v>
      </c>
      <c r="D155" s="13" t="s">
        <v>53</v>
      </c>
      <c r="E155" s="19">
        <v>1105</v>
      </c>
      <c r="F155" s="18">
        <f t="shared" ref="F155:F176" si="31">E155*C155</f>
        <v>1105</v>
      </c>
      <c r="G155" s="18">
        <v>0</v>
      </c>
      <c r="H155" s="18">
        <f t="shared" ref="H155:H167" si="32">G155*C155</f>
        <v>0</v>
      </c>
      <c r="I155" s="15">
        <f t="shared" ref="I155:I167" si="33">H155+F155</f>
        <v>1105</v>
      </c>
      <c r="J155" s="14"/>
    </row>
    <row r="156" spans="1:20" ht="15.6" customHeight="1" x14ac:dyDescent="0.2">
      <c r="A156" s="9"/>
      <c r="B156" s="12" t="s">
        <v>150</v>
      </c>
      <c r="C156" s="18">
        <f>11/6</f>
        <v>1.8333333333333333</v>
      </c>
      <c r="D156" s="13" t="s">
        <v>53</v>
      </c>
      <c r="E156" s="19">
        <v>810</v>
      </c>
      <c r="F156" s="18">
        <f t="shared" si="31"/>
        <v>1485</v>
      </c>
      <c r="G156" s="18">
        <v>1</v>
      </c>
      <c r="H156" s="18">
        <f t="shared" si="32"/>
        <v>1.8333333333333333</v>
      </c>
      <c r="I156" s="15">
        <f t="shared" si="33"/>
        <v>1486.8333333333333</v>
      </c>
      <c r="J156" s="14"/>
    </row>
    <row r="157" spans="1:20" ht="15.6" customHeight="1" x14ac:dyDescent="0.2">
      <c r="A157" s="9"/>
      <c r="B157" s="12" t="s">
        <v>152</v>
      </c>
      <c r="C157" s="18">
        <f>12/6</f>
        <v>2</v>
      </c>
      <c r="D157" s="13" t="s">
        <v>53</v>
      </c>
      <c r="E157" s="19">
        <v>610</v>
      </c>
      <c r="F157" s="18">
        <f t="shared" si="31"/>
        <v>1220</v>
      </c>
      <c r="G157" s="18">
        <v>2</v>
      </c>
      <c r="H157" s="18">
        <f t="shared" si="32"/>
        <v>4</v>
      </c>
      <c r="I157" s="15">
        <f t="shared" si="33"/>
        <v>1224</v>
      </c>
      <c r="J157" s="14"/>
    </row>
    <row r="158" spans="1:20" ht="15.6" customHeight="1" x14ac:dyDescent="0.2">
      <c r="A158" s="9"/>
      <c r="B158" s="12" t="s">
        <v>151</v>
      </c>
      <c r="C158" s="18">
        <f>18/3</f>
        <v>6</v>
      </c>
      <c r="D158" s="13" t="s">
        <v>53</v>
      </c>
      <c r="E158" s="19">
        <v>395</v>
      </c>
      <c r="F158" s="18">
        <f t="shared" si="31"/>
        <v>2370</v>
      </c>
      <c r="G158" s="18">
        <v>3</v>
      </c>
      <c r="H158" s="18">
        <f t="shared" si="32"/>
        <v>18</v>
      </c>
      <c r="I158" s="15">
        <f t="shared" si="33"/>
        <v>2388</v>
      </c>
      <c r="J158" s="14"/>
    </row>
    <row r="159" spans="1:20" ht="15.6" customHeight="1" x14ac:dyDescent="0.2">
      <c r="A159" s="11"/>
      <c r="B159" s="12" t="s">
        <v>153</v>
      </c>
      <c r="C159" s="18">
        <f>7/6</f>
        <v>1.1666666666666667</v>
      </c>
      <c r="D159" s="13" t="s">
        <v>60</v>
      </c>
      <c r="E159" s="19">
        <v>49</v>
      </c>
      <c r="F159" s="18">
        <f t="shared" si="31"/>
        <v>57.166666666666671</v>
      </c>
      <c r="G159" s="18">
        <v>4</v>
      </c>
      <c r="H159" s="18">
        <f t="shared" si="32"/>
        <v>4.666666666666667</v>
      </c>
      <c r="I159" s="15">
        <f t="shared" si="33"/>
        <v>61.833333333333336</v>
      </c>
      <c r="J159" s="14"/>
    </row>
    <row r="160" spans="1:20" ht="15.6" customHeight="1" x14ac:dyDescent="0.2">
      <c r="A160" s="11"/>
      <c r="B160" s="12" t="s">
        <v>154</v>
      </c>
      <c r="C160" s="18">
        <f>7/6</f>
        <v>1.1666666666666667</v>
      </c>
      <c r="D160" s="13" t="s">
        <v>60</v>
      </c>
      <c r="E160" s="19">
        <v>39</v>
      </c>
      <c r="F160" s="18">
        <f t="shared" si="31"/>
        <v>45.5</v>
      </c>
      <c r="G160" s="18">
        <v>5</v>
      </c>
      <c r="H160" s="18">
        <f t="shared" si="32"/>
        <v>5.8333333333333339</v>
      </c>
      <c r="I160" s="15">
        <f t="shared" si="33"/>
        <v>51.333333333333336</v>
      </c>
      <c r="J160" s="14"/>
    </row>
    <row r="161" spans="1:10" ht="15.6" customHeight="1" x14ac:dyDescent="0.2">
      <c r="A161" s="11"/>
      <c r="B161" s="12" t="s">
        <v>155</v>
      </c>
      <c r="C161" s="18">
        <f>2/6</f>
        <v>0.33333333333333331</v>
      </c>
      <c r="D161" s="13" t="s">
        <v>53</v>
      </c>
      <c r="E161" s="19">
        <v>285</v>
      </c>
      <c r="F161" s="18">
        <f t="shared" si="31"/>
        <v>95</v>
      </c>
      <c r="G161" s="18">
        <v>6</v>
      </c>
      <c r="H161" s="18">
        <f t="shared" si="32"/>
        <v>2</v>
      </c>
      <c r="I161" s="15">
        <f t="shared" si="33"/>
        <v>97</v>
      </c>
      <c r="J161" s="14"/>
    </row>
    <row r="162" spans="1:10" ht="15.6" customHeight="1" x14ac:dyDescent="0.2">
      <c r="A162" s="11"/>
      <c r="B162" s="12" t="s">
        <v>144</v>
      </c>
      <c r="C162" s="18">
        <f>13/6</f>
        <v>2.1666666666666665</v>
      </c>
      <c r="D162" s="13" t="s">
        <v>53</v>
      </c>
      <c r="E162" s="19">
        <v>250</v>
      </c>
      <c r="F162" s="18">
        <f t="shared" si="31"/>
        <v>541.66666666666663</v>
      </c>
      <c r="G162" s="18">
        <v>7</v>
      </c>
      <c r="H162" s="18">
        <f t="shared" si="32"/>
        <v>15.166666666666666</v>
      </c>
      <c r="I162" s="15">
        <f t="shared" si="33"/>
        <v>556.83333333333326</v>
      </c>
      <c r="J162" s="14"/>
    </row>
    <row r="163" spans="1:10" ht="15.6" customHeight="1" x14ac:dyDescent="0.2">
      <c r="A163" s="11"/>
      <c r="B163" s="12" t="s">
        <v>158</v>
      </c>
      <c r="C163" s="18">
        <f>51/6</f>
        <v>8.5</v>
      </c>
      <c r="D163" s="13" t="s">
        <v>114</v>
      </c>
      <c r="E163" s="19">
        <v>212</v>
      </c>
      <c r="F163" s="18">
        <f t="shared" si="31"/>
        <v>1802</v>
      </c>
      <c r="G163" s="18">
        <v>8</v>
      </c>
      <c r="H163" s="18">
        <f t="shared" si="32"/>
        <v>68</v>
      </c>
      <c r="I163" s="15">
        <f t="shared" si="33"/>
        <v>1870</v>
      </c>
      <c r="J163" s="14"/>
    </row>
    <row r="164" spans="1:10" ht="15.6" customHeight="1" x14ac:dyDescent="0.2">
      <c r="A164" s="11"/>
      <c r="B164" s="12" t="s">
        <v>159</v>
      </c>
      <c r="C164" s="18">
        <f>200/6</f>
        <v>33.333333333333336</v>
      </c>
      <c r="D164" s="13" t="s">
        <v>82</v>
      </c>
      <c r="E164" s="19">
        <v>2.7</v>
      </c>
      <c r="F164" s="18">
        <f t="shared" si="31"/>
        <v>90.000000000000014</v>
      </c>
      <c r="G164" s="18">
        <v>9</v>
      </c>
      <c r="H164" s="18">
        <f t="shared" si="32"/>
        <v>300</v>
      </c>
      <c r="I164" s="15">
        <f t="shared" si="33"/>
        <v>390</v>
      </c>
      <c r="J164" s="14"/>
    </row>
    <row r="165" spans="1:10" ht="15.6" customHeight="1" x14ac:dyDescent="0.2">
      <c r="A165" s="11"/>
      <c r="B165" s="12" t="s">
        <v>63</v>
      </c>
      <c r="C165" s="18">
        <f>1/6</f>
        <v>0.16666666666666666</v>
      </c>
      <c r="D165" s="13" t="s">
        <v>64</v>
      </c>
      <c r="E165" s="18">
        <v>1500</v>
      </c>
      <c r="F165" s="18">
        <f t="shared" si="31"/>
        <v>250</v>
      </c>
      <c r="G165" s="18">
        <v>10</v>
      </c>
      <c r="H165" s="18">
        <f t="shared" si="32"/>
        <v>1.6666666666666665</v>
      </c>
      <c r="I165" s="15">
        <f t="shared" si="33"/>
        <v>251.66666666666666</v>
      </c>
      <c r="J165" s="12"/>
    </row>
    <row r="166" spans="1:10" ht="15.6" customHeight="1" x14ac:dyDescent="0.2">
      <c r="A166" s="11"/>
      <c r="B166" s="12" t="s">
        <v>65</v>
      </c>
      <c r="C166" s="18">
        <v>0.5</v>
      </c>
      <c r="D166" s="13" t="s">
        <v>66</v>
      </c>
      <c r="E166" s="19">
        <v>1189</v>
      </c>
      <c r="F166" s="18">
        <f t="shared" si="31"/>
        <v>594.5</v>
      </c>
      <c r="G166" s="18">
        <v>11</v>
      </c>
      <c r="H166" s="18">
        <f t="shared" si="32"/>
        <v>5.5</v>
      </c>
      <c r="I166" s="15">
        <f t="shared" si="33"/>
        <v>600</v>
      </c>
      <c r="J166" s="12"/>
    </row>
    <row r="167" spans="1:10" ht="15.6" customHeight="1" x14ac:dyDescent="0.2">
      <c r="A167" s="11"/>
      <c r="B167" s="12" t="s">
        <v>67</v>
      </c>
      <c r="C167" s="18">
        <f>1/6</f>
        <v>0.16666666666666666</v>
      </c>
      <c r="D167" s="13" t="s">
        <v>66</v>
      </c>
      <c r="E167" s="19">
        <v>499</v>
      </c>
      <c r="F167" s="18">
        <f t="shared" si="31"/>
        <v>83.166666666666657</v>
      </c>
      <c r="G167" s="18">
        <v>12</v>
      </c>
      <c r="H167" s="18">
        <f t="shared" si="32"/>
        <v>2</v>
      </c>
      <c r="I167" s="15">
        <f t="shared" si="33"/>
        <v>85.166666666666657</v>
      </c>
      <c r="J167" s="12"/>
    </row>
    <row r="168" spans="1:10" ht="15.6" customHeight="1" x14ac:dyDescent="0.2">
      <c r="A168" s="11"/>
      <c r="B168" s="12" t="s">
        <v>68</v>
      </c>
      <c r="C168" s="34">
        <v>1</v>
      </c>
      <c r="D168" s="13" t="s">
        <v>69</v>
      </c>
      <c r="E168" s="18">
        <v>98</v>
      </c>
      <c r="F168" s="18">
        <f t="shared" si="31"/>
        <v>98</v>
      </c>
      <c r="G168" s="33"/>
      <c r="H168" s="27"/>
      <c r="I168" s="28"/>
      <c r="J168" s="12"/>
    </row>
    <row r="169" spans="1:10" s="52" customFormat="1" ht="15.6" customHeight="1" x14ac:dyDescent="0.2">
      <c r="A169" s="44"/>
      <c r="B169" s="51" t="s">
        <v>162</v>
      </c>
      <c r="C169" s="45">
        <v>80</v>
      </c>
      <c r="D169" s="51" t="s">
        <v>170</v>
      </c>
      <c r="E169" s="45">
        <v>0</v>
      </c>
      <c r="F169" s="46">
        <f t="shared" si="31"/>
        <v>0</v>
      </c>
      <c r="G169" s="47">
        <v>23.291666666666668</v>
      </c>
      <c r="H169" s="48">
        <f t="shared" ref="H169:H176" si="34">C169*G169</f>
        <v>1863.3333333333335</v>
      </c>
      <c r="I169" s="49">
        <f>H169</f>
        <v>1863.3333333333335</v>
      </c>
      <c r="J169" s="50"/>
    </row>
    <row r="170" spans="1:10" s="52" customFormat="1" ht="15.6" customHeight="1" x14ac:dyDescent="0.2">
      <c r="A170" s="51"/>
      <c r="B170" s="53" t="s">
        <v>163</v>
      </c>
      <c r="C170" s="45">
        <v>250</v>
      </c>
      <c r="D170" s="53" t="s">
        <v>114</v>
      </c>
      <c r="E170" s="45">
        <v>1</v>
      </c>
      <c r="F170" s="46">
        <f t="shared" si="31"/>
        <v>250</v>
      </c>
      <c r="G170" s="59">
        <v>6.4533333333333331</v>
      </c>
      <c r="H170" s="48">
        <f t="shared" si="34"/>
        <v>1613.3333333333333</v>
      </c>
      <c r="I170" s="60">
        <f t="shared" ref="I170:I176" si="35">H170</f>
        <v>1613.3333333333333</v>
      </c>
      <c r="J170" s="50"/>
    </row>
    <row r="171" spans="1:10" s="52" customFormat="1" ht="15.6" customHeight="1" x14ac:dyDescent="0.2">
      <c r="A171" s="51"/>
      <c r="B171" s="54" t="s">
        <v>164</v>
      </c>
      <c r="C171" s="45">
        <v>35</v>
      </c>
      <c r="D171" s="51" t="s">
        <v>114</v>
      </c>
      <c r="E171" s="45">
        <v>2</v>
      </c>
      <c r="F171" s="46">
        <f t="shared" si="31"/>
        <v>70</v>
      </c>
      <c r="G171" s="59">
        <v>17.5</v>
      </c>
      <c r="H171" s="48">
        <f t="shared" si="34"/>
        <v>612.5</v>
      </c>
      <c r="I171" s="60">
        <f t="shared" si="35"/>
        <v>612.5</v>
      </c>
      <c r="J171" s="50"/>
    </row>
    <row r="172" spans="1:10" s="52" customFormat="1" ht="15.6" customHeight="1" x14ac:dyDescent="0.2">
      <c r="A172" s="51"/>
      <c r="B172" s="51" t="s">
        <v>165</v>
      </c>
      <c r="C172" s="55">
        <v>500</v>
      </c>
      <c r="D172" s="51" t="s">
        <v>21</v>
      </c>
      <c r="E172" s="45">
        <v>3</v>
      </c>
      <c r="F172" s="46">
        <f t="shared" si="31"/>
        <v>1500</v>
      </c>
      <c r="G172" s="47">
        <v>1.3333333333333333</v>
      </c>
      <c r="H172" s="48">
        <f t="shared" si="34"/>
        <v>666.66666666666663</v>
      </c>
      <c r="I172" s="49">
        <f t="shared" si="35"/>
        <v>666.66666666666663</v>
      </c>
      <c r="J172" s="50"/>
    </row>
    <row r="173" spans="1:10" s="52" customFormat="1" ht="15.6" customHeight="1" x14ac:dyDescent="0.2">
      <c r="A173" s="44"/>
      <c r="B173" s="53" t="s">
        <v>166</v>
      </c>
      <c r="C173" s="56">
        <v>35</v>
      </c>
      <c r="D173" s="53" t="s">
        <v>170</v>
      </c>
      <c r="E173" s="45">
        <v>4</v>
      </c>
      <c r="F173" s="46">
        <f t="shared" si="31"/>
        <v>140</v>
      </c>
      <c r="G173" s="58">
        <v>18.900000000000002</v>
      </c>
      <c r="H173" s="48">
        <f t="shared" si="34"/>
        <v>661.50000000000011</v>
      </c>
      <c r="I173" s="60">
        <f t="shared" si="35"/>
        <v>661.50000000000011</v>
      </c>
      <c r="J173" s="50"/>
    </row>
    <row r="174" spans="1:10" s="52" customFormat="1" ht="15.6" customHeight="1" x14ac:dyDescent="0.2">
      <c r="A174" s="44"/>
      <c r="B174" s="54" t="s">
        <v>167</v>
      </c>
      <c r="C174" s="56">
        <v>25</v>
      </c>
      <c r="D174" s="51" t="s">
        <v>170</v>
      </c>
      <c r="E174" s="45">
        <v>5</v>
      </c>
      <c r="F174" s="46">
        <f t="shared" si="31"/>
        <v>125</v>
      </c>
      <c r="G174" s="58">
        <v>18.900000000000002</v>
      </c>
      <c r="H174" s="48">
        <f t="shared" si="34"/>
        <v>472.50000000000006</v>
      </c>
      <c r="I174" s="60">
        <f t="shared" si="35"/>
        <v>472.50000000000006</v>
      </c>
      <c r="J174" s="50"/>
    </row>
    <row r="175" spans="1:10" s="52" customFormat="1" ht="15.6" customHeight="1" x14ac:dyDescent="0.2">
      <c r="A175" s="44"/>
      <c r="B175" s="54" t="s">
        <v>168</v>
      </c>
      <c r="C175" s="56">
        <v>300</v>
      </c>
      <c r="D175" s="57" t="s">
        <v>171</v>
      </c>
      <c r="E175" s="45">
        <v>6</v>
      </c>
      <c r="F175" s="46">
        <f t="shared" si="31"/>
        <v>1800</v>
      </c>
      <c r="G175" s="59">
        <v>1</v>
      </c>
      <c r="H175" s="48">
        <f t="shared" si="34"/>
        <v>300</v>
      </c>
      <c r="I175" s="60">
        <f t="shared" si="35"/>
        <v>300</v>
      </c>
      <c r="J175" s="50"/>
    </row>
    <row r="176" spans="1:10" s="52" customFormat="1" ht="15.6" customHeight="1" x14ac:dyDescent="0.2">
      <c r="A176" s="44"/>
      <c r="B176" s="51" t="s">
        <v>169</v>
      </c>
      <c r="C176" s="56">
        <v>55</v>
      </c>
      <c r="D176" s="53" t="s">
        <v>114</v>
      </c>
      <c r="E176" s="45">
        <v>7</v>
      </c>
      <c r="F176" s="46">
        <f t="shared" si="31"/>
        <v>385</v>
      </c>
      <c r="G176" s="47">
        <v>6.47</v>
      </c>
      <c r="H176" s="46">
        <f t="shared" si="34"/>
        <v>355.84999999999997</v>
      </c>
      <c r="I176" s="49">
        <f t="shared" si="35"/>
        <v>355.84999999999997</v>
      </c>
      <c r="J176" s="50"/>
    </row>
    <row r="177" spans="1:20" s="88" customFormat="1" ht="15.6" customHeight="1" x14ac:dyDescent="0.2">
      <c r="A177" s="87"/>
      <c r="B177" s="74" t="s">
        <v>156</v>
      </c>
      <c r="C177" s="14"/>
      <c r="D177" s="14"/>
      <c r="E177" s="14"/>
      <c r="F177" s="75">
        <f>SUM(F155:F176)</f>
        <v>14107</v>
      </c>
      <c r="G177" s="75"/>
      <c r="H177" s="75">
        <f t="shared" ref="H177" si="36">SUM(H155:H176)</f>
        <v>6974.35</v>
      </c>
      <c r="I177" s="80">
        <f>SUM(F177+H177)</f>
        <v>21081.35</v>
      </c>
      <c r="J177" s="86"/>
    </row>
    <row r="178" spans="1:20" s="109" customFormat="1" ht="18.75" customHeight="1" x14ac:dyDescent="0.5">
      <c r="A178" s="100"/>
      <c r="B178" s="101" t="s">
        <v>143</v>
      </c>
      <c r="C178" s="100"/>
      <c r="D178" s="101" t="s">
        <v>11</v>
      </c>
      <c r="E178" s="102"/>
      <c r="F178" s="103">
        <f>SUM(F177)</f>
        <v>14107</v>
      </c>
      <c r="G178" s="102"/>
      <c r="H178" s="103">
        <f>SUM(H177)</f>
        <v>6974.35</v>
      </c>
      <c r="I178" s="107">
        <f>H178+F178</f>
        <v>21081.35</v>
      </c>
      <c r="J178" s="104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</row>
  </sheetData>
  <mergeCells count="29">
    <mergeCell ref="I1:J1"/>
    <mergeCell ref="A5:A6"/>
    <mergeCell ref="B5:B6"/>
    <mergeCell ref="C5:C6"/>
    <mergeCell ref="D5:D6"/>
    <mergeCell ref="E5:F5"/>
    <mergeCell ref="G5:H5"/>
    <mergeCell ref="J5:J6"/>
    <mergeCell ref="E124:F124"/>
    <mergeCell ref="G124:H124"/>
    <mergeCell ref="E70:F70"/>
    <mergeCell ref="G70:H70"/>
    <mergeCell ref="A1:H1"/>
    <mergeCell ref="I68:J68"/>
    <mergeCell ref="A68:H68"/>
    <mergeCell ref="G67:J67"/>
    <mergeCell ref="A2:J3"/>
    <mergeCell ref="J152:J153"/>
    <mergeCell ref="A152:A153"/>
    <mergeCell ref="B152:B153"/>
    <mergeCell ref="C152:C153"/>
    <mergeCell ref="D152:D153"/>
    <mergeCell ref="E152:F152"/>
    <mergeCell ref="G152:H152"/>
    <mergeCell ref="J124:J125"/>
    <mergeCell ref="A124:A125"/>
    <mergeCell ref="B124:B125"/>
    <mergeCell ref="C124:C125"/>
    <mergeCell ref="D124:D125"/>
  </mergeCells>
  <pageMargins left="0.7" right="0.7" top="0.75" bottom="0.75" header="0.3" footer="0.3"/>
  <pageSetup paperSize="9" scale="9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BOQ</vt:lpstr>
      <vt:lpstr>BOQ!Print_Area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book</dc:creator>
  <cp:lastModifiedBy>Chawanwit Thongsong</cp:lastModifiedBy>
  <cp:lastPrinted>2024-03-05T03:42:54Z</cp:lastPrinted>
  <dcterms:created xsi:type="dcterms:W3CDTF">2023-12-05T07:38:42Z</dcterms:created>
  <dcterms:modified xsi:type="dcterms:W3CDTF">2026-05-29T16:40:09Z</dcterms:modified>
</cp:coreProperties>
</file>