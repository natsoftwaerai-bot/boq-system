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tawut\Desktop\ต้นทุนบ้านแถว\"/>
    </mc:Choice>
  </mc:AlternateContent>
  <xr:revisionPtr revIDLastSave="0" documentId="13_ncr:1_{62BB0C86-F96E-4DFC-83A6-A2A4417957DD}" xr6:coauthVersionLast="47" xr6:coauthVersionMax="47" xr10:uidLastSave="{00000000-0000-0000-0000-000000000000}"/>
  <bookViews>
    <workbookView xWindow="-98" yWindow="-98" windowWidth="21795" windowHeight="14595" tabRatio="658" activeTab="6" xr2:uid="{35CF9F50-DB7B-4012-AC83-FD214A8D0102}"/>
  </bookViews>
  <sheets>
    <sheet name="หลังริม" sheetId="3" r:id="rId1"/>
    <sheet name="จำนวนโครงการ " sheetId="9" r:id="rId2"/>
    <sheet name="หลังกลาง" sheetId="1" r:id="rId3"/>
    <sheet name="บ้านแถว 4 หลังNL" sheetId="6" r:id="rId4"/>
    <sheet name="บ้านแถว 6 หลัง" sheetId="5" r:id="rId5"/>
    <sheet name="บ้านแถว 8 หลังPL" sheetId="8" r:id="rId6"/>
    <sheet name="บ้านแถว 7 หลังPL" sheetId="11" r:id="rId7"/>
    <sheet name="สำนักงานขายPL" sheetId="10" r:id="rId8"/>
  </sheets>
  <definedNames>
    <definedName name="_xlnm.Print_Area" localSheetId="3">'บ้านแถว 4 หลังNL'!$A$1:$J$273</definedName>
    <definedName name="_xlnm.Print_Area" localSheetId="4">'บ้านแถว 6 หลัง'!$A$1:$J$273</definedName>
    <definedName name="_xlnm.Print_Area" localSheetId="6">'บ้านแถว 7 หลังPL'!$A$1:$J$273</definedName>
    <definedName name="_xlnm.Print_Area" localSheetId="5">'บ้านแถว 8 หลังPL'!$A$1:$J$273</definedName>
    <definedName name="_xlnm.Print_Area" localSheetId="2">หลังกลาง!$A$1:$J$273</definedName>
    <definedName name="_xlnm.Print_Area" localSheetId="0">หลังริม!$A$1:$J$273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1" l="1"/>
  <c r="C10" i="11"/>
  <c r="C11" i="11"/>
  <c r="C12" i="11"/>
  <c r="C13" i="11"/>
  <c r="C14" i="11"/>
  <c r="H14" i="11" s="1"/>
  <c r="C15" i="11"/>
  <c r="F15" i="11" s="1"/>
  <c r="C16" i="11"/>
  <c r="C17" i="11"/>
  <c r="C18" i="11"/>
  <c r="C19" i="11"/>
  <c r="F19" i="11" s="1"/>
  <c r="I19" i="11" s="1"/>
  <c r="C20" i="11"/>
  <c r="F20" i="11" s="1"/>
  <c r="C21" i="11"/>
  <c r="C22" i="11"/>
  <c r="C23" i="11"/>
  <c r="C24" i="11"/>
  <c r="C25" i="11"/>
  <c r="C26" i="11"/>
  <c r="C27" i="11"/>
  <c r="H27" i="11" s="1"/>
  <c r="C28" i="11"/>
  <c r="H28" i="11" s="1"/>
  <c r="C29" i="11"/>
  <c r="H29" i="11" s="1"/>
  <c r="C30" i="11"/>
  <c r="C31" i="11"/>
  <c r="C32" i="11"/>
  <c r="F32" i="11" s="1"/>
  <c r="F37" i="11" s="1"/>
  <c r="C33" i="11"/>
  <c r="C34" i="11"/>
  <c r="C35" i="11"/>
  <c r="F35" i="11" s="1"/>
  <c r="C36" i="11"/>
  <c r="C37" i="11"/>
  <c r="C38" i="11"/>
  <c r="C39" i="11"/>
  <c r="H39" i="11" s="1"/>
  <c r="C40" i="11"/>
  <c r="C41" i="11"/>
  <c r="C42" i="11"/>
  <c r="F42" i="11" s="1"/>
  <c r="C43" i="11"/>
  <c r="H43" i="11" s="1"/>
  <c r="I43" i="11" s="1"/>
  <c r="C44" i="11"/>
  <c r="C45" i="11"/>
  <c r="C46" i="11"/>
  <c r="C47" i="11"/>
  <c r="C48" i="11"/>
  <c r="C49" i="11"/>
  <c r="C50" i="11"/>
  <c r="C51" i="11"/>
  <c r="H51" i="11" s="1"/>
  <c r="C52" i="11"/>
  <c r="H52" i="11" s="1"/>
  <c r="C53" i="11"/>
  <c r="H53" i="11" s="1"/>
  <c r="C54" i="11"/>
  <c r="F54" i="11" s="1"/>
  <c r="C55" i="11"/>
  <c r="H55" i="11" s="1"/>
  <c r="C56" i="11"/>
  <c r="C57" i="11"/>
  <c r="C58" i="11"/>
  <c r="C59" i="11"/>
  <c r="C60" i="11"/>
  <c r="C61" i="11"/>
  <c r="C62" i="11"/>
  <c r="C63" i="11"/>
  <c r="H63" i="11" s="1"/>
  <c r="I63" i="11" s="1"/>
  <c r="C64" i="11"/>
  <c r="F64" i="11" s="1"/>
  <c r="C65" i="11"/>
  <c r="C66" i="11"/>
  <c r="C269" i="11" s="1"/>
  <c r="C67" i="11"/>
  <c r="C68" i="11"/>
  <c r="C69" i="11"/>
  <c r="C70" i="11"/>
  <c r="C71" i="11"/>
  <c r="C72" i="11"/>
  <c r="C73" i="11"/>
  <c r="C74" i="11"/>
  <c r="F74" i="11" s="1"/>
  <c r="C75" i="11"/>
  <c r="H75" i="11" s="1"/>
  <c r="C76" i="11"/>
  <c r="F76" i="11" s="1"/>
  <c r="C77" i="11"/>
  <c r="C78" i="11"/>
  <c r="H78" i="11" s="1"/>
  <c r="I78" i="11" s="1"/>
  <c r="C79" i="11"/>
  <c r="F79" i="11" s="1"/>
  <c r="C80" i="11"/>
  <c r="C81" i="11"/>
  <c r="F81" i="11" s="1"/>
  <c r="C82" i="11"/>
  <c r="C83" i="11"/>
  <c r="C84" i="11"/>
  <c r="C85" i="11"/>
  <c r="C86" i="11"/>
  <c r="F86" i="11" s="1"/>
  <c r="C87" i="11"/>
  <c r="H87" i="11" s="1"/>
  <c r="C88" i="11"/>
  <c r="F88" i="11" s="1"/>
  <c r="C89" i="11"/>
  <c r="C90" i="11"/>
  <c r="H90" i="11" s="1"/>
  <c r="I90" i="11" s="1"/>
  <c r="C91" i="11"/>
  <c r="F91" i="11" s="1"/>
  <c r="C92" i="11"/>
  <c r="C93" i="11"/>
  <c r="F93" i="11" s="1"/>
  <c r="C94" i="11"/>
  <c r="C95" i="11"/>
  <c r="C96" i="11"/>
  <c r="C97" i="11"/>
  <c r="C98" i="11"/>
  <c r="C99" i="11"/>
  <c r="F99" i="11" s="1"/>
  <c r="C100" i="11"/>
  <c r="C101" i="11"/>
  <c r="C102" i="11"/>
  <c r="H102" i="11" s="1"/>
  <c r="C103" i="11"/>
  <c r="H103" i="11" s="1"/>
  <c r="C104" i="11"/>
  <c r="H104" i="11" s="1"/>
  <c r="C105" i="11"/>
  <c r="C106" i="11"/>
  <c r="C107" i="11"/>
  <c r="C108" i="11"/>
  <c r="C109" i="11"/>
  <c r="H109" i="11" s="1"/>
  <c r="C110" i="11"/>
  <c r="H110" i="11" s="1"/>
  <c r="I110" i="11" s="1"/>
  <c r="C111" i="11"/>
  <c r="C112" i="11"/>
  <c r="C113" i="11"/>
  <c r="C114" i="11"/>
  <c r="H114" i="11" s="1"/>
  <c r="C115" i="11"/>
  <c r="C116" i="11"/>
  <c r="C117" i="11"/>
  <c r="C118" i="11"/>
  <c r="F118" i="11" s="1"/>
  <c r="C119" i="11"/>
  <c r="C120" i="11"/>
  <c r="C121" i="11"/>
  <c r="C122" i="11"/>
  <c r="C123" i="11"/>
  <c r="C124" i="11"/>
  <c r="C125" i="11"/>
  <c r="H125" i="11" s="1"/>
  <c r="C126" i="11"/>
  <c r="H126" i="11" s="1"/>
  <c r="C127" i="11"/>
  <c r="H127" i="11" s="1"/>
  <c r="C128" i="11"/>
  <c r="F128" i="11" s="1"/>
  <c r="C129" i="11"/>
  <c r="C130" i="11"/>
  <c r="C131" i="11"/>
  <c r="C132" i="11"/>
  <c r="C133" i="11"/>
  <c r="H133" i="11" s="1"/>
  <c r="C134" i="11"/>
  <c r="C135" i="11"/>
  <c r="C136" i="11"/>
  <c r="C137" i="11"/>
  <c r="C138" i="11"/>
  <c r="C139" i="11"/>
  <c r="H139" i="11" s="1"/>
  <c r="C140" i="11"/>
  <c r="H140" i="11" s="1"/>
  <c r="C141" i="11"/>
  <c r="C142" i="11"/>
  <c r="C143" i="11"/>
  <c r="C144" i="11"/>
  <c r="C145" i="11"/>
  <c r="C146" i="11"/>
  <c r="C147" i="11"/>
  <c r="C148" i="11"/>
  <c r="H148" i="11" s="1"/>
  <c r="C149" i="11"/>
  <c r="H149" i="11" s="1"/>
  <c r="C150" i="11"/>
  <c r="H150" i="11" s="1"/>
  <c r="C151" i="11"/>
  <c r="H151" i="11" s="1"/>
  <c r="C152" i="11"/>
  <c r="F152" i="11" s="1"/>
  <c r="C153" i="11"/>
  <c r="C154" i="11"/>
  <c r="C155" i="11"/>
  <c r="C156" i="11"/>
  <c r="C157" i="11"/>
  <c r="H157" i="11" s="1"/>
  <c r="C158" i="11"/>
  <c r="H158" i="11" s="1"/>
  <c r="C159" i="11"/>
  <c r="F159" i="11" s="1"/>
  <c r="C160" i="11"/>
  <c r="C161" i="11"/>
  <c r="C162" i="11"/>
  <c r="H162" i="11" s="1"/>
  <c r="C163" i="11"/>
  <c r="H163" i="11" s="1"/>
  <c r="C164" i="11"/>
  <c r="C165" i="11"/>
  <c r="H165" i="11" s="1"/>
  <c r="C166" i="11"/>
  <c r="C167" i="11"/>
  <c r="C168" i="11"/>
  <c r="C169" i="11"/>
  <c r="C170" i="11"/>
  <c r="C171" i="11"/>
  <c r="C172" i="11"/>
  <c r="C173" i="11"/>
  <c r="H173" i="11" s="1"/>
  <c r="C174" i="11"/>
  <c r="H174" i="11" s="1"/>
  <c r="C175" i="11"/>
  <c r="H175" i="11" s="1"/>
  <c r="C176" i="11"/>
  <c r="C177" i="11"/>
  <c r="C178" i="11"/>
  <c r="C179" i="11"/>
  <c r="C180" i="11"/>
  <c r="C181" i="11"/>
  <c r="C182" i="11"/>
  <c r="C183" i="11"/>
  <c r="H183" i="11" s="1"/>
  <c r="C184" i="11"/>
  <c r="C185" i="11"/>
  <c r="C186" i="11"/>
  <c r="F186" i="11" s="1"/>
  <c r="C187" i="11"/>
  <c r="H187" i="11" s="1"/>
  <c r="C188" i="11"/>
  <c r="C189" i="11"/>
  <c r="C190" i="11"/>
  <c r="C191" i="11"/>
  <c r="C192" i="11"/>
  <c r="C193" i="11"/>
  <c r="C194" i="11"/>
  <c r="H194" i="11" s="1"/>
  <c r="C195" i="11"/>
  <c r="H195" i="11" s="1"/>
  <c r="C196" i="11"/>
  <c r="C197" i="11"/>
  <c r="C198" i="11"/>
  <c r="H198" i="11" s="1"/>
  <c r="C199" i="11"/>
  <c r="H199" i="11" s="1"/>
  <c r="C200" i="11"/>
  <c r="C201" i="11"/>
  <c r="C202" i="11"/>
  <c r="C203" i="11"/>
  <c r="H203" i="11" s="1"/>
  <c r="C204" i="11"/>
  <c r="C205" i="11"/>
  <c r="H205" i="11" s="1"/>
  <c r="C206" i="11"/>
  <c r="F206" i="11" s="1"/>
  <c r="I206" i="11" s="1"/>
  <c r="C207" i="11"/>
  <c r="C208" i="11"/>
  <c r="C209" i="11"/>
  <c r="H209" i="11" s="1"/>
  <c r="I209" i="11" s="1"/>
  <c r="C210" i="11"/>
  <c r="F210" i="11" s="1"/>
  <c r="C211" i="11"/>
  <c r="H211" i="11" s="1"/>
  <c r="C212" i="11"/>
  <c r="C213" i="11"/>
  <c r="C214" i="11"/>
  <c r="C215" i="11"/>
  <c r="C216" i="11"/>
  <c r="C217" i="11"/>
  <c r="C218" i="11"/>
  <c r="C219" i="11"/>
  <c r="C220" i="11"/>
  <c r="H220" i="11" s="1"/>
  <c r="C221" i="11"/>
  <c r="H221" i="11" s="1"/>
  <c r="C222" i="11"/>
  <c r="H222" i="11" s="1"/>
  <c r="C223" i="11"/>
  <c r="F223" i="11" s="1"/>
  <c r="C224" i="11"/>
  <c r="C225" i="11"/>
  <c r="C226" i="11"/>
  <c r="C227" i="11"/>
  <c r="C228" i="11"/>
  <c r="C229" i="11"/>
  <c r="C230" i="11"/>
  <c r="C231" i="11"/>
  <c r="H231" i="11" s="1"/>
  <c r="C232" i="11"/>
  <c r="C233" i="11"/>
  <c r="C234" i="11"/>
  <c r="H234" i="11" s="1"/>
  <c r="H235" i="11" s="1"/>
  <c r="C235" i="11"/>
  <c r="C236" i="11"/>
  <c r="C237" i="11"/>
  <c r="C238" i="11"/>
  <c r="C239" i="11"/>
  <c r="C240" i="11"/>
  <c r="C241" i="11"/>
  <c r="C242" i="11"/>
  <c r="C243" i="11"/>
  <c r="C244" i="11"/>
  <c r="C245" i="11"/>
  <c r="H245" i="11" s="1"/>
  <c r="C246" i="11"/>
  <c r="H246" i="11" s="1"/>
  <c r="C247" i="11"/>
  <c r="H247" i="11" s="1"/>
  <c r="C248" i="11"/>
  <c r="C249" i="11"/>
  <c r="C250" i="11"/>
  <c r="C251" i="11"/>
  <c r="C252" i="11"/>
  <c r="C253" i="11"/>
  <c r="C254" i="11"/>
  <c r="C255" i="11"/>
  <c r="H255" i="11" s="1"/>
  <c r="C256" i="11"/>
  <c r="H256" i="11" s="1"/>
  <c r="C257" i="11"/>
  <c r="H257" i="11" s="1"/>
  <c r="C258" i="11"/>
  <c r="H258" i="11" s="1"/>
  <c r="C259" i="11"/>
  <c r="C260" i="11"/>
  <c r="C261" i="11"/>
  <c r="C262" i="11"/>
  <c r="C263" i="11"/>
  <c r="C264" i="11"/>
  <c r="C265" i="11"/>
  <c r="H265" i="11" s="1"/>
  <c r="C8" i="11"/>
  <c r="G272" i="11"/>
  <c r="E272" i="11"/>
  <c r="D272" i="11"/>
  <c r="C272" i="11"/>
  <c r="B272" i="11"/>
  <c r="A272" i="11"/>
  <c r="G271" i="11"/>
  <c r="E271" i="11"/>
  <c r="D271" i="11"/>
  <c r="B271" i="11"/>
  <c r="A271" i="11"/>
  <c r="G270" i="11"/>
  <c r="E270" i="11"/>
  <c r="D270" i="11"/>
  <c r="B270" i="11"/>
  <c r="A270" i="11"/>
  <c r="G269" i="11"/>
  <c r="E269" i="11"/>
  <c r="D269" i="11"/>
  <c r="B269" i="11"/>
  <c r="A269" i="11"/>
  <c r="H264" i="11"/>
  <c r="H263" i="11"/>
  <c r="F263" i="11"/>
  <c r="H262" i="11"/>
  <c r="H261" i="11"/>
  <c r="H259" i="11"/>
  <c r="H254" i="11"/>
  <c r="F254" i="11"/>
  <c r="H253" i="11"/>
  <c r="H252" i="11"/>
  <c r="H251" i="11"/>
  <c r="F251" i="11"/>
  <c r="H250" i="11"/>
  <c r="H249" i="11"/>
  <c r="H244" i="11"/>
  <c r="C271" i="11"/>
  <c r="H239" i="11"/>
  <c r="H238" i="11"/>
  <c r="F238" i="11"/>
  <c r="H237" i="11"/>
  <c r="H230" i="11"/>
  <c r="H229" i="11"/>
  <c r="H228" i="11"/>
  <c r="F228" i="11"/>
  <c r="H227" i="11"/>
  <c r="H226" i="11"/>
  <c r="H223" i="11"/>
  <c r="H219" i="11"/>
  <c r="C270" i="11"/>
  <c r="H213" i="11"/>
  <c r="I213" i="11" s="1"/>
  <c r="F213" i="11"/>
  <c r="F209" i="11"/>
  <c r="H208" i="11"/>
  <c r="H207" i="11"/>
  <c r="H206" i="11"/>
  <c r="H204" i="11"/>
  <c r="F203" i="11"/>
  <c r="H202" i="11"/>
  <c r="H197" i="11"/>
  <c r="F197" i="11"/>
  <c r="H196" i="11"/>
  <c r="H193" i="11"/>
  <c r="H192" i="11"/>
  <c r="F192" i="11"/>
  <c r="H191" i="11"/>
  <c r="F191" i="11"/>
  <c r="H190" i="11"/>
  <c r="H189" i="11"/>
  <c r="F189" i="11"/>
  <c r="F183" i="11"/>
  <c r="H182" i="11"/>
  <c r="H181" i="11"/>
  <c r="F181" i="11"/>
  <c r="I181" i="11" s="1"/>
  <c r="H180" i="11"/>
  <c r="F180" i="11"/>
  <c r="H179" i="11"/>
  <c r="H172" i="11"/>
  <c r="H171" i="11"/>
  <c r="H170" i="11"/>
  <c r="F170" i="11"/>
  <c r="H169" i="11"/>
  <c r="H168" i="11"/>
  <c r="F165" i="11"/>
  <c r="H161" i="11"/>
  <c r="F161" i="11"/>
  <c r="H160" i="11"/>
  <c r="H159" i="11"/>
  <c r="H156" i="11"/>
  <c r="F156" i="11"/>
  <c r="H155" i="11"/>
  <c r="F155" i="11"/>
  <c r="H154" i="11"/>
  <c r="H153" i="11"/>
  <c r="F153" i="11"/>
  <c r="H145" i="11"/>
  <c r="F145" i="11"/>
  <c r="H144" i="11"/>
  <c r="H143" i="11"/>
  <c r="H142" i="11"/>
  <c r="F142" i="11"/>
  <c r="H141" i="11"/>
  <c r="G139" i="11"/>
  <c r="H136" i="11"/>
  <c r="I136" i="11" s="1"/>
  <c r="F136" i="11"/>
  <c r="H135" i="11"/>
  <c r="F134" i="11"/>
  <c r="H134" i="11"/>
  <c r="I134" i="11" s="1"/>
  <c r="H132" i="11"/>
  <c r="F131" i="11"/>
  <c r="H131" i="11"/>
  <c r="I131" i="11" s="1"/>
  <c r="H130" i="11"/>
  <c r="I130" i="11" s="1"/>
  <c r="F130" i="11"/>
  <c r="H129" i="11"/>
  <c r="H124" i="11"/>
  <c r="I124" i="11" s="1"/>
  <c r="F124" i="11"/>
  <c r="F121" i="11"/>
  <c r="H121" i="11"/>
  <c r="I121" i="11" s="1"/>
  <c r="F120" i="11"/>
  <c r="H120" i="11"/>
  <c r="H119" i="11"/>
  <c r="F119" i="11"/>
  <c r="H118" i="11"/>
  <c r="F117" i="11"/>
  <c r="H117" i="11"/>
  <c r="F114" i="11"/>
  <c r="H113" i="11"/>
  <c r="F110" i="11"/>
  <c r="F108" i="11"/>
  <c r="H108" i="11"/>
  <c r="I108" i="11" s="1"/>
  <c r="F107" i="11"/>
  <c r="H107" i="11"/>
  <c r="I107" i="11" s="1"/>
  <c r="H106" i="11"/>
  <c r="F106" i="11"/>
  <c r="F105" i="11"/>
  <c r="H105" i="11"/>
  <c r="I105" i="11" s="1"/>
  <c r="H99" i="11"/>
  <c r="H98" i="11"/>
  <c r="I98" i="11" s="1"/>
  <c r="F98" i="11"/>
  <c r="F95" i="11"/>
  <c r="H95" i="11"/>
  <c r="I95" i="11" s="1"/>
  <c r="F94" i="11"/>
  <c r="H94" i="11"/>
  <c r="H93" i="11"/>
  <c r="F90" i="11"/>
  <c r="F89" i="11"/>
  <c r="H89" i="11"/>
  <c r="H86" i="11"/>
  <c r="F85" i="11"/>
  <c r="H85" i="11"/>
  <c r="I85" i="11" s="1"/>
  <c r="H84" i="11"/>
  <c r="F84" i="11"/>
  <c r="F83" i="11"/>
  <c r="H83" i="11"/>
  <c r="I83" i="11" s="1"/>
  <c r="F82" i="11"/>
  <c r="H82" i="11"/>
  <c r="H81" i="11"/>
  <c r="F78" i="11"/>
  <c r="F77" i="11"/>
  <c r="H77" i="11"/>
  <c r="I77" i="11" s="1"/>
  <c r="H74" i="11"/>
  <c r="F73" i="11"/>
  <c r="H73" i="11"/>
  <c r="I73" i="11" s="1"/>
  <c r="H72" i="11"/>
  <c r="F72" i="11"/>
  <c r="F71" i="11"/>
  <c r="H71" i="11"/>
  <c r="F70" i="11"/>
  <c r="H70" i="11"/>
  <c r="F63" i="11"/>
  <c r="H62" i="11"/>
  <c r="F62" i="11"/>
  <c r="H61" i="11"/>
  <c r="F61" i="11"/>
  <c r="H60" i="11"/>
  <c r="I60" i="11" s="1"/>
  <c r="F60" i="11"/>
  <c r="H59" i="11"/>
  <c r="F59" i="11"/>
  <c r="H58" i="11"/>
  <c r="F58" i="11"/>
  <c r="H57" i="11"/>
  <c r="F57" i="11"/>
  <c r="F55" i="11"/>
  <c r="H54" i="11"/>
  <c r="H50" i="11"/>
  <c r="F50" i="11"/>
  <c r="H49" i="11"/>
  <c r="F49" i="11"/>
  <c r="H48" i="11"/>
  <c r="I48" i="11" s="1"/>
  <c r="F48" i="11"/>
  <c r="H47" i="11"/>
  <c r="H46" i="11"/>
  <c r="F46" i="11"/>
  <c r="H41" i="11"/>
  <c r="I41" i="11" s="1"/>
  <c r="F41" i="11"/>
  <c r="H40" i="11"/>
  <c r="F39" i="11"/>
  <c r="H36" i="11"/>
  <c r="F36" i="11"/>
  <c r="H35" i="11"/>
  <c r="F34" i="11"/>
  <c r="H34" i="11"/>
  <c r="I34" i="11" s="1"/>
  <c r="H33" i="11"/>
  <c r="F33" i="11"/>
  <c r="F29" i="11"/>
  <c r="F26" i="11"/>
  <c r="H26" i="11"/>
  <c r="I26" i="11" s="1"/>
  <c r="H25" i="11"/>
  <c r="I25" i="11" s="1"/>
  <c r="F25" i="11"/>
  <c r="H22" i="11"/>
  <c r="F22" i="11"/>
  <c r="I22" i="11" s="1"/>
  <c r="H21" i="11"/>
  <c r="F21" i="11"/>
  <c r="I21" i="11" s="1"/>
  <c r="H20" i="11"/>
  <c r="H19" i="11"/>
  <c r="H18" i="11"/>
  <c r="F18" i="11"/>
  <c r="I18" i="11" s="1"/>
  <c r="H15" i="11"/>
  <c r="I15" i="11" s="1"/>
  <c r="H11" i="11"/>
  <c r="F11" i="11"/>
  <c r="I11" i="11" s="1"/>
  <c r="H10" i="11"/>
  <c r="F10" i="11"/>
  <c r="H9" i="11"/>
  <c r="F9" i="11"/>
  <c r="H8" i="11"/>
  <c r="H12" i="11" s="1"/>
  <c r="F8" i="11"/>
  <c r="I8" i="11" s="1"/>
  <c r="D272" i="10"/>
  <c r="B272" i="10"/>
  <c r="A272" i="10"/>
  <c r="D271" i="10"/>
  <c r="B271" i="10"/>
  <c r="A271" i="10"/>
  <c r="D270" i="10"/>
  <c r="B270" i="10"/>
  <c r="A270" i="10"/>
  <c r="D269" i="10"/>
  <c r="B269" i="10"/>
  <c r="A269" i="10"/>
  <c r="I265" i="10"/>
  <c r="H265" i="10"/>
  <c r="F265" i="10"/>
  <c r="H264" i="10"/>
  <c r="F264" i="10"/>
  <c r="I263" i="10"/>
  <c r="H263" i="10"/>
  <c r="F263" i="10"/>
  <c r="H262" i="10"/>
  <c r="F262" i="10"/>
  <c r="I261" i="10"/>
  <c r="H261" i="10"/>
  <c r="F261" i="10"/>
  <c r="H260" i="10"/>
  <c r="F260" i="10"/>
  <c r="I259" i="10"/>
  <c r="H259" i="10"/>
  <c r="F259" i="10"/>
  <c r="I258" i="10"/>
  <c r="H258" i="10"/>
  <c r="F258" i="10"/>
  <c r="I257" i="10"/>
  <c r="H257" i="10"/>
  <c r="F257" i="10"/>
  <c r="C256" i="10"/>
  <c r="H256" i="10" s="1"/>
  <c r="H255" i="10"/>
  <c r="I255" i="10" s="1"/>
  <c r="F255" i="10"/>
  <c r="H254" i="10"/>
  <c r="I254" i="10" s="1"/>
  <c r="F254" i="10"/>
  <c r="C254" i="10"/>
  <c r="C253" i="10"/>
  <c r="C252" i="10"/>
  <c r="H252" i="10" s="1"/>
  <c r="I251" i="10"/>
  <c r="H251" i="10"/>
  <c r="F251" i="10"/>
  <c r="C251" i="10"/>
  <c r="C250" i="10"/>
  <c r="C249" i="10"/>
  <c r="H249" i="10" s="1"/>
  <c r="I248" i="10"/>
  <c r="H248" i="10"/>
  <c r="F248" i="10"/>
  <c r="C248" i="10"/>
  <c r="C247" i="10"/>
  <c r="C246" i="10"/>
  <c r="H246" i="10" s="1"/>
  <c r="I245" i="10"/>
  <c r="H245" i="10"/>
  <c r="F245" i="10"/>
  <c r="C245" i="10"/>
  <c r="H244" i="10"/>
  <c r="I244" i="10" s="1"/>
  <c r="F244" i="10"/>
  <c r="I240" i="10"/>
  <c r="H240" i="10"/>
  <c r="K240" i="10" s="1"/>
  <c r="I239" i="10"/>
  <c r="H239" i="10"/>
  <c r="F239" i="10"/>
  <c r="H238" i="10"/>
  <c r="I238" i="10" s="1"/>
  <c r="F238" i="10"/>
  <c r="H237" i="10"/>
  <c r="I237" i="10" s="1"/>
  <c r="F237" i="10"/>
  <c r="F240" i="10" s="1"/>
  <c r="H235" i="10"/>
  <c r="H234" i="10"/>
  <c r="I234" i="10" s="1"/>
  <c r="I235" i="10" s="1"/>
  <c r="F234" i="10"/>
  <c r="F235" i="10" s="1"/>
  <c r="K235" i="10" s="1"/>
  <c r="H231" i="10"/>
  <c r="F231" i="10"/>
  <c r="C231" i="10"/>
  <c r="C230" i="10"/>
  <c r="H230" i="10" s="1"/>
  <c r="H229" i="10"/>
  <c r="I229" i="10" s="1"/>
  <c r="C229" i="10"/>
  <c r="F229" i="10" s="1"/>
  <c r="H228" i="10"/>
  <c r="F228" i="10"/>
  <c r="H227" i="10"/>
  <c r="I227" i="10" s="1"/>
  <c r="F227" i="10"/>
  <c r="H226" i="10"/>
  <c r="F226" i="10"/>
  <c r="H223" i="10"/>
  <c r="I223" i="10" s="1"/>
  <c r="F223" i="10"/>
  <c r="I222" i="10"/>
  <c r="H222" i="10"/>
  <c r="F222" i="10"/>
  <c r="H221" i="10"/>
  <c r="F221" i="10"/>
  <c r="C220" i="10"/>
  <c r="I219" i="10"/>
  <c r="H219" i="10"/>
  <c r="F219" i="10"/>
  <c r="C219" i="10"/>
  <c r="I213" i="10"/>
  <c r="H213" i="10"/>
  <c r="F213" i="10"/>
  <c r="H212" i="10"/>
  <c r="I212" i="10" s="1"/>
  <c r="F212" i="10"/>
  <c r="H211" i="10"/>
  <c r="I211" i="10" s="1"/>
  <c r="F211" i="10"/>
  <c r="C210" i="10"/>
  <c r="H210" i="10" s="1"/>
  <c r="H209" i="10"/>
  <c r="I209" i="10" s="1"/>
  <c r="F209" i="10"/>
  <c r="C208" i="10"/>
  <c r="H208" i="10" s="1"/>
  <c r="C207" i="10"/>
  <c r="I206" i="10"/>
  <c r="H206" i="10"/>
  <c r="F206" i="10"/>
  <c r="C206" i="10"/>
  <c r="F205" i="10"/>
  <c r="C205" i="10"/>
  <c r="H205" i="10" s="1"/>
  <c r="C204" i="10"/>
  <c r="I203" i="10"/>
  <c r="H203" i="10"/>
  <c r="F203" i="10"/>
  <c r="C203" i="10"/>
  <c r="C202" i="10"/>
  <c r="H202" i="10" s="1"/>
  <c r="I199" i="10"/>
  <c r="H199" i="10"/>
  <c r="F199" i="10"/>
  <c r="H198" i="10"/>
  <c r="I198" i="10" s="1"/>
  <c r="F198" i="10"/>
  <c r="H197" i="10"/>
  <c r="I197" i="10" s="1"/>
  <c r="F197" i="10"/>
  <c r="H196" i="10"/>
  <c r="F196" i="10"/>
  <c r="I195" i="10"/>
  <c r="H195" i="10"/>
  <c r="F195" i="10"/>
  <c r="H194" i="10"/>
  <c r="I194" i="10" s="1"/>
  <c r="F194" i="10"/>
  <c r="H193" i="10"/>
  <c r="I193" i="10" s="1"/>
  <c r="F193" i="10"/>
  <c r="H192" i="10"/>
  <c r="I192" i="10" s="1"/>
  <c r="F192" i="10"/>
  <c r="I191" i="10"/>
  <c r="H191" i="10"/>
  <c r="F191" i="10"/>
  <c r="H190" i="10"/>
  <c r="I190" i="10" s="1"/>
  <c r="F190" i="10"/>
  <c r="I189" i="10"/>
  <c r="H189" i="10"/>
  <c r="F189" i="10"/>
  <c r="H188" i="10"/>
  <c r="F188" i="10"/>
  <c r="F200" i="10" s="1"/>
  <c r="I187" i="10"/>
  <c r="H187" i="10"/>
  <c r="F187" i="10"/>
  <c r="H186" i="10"/>
  <c r="I186" i="10" s="1"/>
  <c r="F186" i="10"/>
  <c r="H183" i="10"/>
  <c r="I183" i="10" s="1"/>
  <c r="F183" i="10"/>
  <c r="C183" i="10"/>
  <c r="C182" i="10"/>
  <c r="H182" i="10" s="1"/>
  <c r="H181" i="10"/>
  <c r="I181" i="10" s="1"/>
  <c r="C181" i="10"/>
  <c r="F181" i="10" s="1"/>
  <c r="H180" i="10"/>
  <c r="F180" i="10"/>
  <c r="C180" i="10"/>
  <c r="C179" i="10"/>
  <c r="H179" i="10" s="1"/>
  <c r="H176" i="10"/>
  <c r="I176" i="10" s="1"/>
  <c r="F176" i="10"/>
  <c r="H175" i="10"/>
  <c r="I175" i="10" s="1"/>
  <c r="F175" i="10"/>
  <c r="H174" i="10"/>
  <c r="I174" i="10" s="1"/>
  <c r="F174" i="10"/>
  <c r="I173" i="10"/>
  <c r="H173" i="10"/>
  <c r="F173" i="10"/>
  <c r="H172" i="10"/>
  <c r="I172" i="10" s="1"/>
  <c r="F172" i="10"/>
  <c r="H171" i="10"/>
  <c r="I171" i="10" s="1"/>
  <c r="F171" i="10"/>
  <c r="H170" i="10"/>
  <c r="F170" i="10"/>
  <c r="I169" i="10"/>
  <c r="H169" i="10"/>
  <c r="F169" i="10"/>
  <c r="H168" i="10"/>
  <c r="F168" i="10"/>
  <c r="F177" i="10" s="1"/>
  <c r="H165" i="10"/>
  <c r="I165" i="10" s="1"/>
  <c r="F165" i="10"/>
  <c r="H164" i="10"/>
  <c r="I164" i="10" s="1"/>
  <c r="F164" i="10"/>
  <c r="I163" i="10"/>
  <c r="H163" i="10"/>
  <c r="F163" i="10"/>
  <c r="H162" i="10"/>
  <c r="F162" i="10"/>
  <c r="I162" i="10" s="1"/>
  <c r="H161" i="10"/>
  <c r="F161" i="10"/>
  <c r="H160" i="10"/>
  <c r="I160" i="10" s="1"/>
  <c r="F160" i="10"/>
  <c r="I159" i="10"/>
  <c r="H159" i="10"/>
  <c r="F159" i="10"/>
  <c r="H158" i="10"/>
  <c r="F158" i="10"/>
  <c r="I158" i="10" s="1"/>
  <c r="H157" i="10"/>
  <c r="F157" i="10"/>
  <c r="H156" i="10"/>
  <c r="I156" i="10" s="1"/>
  <c r="F156" i="10"/>
  <c r="H155" i="10"/>
  <c r="I155" i="10" s="1"/>
  <c r="F155" i="10"/>
  <c r="H154" i="10"/>
  <c r="F154" i="10"/>
  <c r="I154" i="10" s="1"/>
  <c r="H153" i="10"/>
  <c r="I153" i="10" s="1"/>
  <c r="F153" i="10"/>
  <c r="H152" i="10"/>
  <c r="I152" i="10" s="1"/>
  <c r="F152" i="10"/>
  <c r="H151" i="10"/>
  <c r="I151" i="10" s="1"/>
  <c r="F151" i="10"/>
  <c r="H150" i="10"/>
  <c r="F150" i="10"/>
  <c r="I150" i="10" s="1"/>
  <c r="H149" i="10"/>
  <c r="I149" i="10" s="1"/>
  <c r="F149" i="10"/>
  <c r="H148" i="10"/>
  <c r="I148" i="10" s="1"/>
  <c r="F148" i="10"/>
  <c r="H145" i="10"/>
  <c r="I145" i="10" s="1"/>
  <c r="F145" i="10"/>
  <c r="I144" i="10"/>
  <c r="H144" i="10"/>
  <c r="F144" i="10"/>
  <c r="H143" i="10"/>
  <c r="F143" i="10"/>
  <c r="I142" i="10"/>
  <c r="H142" i="10"/>
  <c r="F142" i="10"/>
  <c r="C141" i="10"/>
  <c r="I140" i="10"/>
  <c r="H140" i="10"/>
  <c r="F140" i="10"/>
  <c r="H139" i="10"/>
  <c r="G139" i="10"/>
  <c r="F139" i="10"/>
  <c r="H136" i="10"/>
  <c r="I136" i="10" s="1"/>
  <c r="F136" i="10"/>
  <c r="C135" i="10"/>
  <c r="H135" i="10" s="1"/>
  <c r="C134" i="10"/>
  <c r="H134" i="10" s="1"/>
  <c r="H133" i="10"/>
  <c r="F133" i="10"/>
  <c r="C133" i="10"/>
  <c r="H132" i="10"/>
  <c r="I132" i="10" s="1"/>
  <c r="F132" i="10"/>
  <c r="I131" i="10"/>
  <c r="H131" i="10"/>
  <c r="F131" i="10"/>
  <c r="C130" i="10"/>
  <c r="I129" i="10"/>
  <c r="H129" i="10"/>
  <c r="F129" i="10"/>
  <c r="H128" i="10"/>
  <c r="F128" i="10"/>
  <c r="H127" i="10"/>
  <c r="I127" i="10" s="1"/>
  <c r="F127" i="10"/>
  <c r="C126" i="10"/>
  <c r="H126" i="10" s="1"/>
  <c r="C125" i="10"/>
  <c r="I124" i="10"/>
  <c r="H124" i="10"/>
  <c r="F124" i="10"/>
  <c r="C124" i="10"/>
  <c r="H121" i="10"/>
  <c r="I121" i="10" s="1"/>
  <c r="F121" i="10"/>
  <c r="I120" i="10"/>
  <c r="H120" i="10"/>
  <c r="C120" i="10"/>
  <c r="F120" i="10" s="1"/>
  <c r="C119" i="10"/>
  <c r="C118" i="10"/>
  <c r="H118" i="10" s="1"/>
  <c r="H117" i="10"/>
  <c r="I117" i="10" s="1"/>
  <c r="C117" i="10"/>
  <c r="F117" i="10" s="1"/>
  <c r="C114" i="10"/>
  <c r="H114" i="10" s="1"/>
  <c r="I113" i="10"/>
  <c r="H113" i="10"/>
  <c r="C113" i="10"/>
  <c r="F113" i="10" s="1"/>
  <c r="I110" i="10"/>
  <c r="H110" i="10"/>
  <c r="F110" i="10"/>
  <c r="H109" i="10"/>
  <c r="I109" i="10" s="1"/>
  <c r="F109" i="10"/>
  <c r="C109" i="10"/>
  <c r="F108" i="10"/>
  <c r="C108" i="10"/>
  <c r="H108" i="10" s="1"/>
  <c r="I108" i="10" s="1"/>
  <c r="I107" i="10"/>
  <c r="H107" i="10"/>
  <c r="C107" i="10"/>
  <c r="F107" i="10" s="1"/>
  <c r="H106" i="10"/>
  <c r="F106" i="10"/>
  <c r="C106" i="10"/>
  <c r="F105" i="10"/>
  <c r="C105" i="10"/>
  <c r="H105" i="10" s="1"/>
  <c r="I105" i="10" s="1"/>
  <c r="H104" i="10"/>
  <c r="C104" i="10"/>
  <c r="F104" i="10" s="1"/>
  <c r="I104" i="10" s="1"/>
  <c r="H103" i="10"/>
  <c r="F103" i="10"/>
  <c r="F111" i="10" s="1"/>
  <c r="C103" i="10"/>
  <c r="F102" i="10"/>
  <c r="C102" i="10"/>
  <c r="H102" i="10" s="1"/>
  <c r="H99" i="10"/>
  <c r="F99" i="10"/>
  <c r="C99" i="10"/>
  <c r="H98" i="10"/>
  <c r="F98" i="10"/>
  <c r="F100" i="10" s="1"/>
  <c r="C95" i="10"/>
  <c r="H95" i="10" s="1"/>
  <c r="C94" i="10"/>
  <c r="H94" i="10" s="1"/>
  <c r="H93" i="10"/>
  <c r="I93" i="10" s="1"/>
  <c r="F93" i="10"/>
  <c r="C93" i="10"/>
  <c r="F92" i="10"/>
  <c r="C92" i="10"/>
  <c r="H92" i="10" s="1"/>
  <c r="C91" i="10"/>
  <c r="H91" i="10" s="1"/>
  <c r="H90" i="10"/>
  <c r="F90" i="10"/>
  <c r="C90" i="10"/>
  <c r="C89" i="10"/>
  <c r="H89" i="10" s="1"/>
  <c r="C88" i="10"/>
  <c r="H88" i="10" s="1"/>
  <c r="H87" i="10"/>
  <c r="I87" i="10" s="1"/>
  <c r="F87" i="10"/>
  <c r="C87" i="10"/>
  <c r="F86" i="10"/>
  <c r="C86" i="10"/>
  <c r="H86" i="10" s="1"/>
  <c r="C85" i="10"/>
  <c r="H85" i="10" s="1"/>
  <c r="H84" i="10"/>
  <c r="F84" i="10"/>
  <c r="C84" i="10"/>
  <c r="C83" i="10"/>
  <c r="H83" i="10" s="1"/>
  <c r="C82" i="10"/>
  <c r="H82" i="10" s="1"/>
  <c r="H81" i="10"/>
  <c r="I81" i="10" s="1"/>
  <c r="F81" i="10"/>
  <c r="C81" i="10"/>
  <c r="F80" i="10"/>
  <c r="C80" i="10"/>
  <c r="H80" i="10" s="1"/>
  <c r="C79" i="10"/>
  <c r="H79" i="10" s="1"/>
  <c r="H78" i="10"/>
  <c r="F78" i="10"/>
  <c r="C78" i="10"/>
  <c r="C77" i="10"/>
  <c r="H77" i="10" s="1"/>
  <c r="C76" i="10"/>
  <c r="H76" i="10" s="1"/>
  <c r="H75" i="10"/>
  <c r="I75" i="10" s="1"/>
  <c r="F75" i="10"/>
  <c r="C75" i="10"/>
  <c r="F74" i="10"/>
  <c r="C74" i="10"/>
  <c r="H74" i="10" s="1"/>
  <c r="I74" i="10" s="1"/>
  <c r="C73" i="10"/>
  <c r="H73" i="10" s="1"/>
  <c r="H72" i="10"/>
  <c r="F72" i="10"/>
  <c r="C72" i="10"/>
  <c r="C71" i="10"/>
  <c r="H71" i="10" s="1"/>
  <c r="C70" i="10"/>
  <c r="H70" i="10" s="1"/>
  <c r="H64" i="10"/>
  <c r="I64" i="10" s="1"/>
  <c r="F64" i="10"/>
  <c r="C63" i="10"/>
  <c r="H63" i="10" s="1"/>
  <c r="F62" i="10"/>
  <c r="C62" i="10"/>
  <c r="H62" i="10" s="1"/>
  <c r="I61" i="10"/>
  <c r="H61" i="10"/>
  <c r="F61" i="10"/>
  <c r="C60" i="10"/>
  <c r="C59" i="10"/>
  <c r="H58" i="10"/>
  <c r="C58" i="10"/>
  <c r="F58" i="10" s="1"/>
  <c r="I58" i="10" s="1"/>
  <c r="C57" i="10"/>
  <c r="C56" i="10"/>
  <c r="H55" i="10"/>
  <c r="I55" i="10" s="1"/>
  <c r="C55" i="10"/>
  <c r="F55" i="10" s="1"/>
  <c r="C54" i="10"/>
  <c r="C53" i="10"/>
  <c r="H52" i="10"/>
  <c r="C52" i="10"/>
  <c r="F52" i="10" s="1"/>
  <c r="I52" i="10" s="1"/>
  <c r="C51" i="10"/>
  <c r="C50" i="10"/>
  <c r="H49" i="10"/>
  <c r="I49" i="10" s="1"/>
  <c r="C49" i="10"/>
  <c r="F49" i="10" s="1"/>
  <c r="C48" i="10"/>
  <c r="C47" i="10"/>
  <c r="H46" i="10"/>
  <c r="C46" i="10"/>
  <c r="F46" i="10" s="1"/>
  <c r="C43" i="10"/>
  <c r="H42" i="10"/>
  <c r="I42" i="10" s="1"/>
  <c r="C42" i="10"/>
  <c r="F42" i="10" s="1"/>
  <c r="C41" i="10"/>
  <c r="C40" i="10"/>
  <c r="H39" i="10"/>
  <c r="C39" i="10"/>
  <c r="F39" i="10" s="1"/>
  <c r="I39" i="10" s="1"/>
  <c r="I36" i="10"/>
  <c r="H36" i="10"/>
  <c r="F36" i="10"/>
  <c r="H35" i="10"/>
  <c r="I35" i="10" s="1"/>
  <c r="F35" i="10"/>
  <c r="C34" i="10"/>
  <c r="H34" i="10" s="1"/>
  <c r="H33" i="10"/>
  <c r="F33" i="10"/>
  <c r="C33" i="10"/>
  <c r="C32" i="10"/>
  <c r="F32" i="10" s="1"/>
  <c r="H29" i="10"/>
  <c r="F29" i="10"/>
  <c r="C29" i="10"/>
  <c r="H28" i="10"/>
  <c r="I28" i="10" s="1"/>
  <c r="F28" i="10"/>
  <c r="C28" i="10"/>
  <c r="H27" i="10"/>
  <c r="I27" i="10" s="1"/>
  <c r="F27" i="10"/>
  <c r="C26" i="10"/>
  <c r="H26" i="10" s="1"/>
  <c r="C25" i="10"/>
  <c r="H25" i="10" s="1"/>
  <c r="H22" i="10"/>
  <c r="F22" i="10"/>
  <c r="I22" i="10" s="1"/>
  <c r="I21" i="10"/>
  <c r="H21" i="10"/>
  <c r="F21" i="10"/>
  <c r="I20" i="10"/>
  <c r="H20" i="10"/>
  <c r="F20" i="10"/>
  <c r="C20" i="10"/>
  <c r="H19" i="10"/>
  <c r="F19" i="10"/>
  <c r="I19" i="10" s="1"/>
  <c r="H18" i="10"/>
  <c r="F18" i="10"/>
  <c r="C18" i="10"/>
  <c r="H15" i="10"/>
  <c r="I15" i="10" s="1"/>
  <c r="F15" i="10"/>
  <c r="C14" i="10"/>
  <c r="H14" i="10" s="1"/>
  <c r="I11" i="10"/>
  <c r="H11" i="10"/>
  <c r="F11" i="10"/>
  <c r="C11" i="10"/>
  <c r="H10" i="10"/>
  <c r="F10" i="10"/>
  <c r="I10" i="10" s="1"/>
  <c r="C9" i="10"/>
  <c r="H8" i="10"/>
  <c r="I8" i="10" s="1"/>
  <c r="C8" i="10"/>
  <c r="F8" i="10" s="1"/>
  <c r="C264" i="8"/>
  <c r="C9" i="8"/>
  <c r="C10" i="8"/>
  <c r="C11" i="8"/>
  <c r="C12" i="8"/>
  <c r="C13" i="8"/>
  <c r="C14" i="8"/>
  <c r="H14" i="8" s="1"/>
  <c r="C15" i="8"/>
  <c r="C16" i="8"/>
  <c r="C17" i="8"/>
  <c r="C18" i="8"/>
  <c r="F18" i="8" s="1"/>
  <c r="C19" i="8"/>
  <c r="F19" i="8" s="1"/>
  <c r="C20" i="8"/>
  <c r="F20" i="8" s="1"/>
  <c r="C21" i="8"/>
  <c r="C22" i="8"/>
  <c r="C23" i="8"/>
  <c r="C24" i="8"/>
  <c r="C25" i="8"/>
  <c r="C26" i="8"/>
  <c r="C27" i="8"/>
  <c r="C28" i="8"/>
  <c r="F28" i="8" s="1"/>
  <c r="C29" i="8"/>
  <c r="H29" i="8" s="1"/>
  <c r="C30" i="8"/>
  <c r="C31" i="8"/>
  <c r="C32" i="8"/>
  <c r="H32" i="8" s="1"/>
  <c r="C33" i="8"/>
  <c r="C34" i="8"/>
  <c r="C35" i="8"/>
  <c r="C36" i="8"/>
  <c r="C37" i="8"/>
  <c r="C38" i="8"/>
  <c r="C39" i="8"/>
  <c r="H39" i="8" s="1"/>
  <c r="C40" i="8"/>
  <c r="H40" i="8" s="1"/>
  <c r="C41" i="8"/>
  <c r="H41" i="8" s="1"/>
  <c r="C42" i="8"/>
  <c r="C43" i="8"/>
  <c r="H43" i="8" s="1"/>
  <c r="I43" i="8" s="1"/>
  <c r="C44" i="8"/>
  <c r="C45" i="8"/>
  <c r="C46" i="8"/>
  <c r="C47" i="8"/>
  <c r="C48" i="8"/>
  <c r="C49" i="8"/>
  <c r="C50" i="8"/>
  <c r="H50" i="8" s="1"/>
  <c r="C51" i="8"/>
  <c r="H51" i="8" s="1"/>
  <c r="C52" i="8"/>
  <c r="C53" i="8"/>
  <c r="C54" i="8"/>
  <c r="H54" i="8" s="1"/>
  <c r="I54" i="8" s="1"/>
  <c r="C55" i="8"/>
  <c r="C56" i="8"/>
  <c r="C57" i="8"/>
  <c r="C58" i="8"/>
  <c r="C59" i="8"/>
  <c r="C60" i="8"/>
  <c r="F60" i="8" s="1"/>
  <c r="C61" i="8"/>
  <c r="C62" i="8"/>
  <c r="C63" i="8"/>
  <c r="C64" i="8"/>
  <c r="H64" i="8" s="1"/>
  <c r="C65" i="8"/>
  <c r="C66" i="8"/>
  <c r="C269" i="8" s="1"/>
  <c r="C67" i="8"/>
  <c r="C68" i="8"/>
  <c r="C69" i="8"/>
  <c r="C70" i="8"/>
  <c r="C71" i="8"/>
  <c r="C72" i="8"/>
  <c r="F72" i="8" s="1"/>
  <c r="C73" i="8"/>
  <c r="C74" i="8"/>
  <c r="C75" i="8"/>
  <c r="C76" i="8"/>
  <c r="H76" i="8" s="1"/>
  <c r="C77" i="8"/>
  <c r="H77" i="8" s="1"/>
  <c r="C78" i="8"/>
  <c r="H78" i="8" s="1"/>
  <c r="C79" i="8"/>
  <c r="C80" i="8"/>
  <c r="H80" i="8" s="1"/>
  <c r="C81" i="8"/>
  <c r="C82" i="8"/>
  <c r="C83" i="8"/>
  <c r="C84" i="8"/>
  <c r="H84" i="8" s="1"/>
  <c r="C85" i="8"/>
  <c r="C86" i="8"/>
  <c r="C87" i="8"/>
  <c r="C88" i="8"/>
  <c r="H88" i="8" s="1"/>
  <c r="C89" i="8"/>
  <c r="F89" i="8" s="1"/>
  <c r="C90" i="8"/>
  <c r="H90" i="8" s="1"/>
  <c r="C91" i="8"/>
  <c r="H91" i="8" s="1"/>
  <c r="C92" i="8"/>
  <c r="H92" i="8" s="1"/>
  <c r="C93" i="8"/>
  <c r="C94" i="8"/>
  <c r="C95" i="8"/>
  <c r="C96" i="8"/>
  <c r="C97" i="8"/>
  <c r="C98" i="8"/>
  <c r="H98" i="8" s="1"/>
  <c r="C99" i="8"/>
  <c r="H99" i="8" s="1"/>
  <c r="C100" i="8"/>
  <c r="C101" i="8"/>
  <c r="C102" i="8"/>
  <c r="C103" i="8"/>
  <c r="H103" i="8" s="1"/>
  <c r="C104" i="8"/>
  <c r="F104" i="8" s="1"/>
  <c r="C105" i="8"/>
  <c r="C106" i="8"/>
  <c r="C107" i="8"/>
  <c r="C108" i="8"/>
  <c r="C109" i="8"/>
  <c r="C110" i="8"/>
  <c r="H110" i="8" s="1"/>
  <c r="C111" i="8"/>
  <c r="C112" i="8"/>
  <c r="C113" i="8"/>
  <c r="C114" i="8"/>
  <c r="C115" i="8"/>
  <c r="C116" i="8"/>
  <c r="C117" i="8"/>
  <c r="C118" i="8"/>
  <c r="C119" i="8"/>
  <c r="C120" i="8"/>
  <c r="H120" i="8" s="1"/>
  <c r="C121" i="8"/>
  <c r="H121" i="8" s="1"/>
  <c r="C122" i="8"/>
  <c r="C123" i="8"/>
  <c r="C124" i="8"/>
  <c r="H124" i="8" s="1"/>
  <c r="C125" i="8"/>
  <c r="C126" i="8"/>
  <c r="C127" i="8"/>
  <c r="F127" i="8" s="1"/>
  <c r="C128" i="8"/>
  <c r="C129" i="8"/>
  <c r="C130" i="8"/>
  <c r="C131" i="8"/>
  <c r="F131" i="8" s="1"/>
  <c r="C132" i="8"/>
  <c r="C133" i="8"/>
  <c r="C134" i="8"/>
  <c r="C135" i="8"/>
  <c r="H135" i="8" s="1"/>
  <c r="C136" i="8"/>
  <c r="H136" i="8" s="1"/>
  <c r="C137" i="8"/>
  <c r="C138" i="8"/>
  <c r="C139" i="8"/>
  <c r="C140" i="8"/>
  <c r="C141" i="8"/>
  <c r="C142" i="8"/>
  <c r="C143" i="8"/>
  <c r="C144" i="8"/>
  <c r="F144" i="8" s="1"/>
  <c r="C145" i="8"/>
  <c r="C146" i="8"/>
  <c r="C147" i="8"/>
  <c r="C148" i="8"/>
  <c r="H148" i="8" s="1"/>
  <c r="C149" i="8"/>
  <c r="H149" i="8" s="1"/>
  <c r="C150" i="8"/>
  <c r="H150" i="8" s="1"/>
  <c r="C151" i="8"/>
  <c r="C152" i="8"/>
  <c r="C153" i="8"/>
  <c r="C154" i="8"/>
  <c r="C155" i="8"/>
  <c r="C156" i="8"/>
  <c r="H156" i="8" s="1"/>
  <c r="C157" i="8"/>
  <c r="C158" i="8"/>
  <c r="C159" i="8"/>
  <c r="C160" i="8"/>
  <c r="H160" i="8" s="1"/>
  <c r="C161" i="8"/>
  <c r="F161" i="8" s="1"/>
  <c r="C162" i="8"/>
  <c r="H162" i="8" s="1"/>
  <c r="C163" i="8"/>
  <c r="C164" i="8"/>
  <c r="C165" i="8"/>
  <c r="C166" i="8"/>
  <c r="C167" i="8"/>
  <c r="C168" i="8"/>
  <c r="F168" i="8" s="1"/>
  <c r="C169" i="8"/>
  <c r="H169" i="8" s="1"/>
  <c r="C170" i="8"/>
  <c r="F170" i="8" s="1"/>
  <c r="C171" i="8"/>
  <c r="C172" i="8"/>
  <c r="H172" i="8" s="1"/>
  <c r="I172" i="8" s="1"/>
  <c r="C173" i="8"/>
  <c r="H173" i="8" s="1"/>
  <c r="C174" i="8"/>
  <c r="H174" i="8" s="1"/>
  <c r="C175" i="8"/>
  <c r="F175" i="8" s="1"/>
  <c r="C176" i="8"/>
  <c r="C177" i="8"/>
  <c r="C178" i="8"/>
  <c r="C179" i="8"/>
  <c r="C180" i="8"/>
  <c r="C181" i="8"/>
  <c r="C182" i="8"/>
  <c r="H182" i="8" s="1"/>
  <c r="C183" i="8"/>
  <c r="H183" i="8" s="1"/>
  <c r="C184" i="8"/>
  <c r="C185" i="8"/>
  <c r="C186" i="8"/>
  <c r="F186" i="8" s="1"/>
  <c r="C187" i="8"/>
  <c r="H187" i="8" s="1"/>
  <c r="C188" i="8"/>
  <c r="C189" i="8"/>
  <c r="C190" i="8"/>
  <c r="C191" i="8"/>
  <c r="F191" i="8" s="1"/>
  <c r="C192" i="8"/>
  <c r="C193" i="8"/>
  <c r="C194" i="8"/>
  <c r="H194" i="8" s="1"/>
  <c r="I194" i="8" s="1"/>
  <c r="C195" i="8"/>
  <c r="H195" i="8" s="1"/>
  <c r="C196" i="8"/>
  <c r="F196" i="8" s="1"/>
  <c r="C197" i="8"/>
  <c r="C198" i="8"/>
  <c r="H198" i="8" s="1"/>
  <c r="C199" i="8"/>
  <c r="H199" i="8" s="1"/>
  <c r="C200" i="8"/>
  <c r="C201" i="8"/>
  <c r="C202" i="8"/>
  <c r="C203" i="8"/>
  <c r="C204" i="8"/>
  <c r="C205" i="8"/>
  <c r="C206" i="8"/>
  <c r="C207" i="8"/>
  <c r="F207" i="8" s="1"/>
  <c r="C208" i="8"/>
  <c r="H208" i="8" s="1"/>
  <c r="C209" i="8"/>
  <c r="C210" i="8"/>
  <c r="C211" i="8"/>
  <c r="F211" i="8" s="1"/>
  <c r="C212" i="8"/>
  <c r="C213" i="8"/>
  <c r="C214" i="8"/>
  <c r="C215" i="8"/>
  <c r="C216" i="8"/>
  <c r="C217" i="8"/>
  <c r="C218" i="8"/>
  <c r="C219" i="8"/>
  <c r="F219" i="8" s="1"/>
  <c r="C220" i="8"/>
  <c r="C221" i="8"/>
  <c r="C222" i="8"/>
  <c r="H222" i="8" s="1"/>
  <c r="C223" i="8"/>
  <c r="H223" i="8" s="1"/>
  <c r="C224" i="8"/>
  <c r="C225" i="8"/>
  <c r="C226" i="8"/>
  <c r="C227" i="8"/>
  <c r="F227" i="8" s="1"/>
  <c r="C228" i="8"/>
  <c r="C229" i="8"/>
  <c r="C230" i="8"/>
  <c r="C231" i="8"/>
  <c r="H231" i="8" s="1"/>
  <c r="C232" i="8"/>
  <c r="C233" i="8"/>
  <c r="C234" i="8"/>
  <c r="H234" i="8" s="1"/>
  <c r="H235" i="8" s="1"/>
  <c r="C235" i="8"/>
  <c r="C236" i="8"/>
  <c r="C237" i="8"/>
  <c r="C238" i="8"/>
  <c r="C239" i="8"/>
  <c r="C240" i="8"/>
  <c r="C241" i="8"/>
  <c r="C271" i="8" s="1"/>
  <c r="C242" i="8"/>
  <c r="C243" i="8"/>
  <c r="C244" i="8"/>
  <c r="H244" i="8" s="1"/>
  <c r="I244" i="8" s="1"/>
  <c r="C245" i="8"/>
  <c r="H245" i="8" s="1"/>
  <c r="C246" i="8"/>
  <c r="C247" i="8"/>
  <c r="H247" i="8" s="1"/>
  <c r="C248" i="8"/>
  <c r="C249" i="8"/>
  <c r="C250" i="8"/>
  <c r="C251" i="8"/>
  <c r="C252" i="8"/>
  <c r="C253" i="8"/>
  <c r="C254" i="8"/>
  <c r="C255" i="8"/>
  <c r="H255" i="8" s="1"/>
  <c r="C256" i="8"/>
  <c r="H256" i="8" s="1"/>
  <c r="C257" i="8"/>
  <c r="F257" i="8" s="1"/>
  <c r="C258" i="8"/>
  <c r="C259" i="8"/>
  <c r="F259" i="8" s="1"/>
  <c r="C260" i="8"/>
  <c r="C261" i="8"/>
  <c r="C262" i="8"/>
  <c r="H262" i="8" s="1"/>
  <c r="I262" i="8" s="1"/>
  <c r="C263" i="8"/>
  <c r="C265" i="8"/>
  <c r="G272" i="8"/>
  <c r="E272" i="8"/>
  <c r="D272" i="8"/>
  <c r="C272" i="8"/>
  <c r="B272" i="8"/>
  <c r="A272" i="8"/>
  <c r="G271" i="8"/>
  <c r="E271" i="8"/>
  <c r="D271" i="8"/>
  <c r="B271" i="8"/>
  <c r="A271" i="8"/>
  <c r="G270" i="8"/>
  <c r="E270" i="8"/>
  <c r="D270" i="8"/>
  <c r="C270" i="8"/>
  <c r="B270" i="8"/>
  <c r="A270" i="8"/>
  <c r="G269" i="8"/>
  <c r="E269" i="8"/>
  <c r="D269" i="8"/>
  <c r="B269" i="8"/>
  <c r="A269" i="8"/>
  <c r="H265" i="8"/>
  <c r="F265" i="8"/>
  <c r="H264" i="8"/>
  <c r="F264" i="8"/>
  <c r="H263" i="8"/>
  <c r="F263" i="8"/>
  <c r="I263" i="8" s="1"/>
  <c r="F262" i="8"/>
  <c r="H261" i="8"/>
  <c r="F261" i="8"/>
  <c r="H258" i="8"/>
  <c r="F258" i="8"/>
  <c r="H257" i="8"/>
  <c r="H254" i="8"/>
  <c r="H253" i="8"/>
  <c r="F253" i="8"/>
  <c r="H251" i="8"/>
  <c r="H250" i="8"/>
  <c r="F250" i="8"/>
  <c r="F244" i="8"/>
  <c r="H239" i="8"/>
  <c r="F239" i="8"/>
  <c r="H238" i="8"/>
  <c r="F238" i="8"/>
  <c r="H237" i="8"/>
  <c r="F237" i="8"/>
  <c r="H230" i="8"/>
  <c r="F230" i="8"/>
  <c r="H229" i="8"/>
  <c r="H228" i="8"/>
  <c r="F228" i="8"/>
  <c r="H227" i="8"/>
  <c r="I227" i="8" s="1"/>
  <c r="H226" i="8"/>
  <c r="I226" i="8" s="1"/>
  <c r="F226" i="8"/>
  <c r="H221" i="8"/>
  <c r="F221" i="8"/>
  <c r="H220" i="8"/>
  <c r="H213" i="8"/>
  <c r="F213" i="8"/>
  <c r="H210" i="8"/>
  <c r="H209" i="8"/>
  <c r="F209" i="8"/>
  <c r="H206" i="8"/>
  <c r="H205" i="8"/>
  <c r="I205" i="8" s="1"/>
  <c r="F205" i="8"/>
  <c r="F204" i="8"/>
  <c r="H204" i="8"/>
  <c r="H203" i="8"/>
  <c r="H202" i="8"/>
  <c r="I202" i="8" s="1"/>
  <c r="F202" i="8"/>
  <c r="H197" i="8"/>
  <c r="I197" i="8" s="1"/>
  <c r="F197" i="8"/>
  <c r="H196" i="8"/>
  <c r="F194" i="8"/>
  <c r="H193" i="8"/>
  <c r="I193" i="8" s="1"/>
  <c r="F193" i="8"/>
  <c r="H192" i="8"/>
  <c r="F192" i="8"/>
  <c r="H191" i="8"/>
  <c r="H190" i="8"/>
  <c r="F190" i="8"/>
  <c r="H189" i="8"/>
  <c r="F189" i="8"/>
  <c r="I189" i="8" s="1"/>
  <c r="H186" i="8"/>
  <c r="H181" i="8"/>
  <c r="F180" i="8"/>
  <c r="H180" i="8"/>
  <c r="I180" i="8" s="1"/>
  <c r="H179" i="8"/>
  <c r="F179" i="8"/>
  <c r="H175" i="8"/>
  <c r="I175" i="8" s="1"/>
  <c r="F172" i="8"/>
  <c r="H171" i="8"/>
  <c r="F171" i="8"/>
  <c r="I170" i="8"/>
  <c r="H170" i="8"/>
  <c r="H168" i="8"/>
  <c r="H165" i="8"/>
  <c r="F165" i="8"/>
  <c r="H163" i="8"/>
  <c r="F163" i="8"/>
  <c r="H159" i="8"/>
  <c r="F159" i="8"/>
  <c r="H158" i="8"/>
  <c r="F158" i="8"/>
  <c r="H157" i="8"/>
  <c r="F157" i="8"/>
  <c r="H155" i="8"/>
  <c r="F155" i="8"/>
  <c r="H154" i="8"/>
  <c r="F154" i="8"/>
  <c r="H153" i="8"/>
  <c r="F153" i="8"/>
  <c r="H151" i="8"/>
  <c r="F151" i="8"/>
  <c r="H145" i="8"/>
  <c r="F145" i="8"/>
  <c r="H144" i="8"/>
  <c r="I144" i="8" s="1"/>
  <c r="H143" i="8"/>
  <c r="F143" i="8"/>
  <c r="H142" i="8"/>
  <c r="F142" i="8"/>
  <c r="H141" i="8"/>
  <c r="I141" i="8" s="1"/>
  <c r="F141" i="8"/>
  <c r="G139" i="8"/>
  <c r="H139" i="8" s="1"/>
  <c r="F139" i="8"/>
  <c r="H134" i="8"/>
  <c r="H133" i="8"/>
  <c r="I133" i="8" s="1"/>
  <c r="F133" i="8"/>
  <c r="H132" i="8"/>
  <c r="F132" i="8"/>
  <c r="H131" i="8"/>
  <c r="H130" i="8"/>
  <c r="I130" i="8" s="1"/>
  <c r="F130" i="8"/>
  <c r="H129" i="8"/>
  <c r="F129" i="8"/>
  <c r="I129" i="8" s="1"/>
  <c r="H126" i="8"/>
  <c r="F126" i="8"/>
  <c r="F121" i="8"/>
  <c r="H119" i="8"/>
  <c r="F119" i="8"/>
  <c r="H118" i="8"/>
  <c r="H117" i="8"/>
  <c r="H114" i="8"/>
  <c r="H113" i="8"/>
  <c r="H115" i="8" s="1"/>
  <c r="F113" i="8"/>
  <c r="F108" i="8"/>
  <c r="H108" i="8"/>
  <c r="I108" i="8" s="1"/>
  <c r="H107" i="8"/>
  <c r="F107" i="8"/>
  <c r="H106" i="8"/>
  <c r="H105" i="8"/>
  <c r="F105" i="8"/>
  <c r="F98" i="8"/>
  <c r="H95" i="8"/>
  <c r="H94" i="8"/>
  <c r="H93" i="8"/>
  <c r="F93" i="8"/>
  <c r="H87" i="8"/>
  <c r="I87" i="8" s="1"/>
  <c r="F87" i="8"/>
  <c r="H86" i="8"/>
  <c r="H85" i="8"/>
  <c r="H83" i="8"/>
  <c r="H82" i="8"/>
  <c r="F82" i="8"/>
  <c r="H81" i="8"/>
  <c r="I81" i="8" s="1"/>
  <c r="F81" i="8"/>
  <c r="H79" i="8"/>
  <c r="F79" i="8"/>
  <c r="H75" i="8"/>
  <c r="I75" i="8" s="1"/>
  <c r="F75" i="8"/>
  <c r="H74" i="8"/>
  <c r="F73" i="8"/>
  <c r="H72" i="8"/>
  <c r="I72" i="8" s="1"/>
  <c r="F71" i="8"/>
  <c r="H71" i="8"/>
  <c r="H70" i="8"/>
  <c r="H63" i="8"/>
  <c r="F63" i="8"/>
  <c r="I63" i="8" s="1"/>
  <c r="H61" i="8"/>
  <c r="F61" i="8"/>
  <c r="H60" i="8"/>
  <c r="H59" i="8"/>
  <c r="H58" i="8"/>
  <c r="H57" i="8"/>
  <c r="I57" i="8" s="1"/>
  <c r="F57" i="8"/>
  <c r="F54" i="8"/>
  <c r="H53" i="8"/>
  <c r="H52" i="8"/>
  <c r="F49" i="8"/>
  <c r="H48" i="8"/>
  <c r="F48" i="8"/>
  <c r="H47" i="8"/>
  <c r="H46" i="8"/>
  <c r="F42" i="8"/>
  <c r="H42" i="8"/>
  <c r="H36" i="8"/>
  <c r="F36" i="8"/>
  <c r="H35" i="8"/>
  <c r="F35" i="8"/>
  <c r="H34" i="8"/>
  <c r="F34" i="8"/>
  <c r="H33" i="8"/>
  <c r="F33" i="8"/>
  <c r="H27" i="8"/>
  <c r="F27" i="8"/>
  <c r="H26" i="8"/>
  <c r="F26" i="8"/>
  <c r="H22" i="8"/>
  <c r="I22" i="8" s="1"/>
  <c r="F22" i="8"/>
  <c r="H21" i="8"/>
  <c r="I21" i="8" s="1"/>
  <c r="F21" i="8"/>
  <c r="H20" i="8"/>
  <c r="H19" i="8"/>
  <c r="H18" i="8"/>
  <c r="H23" i="8" s="1"/>
  <c r="H15" i="8"/>
  <c r="F15" i="8"/>
  <c r="H11" i="8"/>
  <c r="F11" i="8"/>
  <c r="H10" i="8"/>
  <c r="F10" i="8"/>
  <c r="H9" i="8"/>
  <c r="F9" i="8"/>
  <c r="C9" i="5"/>
  <c r="C10" i="5"/>
  <c r="C11" i="5"/>
  <c r="C12" i="5"/>
  <c r="C13" i="5"/>
  <c r="C14" i="5"/>
  <c r="H14" i="5" s="1"/>
  <c r="C15" i="5"/>
  <c r="C16" i="5"/>
  <c r="C17" i="5"/>
  <c r="C18" i="5"/>
  <c r="F18" i="5" s="1"/>
  <c r="C19" i="5"/>
  <c r="F19" i="5" s="1"/>
  <c r="C20" i="5"/>
  <c r="F20" i="5" s="1"/>
  <c r="C21" i="5"/>
  <c r="C22" i="5"/>
  <c r="C23" i="5"/>
  <c r="C24" i="5"/>
  <c r="C25" i="5"/>
  <c r="H25" i="5" s="1"/>
  <c r="C26" i="5"/>
  <c r="F26" i="5" s="1"/>
  <c r="C27" i="5"/>
  <c r="C28" i="5"/>
  <c r="C29" i="5"/>
  <c r="H29" i="5" s="1"/>
  <c r="C30" i="5"/>
  <c r="C31" i="5"/>
  <c r="C32" i="5"/>
  <c r="H32" i="5" s="1"/>
  <c r="C33" i="5"/>
  <c r="C34" i="5"/>
  <c r="C35" i="5"/>
  <c r="F35" i="5" s="1"/>
  <c r="C36" i="5"/>
  <c r="C37" i="5"/>
  <c r="C38" i="5"/>
  <c r="C39" i="5"/>
  <c r="C40" i="5"/>
  <c r="F40" i="5" s="1"/>
  <c r="C41" i="5"/>
  <c r="H41" i="5" s="1"/>
  <c r="C42" i="5"/>
  <c r="C43" i="5"/>
  <c r="H43" i="5" s="1"/>
  <c r="I43" i="5" s="1"/>
  <c r="C44" i="5"/>
  <c r="C45" i="5"/>
  <c r="C46" i="5"/>
  <c r="C47" i="5"/>
  <c r="C48" i="5"/>
  <c r="C49" i="5"/>
  <c r="C50" i="5"/>
  <c r="C51" i="5"/>
  <c r="C52" i="5"/>
  <c r="H52" i="5" s="1"/>
  <c r="C53" i="5"/>
  <c r="H53" i="5" s="1"/>
  <c r="C54" i="5"/>
  <c r="C55" i="5"/>
  <c r="H55" i="5" s="1"/>
  <c r="C56" i="5"/>
  <c r="H56" i="5" s="1"/>
  <c r="C57" i="5"/>
  <c r="C58" i="5"/>
  <c r="C59" i="5"/>
  <c r="C60" i="5"/>
  <c r="C61" i="5"/>
  <c r="H61" i="5" s="1"/>
  <c r="C62" i="5"/>
  <c r="H62" i="5" s="1"/>
  <c r="C63" i="5"/>
  <c r="C64" i="5"/>
  <c r="F64" i="5" s="1"/>
  <c r="C65" i="5"/>
  <c r="C66" i="5"/>
  <c r="C269" i="5" s="1"/>
  <c r="C67" i="5"/>
  <c r="C68" i="5"/>
  <c r="C69" i="5"/>
  <c r="C70" i="5"/>
  <c r="C71" i="5"/>
  <c r="C72" i="5"/>
  <c r="C73" i="5"/>
  <c r="C74" i="5"/>
  <c r="H74" i="5" s="1"/>
  <c r="C75" i="5"/>
  <c r="H75" i="5" s="1"/>
  <c r="C76" i="5"/>
  <c r="H76" i="5" s="1"/>
  <c r="C77" i="5"/>
  <c r="F77" i="5" s="1"/>
  <c r="C78" i="5"/>
  <c r="H78" i="5" s="1"/>
  <c r="C79" i="5"/>
  <c r="H79" i="5" s="1"/>
  <c r="C80" i="5"/>
  <c r="H80" i="5" s="1"/>
  <c r="C81" i="5"/>
  <c r="C82" i="5"/>
  <c r="C83" i="5"/>
  <c r="C84" i="5"/>
  <c r="H84" i="5" s="1"/>
  <c r="C85" i="5"/>
  <c r="H85" i="5" s="1"/>
  <c r="C86" i="5"/>
  <c r="F86" i="5" s="1"/>
  <c r="C87" i="5"/>
  <c r="C88" i="5"/>
  <c r="H88" i="5" s="1"/>
  <c r="C89" i="5"/>
  <c r="H89" i="5" s="1"/>
  <c r="C90" i="5"/>
  <c r="H90" i="5" s="1"/>
  <c r="C91" i="5"/>
  <c r="H91" i="5" s="1"/>
  <c r="C92" i="5"/>
  <c r="C93" i="5"/>
  <c r="C94" i="5"/>
  <c r="C95" i="5"/>
  <c r="F95" i="5" s="1"/>
  <c r="C96" i="5"/>
  <c r="C97" i="5"/>
  <c r="C98" i="5"/>
  <c r="C99" i="5"/>
  <c r="C100" i="5"/>
  <c r="C101" i="5"/>
  <c r="C102" i="5"/>
  <c r="H102" i="5" s="1"/>
  <c r="C103" i="5"/>
  <c r="H103" i="5" s="1"/>
  <c r="C104" i="5"/>
  <c r="C105" i="5"/>
  <c r="C106" i="5"/>
  <c r="C107" i="5"/>
  <c r="C108" i="5"/>
  <c r="C109" i="5"/>
  <c r="C110" i="5"/>
  <c r="H110" i="5" s="1"/>
  <c r="C111" i="5"/>
  <c r="C112" i="5"/>
  <c r="C113" i="5"/>
  <c r="H113" i="5" s="1"/>
  <c r="C114" i="5"/>
  <c r="H114" i="5" s="1"/>
  <c r="C115" i="5"/>
  <c r="C116" i="5"/>
  <c r="C117" i="5"/>
  <c r="C118" i="5"/>
  <c r="C119" i="5"/>
  <c r="C120" i="5"/>
  <c r="C121" i="5"/>
  <c r="C122" i="5"/>
  <c r="C123" i="5"/>
  <c r="C124" i="5"/>
  <c r="H124" i="5" s="1"/>
  <c r="C125" i="5"/>
  <c r="H125" i="5" s="1"/>
  <c r="C126" i="5"/>
  <c r="C127" i="5"/>
  <c r="C128" i="5"/>
  <c r="F128" i="5" s="1"/>
  <c r="C129" i="5"/>
  <c r="C130" i="5"/>
  <c r="C131" i="5"/>
  <c r="C132" i="5"/>
  <c r="H132" i="5" s="1"/>
  <c r="I132" i="5" s="1"/>
  <c r="C133" i="5"/>
  <c r="H133" i="5" s="1"/>
  <c r="C134" i="5"/>
  <c r="H134" i="5" s="1"/>
  <c r="C135" i="5"/>
  <c r="F135" i="5" s="1"/>
  <c r="C136" i="5"/>
  <c r="C137" i="5"/>
  <c r="C138" i="5"/>
  <c r="C139" i="5"/>
  <c r="F139" i="5" s="1"/>
  <c r="C140" i="5"/>
  <c r="C141" i="5"/>
  <c r="C142" i="5"/>
  <c r="C143" i="5"/>
  <c r="C144" i="5"/>
  <c r="C145" i="5"/>
  <c r="C146" i="5"/>
  <c r="C147" i="5"/>
  <c r="C148" i="5"/>
  <c r="C149" i="5"/>
  <c r="C150" i="5"/>
  <c r="F150" i="5" s="1"/>
  <c r="C151" i="5"/>
  <c r="H151" i="5" s="1"/>
  <c r="C152" i="5"/>
  <c r="H152" i="5" s="1"/>
  <c r="C153" i="5"/>
  <c r="C154" i="5"/>
  <c r="C155" i="5"/>
  <c r="H155" i="5" s="1"/>
  <c r="C156" i="5"/>
  <c r="F156" i="5" s="1"/>
  <c r="C157" i="5"/>
  <c r="C158" i="5"/>
  <c r="C159" i="5"/>
  <c r="H159" i="5" s="1"/>
  <c r="C160" i="5"/>
  <c r="C161" i="5"/>
  <c r="C162" i="5"/>
  <c r="F162" i="5" s="1"/>
  <c r="C163" i="5"/>
  <c r="H163" i="5" s="1"/>
  <c r="C164" i="5"/>
  <c r="F164" i="5" s="1"/>
  <c r="C165" i="5"/>
  <c r="C166" i="5"/>
  <c r="C167" i="5"/>
  <c r="C168" i="5"/>
  <c r="C169" i="5"/>
  <c r="H169" i="5" s="1"/>
  <c r="C170" i="5"/>
  <c r="C171" i="5"/>
  <c r="H171" i="5" s="1"/>
  <c r="C172" i="5"/>
  <c r="H172" i="5" s="1"/>
  <c r="C173" i="5"/>
  <c r="C174" i="5"/>
  <c r="F174" i="5" s="1"/>
  <c r="C175" i="5"/>
  <c r="H175" i="5" s="1"/>
  <c r="C176" i="5"/>
  <c r="H176" i="5" s="1"/>
  <c r="C177" i="5"/>
  <c r="C178" i="5"/>
  <c r="C179" i="5"/>
  <c r="C180" i="5"/>
  <c r="H180" i="5" s="1"/>
  <c r="C181" i="5"/>
  <c r="H181" i="5" s="1"/>
  <c r="C182" i="5"/>
  <c r="C183" i="5"/>
  <c r="H183" i="5" s="1"/>
  <c r="C184" i="5"/>
  <c r="C185" i="5"/>
  <c r="C186" i="5"/>
  <c r="H186" i="5" s="1"/>
  <c r="C187" i="5"/>
  <c r="H187" i="5" s="1"/>
  <c r="C188" i="5"/>
  <c r="C189" i="5"/>
  <c r="C190" i="5"/>
  <c r="C191" i="5"/>
  <c r="C192" i="5"/>
  <c r="C193" i="5"/>
  <c r="C194" i="5"/>
  <c r="H194" i="5" s="1"/>
  <c r="C195" i="5"/>
  <c r="C196" i="5"/>
  <c r="F196" i="5" s="1"/>
  <c r="C197" i="5"/>
  <c r="C198" i="5"/>
  <c r="H198" i="5" s="1"/>
  <c r="I198" i="5" s="1"/>
  <c r="C199" i="5"/>
  <c r="H199" i="5" s="1"/>
  <c r="C200" i="5"/>
  <c r="C201" i="5"/>
  <c r="C202" i="5"/>
  <c r="C203" i="5"/>
  <c r="C204" i="5"/>
  <c r="F204" i="5" s="1"/>
  <c r="C205" i="5"/>
  <c r="H205" i="5" s="1"/>
  <c r="C206" i="5"/>
  <c r="C207" i="5"/>
  <c r="F207" i="5" s="1"/>
  <c r="C208" i="5"/>
  <c r="H208" i="5" s="1"/>
  <c r="C209" i="5"/>
  <c r="F209" i="5" s="1"/>
  <c r="I209" i="5" s="1"/>
  <c r="C210" i="5"/>
  <c r="C211" i="5"/>
  <c r="C212" i="5"/>
  <c r="C213" i="5"/>
  <c r="C214" i="5"/>
  <c r="C215" i="5"/>
  <c r="C216" i="5"/>
  <c r="C217" i="5"/>
  <c r="C218" i="5"/>
  <c r="C219" i="5"/>
  <c r="C220" i="5"/>
  <c r="F220" i="5" s="1"/>
  <c r="C221" i="5"/>
  <c r="H221" i="5" s="1"/>
  <c r="C222" i="5"/>
  <c r="C223" i="5"/>
  <c r="C224" i="5"/>
  <c r="C225" i="5"/>
  <c r="C226" i="5"/>
  <c r="C227" i="5"/>
  <c r="C228" i="5"/>
  <c r="C229" i="5"/>
  <c r="H229" i="5" s="1"/>
  <c r="I229" i="5" s="1"/>
  <c r="C230" i="5"/>
  <c r="H230" i="5" s="1"/>
  <c r="C231" i="5"/>
  <c r="H231" i="5" s="1"/>
  <c r="C232" i="5"/>
  <c r="C233" i="5"/>
  <c r="C234" i="5"/>
  <c r="H234" i="5" s="1"/>
  <c r="H235" i="5" s="1"/>
  <c r="C235" i="5"/>
  <c r="C236" i="5"/>
  <c r="C237" i="5"/>
  <c r="C238" i="5"/>
  <c r="C239" i="5"/>
  <c r="C240" i="5"/>
  <c r="C241" i="5"/>
  <c r="C271" i="5" s="1"/>
  <c r="C242" i="5"/>
  <c r="C243" i="5"/>
  <c r="C244" i="5"/>
  <c r="C245" i="5"/>
  <c r="H245" i="5" s="1"/>
  <c r="C246" i="5"/>
  <c r="C247" i="5"/>
  <c r="H247" i="5" s="1"/>
  <c r="C248" i="5"/>
  <c r="F248" i="5" s="1"/>
  <c r="C249" i="5"/>
  <c r="C250" i="5"/>
  <c r="C251" i="5"/>
  <c r="F251" i="5" s="1"/>
  <c r="C252" i="5"/>
  <c r="H252" i="5" s="1"/>
  <c r="C253" i="5"/>
  <c r="C254" i="5"/>
  <c r="C255" i="5"/>
  <c r="C256" i="5"/>
  <c r="H256" i="5" s="1"/>
  <c r="C257" i="5"/>
  <c r="C258" i="5"/>
  <c r="C259" i="5"/>
  <c r="F259" i="5" s="1"/>
  <c r="C260" i="5"/>
  <c r="H260" i="5" s="1"/>
  <c r="C261" i="5"/>
  <c r="C262" i="5"/>
  <c r="C263" i="5"/>
  <c r="F263" i="5" s="1"/>
  <c r="C264" i="5"/>
  <c r="C265" i="5"/>
  <c r="G272" i="5"/>
  <c r="E272" i="5"/>
  <c r="D272" i="5"/>
  <c r="C272" i="5"/>
  <c r="B272" i="5"/>
  <c r="A272" i="5"/>
  <c r="G271" i="5"/>
  <c r="E271" i="5"/>
  <c r="D271" i="5"/>
  <c r="B271" i="5"/>
  <c r="A271" i="5"/>
  <c r="G270" i="5"/>
  <c r="E270" i="5"/>
  <c r="D270" i="5"/>
  <c r="C270" i="5"/>
  <c r="B270" i="5"/>
  <c r="A270" i="5"/>
  <c r="G269" i="5"/>
  <c r="E269" i="5"/>
  <c r="D269" i="5"/>
  <c r="B269" i="5"/>
  <c r="A269" i="5"/>
  <c r="H265" i="5"/>
  <c r="F265" i="5"/>
  <c r="I265" i="5" s="1"/>
  <c r="H264" i="5"/>
  <c r="I264" i="5" s="1"/>
  <c r="F264" i="5"/>
  <c r="H263" i="5"/>
  <c r="I263" i="5" s="1"/>
  <c r="H262" i="5"/>
  <c r="I262" i="5" s="1"/>
  <c r="F262" i="5"/>
  <c r="H261" i="5"/>
  <c r="F261" i="5"/>
  <c r="I261" i="5" s="1"/>
  <c r="H255" i="5"/>
  <c r="F255" i="5"/>
  <c r="I255" i="5" s="1"/>
  <c r="F254" i="5"/>
  <c r="H254" i="5"/>
  <c r="I254" i="5" s="1"/>
  <c r="H253" i="5"/>
  <c r="I253" i="5" s="1"/>
  <c r="F253" i="5"/>
  <c r="H251" i="5"/>
  <c r="H250" i="5"/>
  <c r="F250" i="5"/>
  <c r="H249" i="5"/>
  <c r="H246" i="5"/>
  <c r="F245" i="5"/>
  <c r="H239" i="5"/>
  <c r="F239" i="5"/>
  <c r="H238" i="5"/>
  <c r="F238" i="5"/>
  <c r="I238" i="5" s="1"/>
  <c r="H237" i="5"/>
  <c r="F237" i="5"/>
  <c r="I237" i="5" s="1"/>
  <c r="F229" i="5"/>
  <c r="H228" i="5"/>
  <c r="F228" i="5"/>
  <c r="H227" i="5"/>
  <c r="F227" i="5"/>
  <c r="H226" i="5"/>
  <c r="I226" i="5" s="1"/>
  <c r="F226" i="5"/>
  <c r="H220" i="5"/>
  <c r="H219" i="5"/>
  <c r="H213" i="5"/>
  <c r="F213" i="5"/>
  <c r="H209" i="5"/>
  <c r="H206" i="5"/>
  <c r="H203" i="5"/>
  <c r="H202" i="5"/>
  <c r="F198" i="5"/>
  <c r="H197" i="5"/>
  <c r="F197" i="5"/>
  <c r="H193" i="5"/>
  <c r="F193" i="5"/>
  <c r="H192" i="5"/>
  <c r="I192" i="5" s="1"/>
  <c r="F192" i="5"/>
  <c r="H191" i="5"/>
  <c r="F191" i="5"/>
  <c r="H190" i="5"/>
  <c r="I190" i="5" s="1"/>
  <c r="F190" i="5"/>
  <c r="H189" i="5"/>
  <c r="F189" i="5"/>
  <c r="F187" i="5"/>
  <c r="H182" i="5"/>
  <c r="I182" i="5" s="1"/>
  <c r="F182" i="5"/>
  <c r="H179" i="5"/>
  <c r="F179" i="5"/>
  <c r="F175" i="5"/>
  <c r="H170" i="5"/>
  <c r="I170" i="5" s="1"/>
  <c r="F170" i="5"/>
  <c r="H168" i="5"/>
  <c r="I168" i="5" s="1"/>
  <c r="F168" i="5"/>
  <c r="H165" i="5"/>
  <c r="F165" i="5"/>
  <c r="H164" i="5"/>
  <c r="H158" i="5"/>
  <c r="F158" i="5"/>
  <c r="H157" i="5"/>
  <c r="F157" i="5"/>
  <c r="H156" i="5"/>
  <c r="I156" i="5" s="1"/>
  <c r="F155" i="5"/>
  <c r="H154" i="5"/>
  <c r="F154" i="5"/>
  <c r="H153" i="5"/>
  <c r="F153" i="5"/>
  <c r="H145" i="5"/>
  <c r="F145" i="5"/>
  <c r="H144" i="5"/>
  <c r="I144" i="5" s="1"/>
  <c r="F144" i="5"/>
  <c r="H143" i="5"/>
  <c r="F143" i="5"/>
  <c r="H142" i="5"/>
  <c r="I142" i="5" s="1"/>
  <c r="F142" i="5"/>
  <c r="H141" i="5"/>
  <c r="F141" i="5"/>
  <c r="G139" i="5"/>
  <c r="H136" i="5"/>
  <c r="F136" i="5"/>
  <c r="H135" i="5"/>
  <c r="F132" i="5"/>
  <c r="H131" i="5"/>
  <c r="F131" i="5"/>
  <c r="I131" i="5" s="1"/>
  <c r="H130" i="5"/>
  <c r="F130" i="5"/>
  <c r="H129" i="5"/>
  <c r="F129" i="5"/>
  <c r="F124" i="5"/>
  <c r="H121" i="5"/>
  <c r="F121" i="5"/>
  <c r="I121" i="5" s="1"/>
  <c r="H120" i="5"/>
  <c r="H119" i="5"/>
  <c r="F119" i="5"/>
  <c r="H118" i="5"/>
  <c r="H117" i="5"/>
  <c r="F110" i="5"/>
  <c r="H109" i="5"/>
  <c r="F109" i="5"/>
  <c r="H108" i="5"/>
  <c r="F107" i="5"/>
  <c r="H107" i="5"/>
  <c r="H106" i="5"/>
  <c r="I106" i="5" s="1"/>
  <c r="F106" i="5"/>
  <c r="H105" i="5"/>
  <c r="H99" i="5"/>
  <c r="F99" i="5"/>
  <c r="H98" i="5"/>
  <c r="H100" i="5" s="1"/>
  <c r="F98" i="5"/>
  <c r="F100" i="5" s="1"/>
  <c r="H95" i="5"/>
  <c r="I95" i="5" s="1"/>
  <c r="H94" i="5"/>
  <c r="H93" i="5"/>
  <c r="H87" i="5"/>
  <c r="H86" i="5"/>
  <c r="I86" i="5" s="1"/>
  <c r="H83" i="5"/>
  <c r="F83" i="5"/>
  <c r="H82" i="5"/>
  <c r="H81" i="5"/>
  <c r="H73" i="5"/>
  <c r="H72" i="5"/>
  <c r="H71" i="5"/>
  <c r="F71" i="5"/>
  <c r="H70" i="5"/>
  <c r="H64" i="5"/>
  <c r="F61" i="5"/>
  <c r="H60" i="5"/>
  <c r="F60" i="5"/>
  <c r="H59" i="5"/>
  <c r="H58" i="5"/>
  <c r="H57" i="5"/>
  <c r="F57" i="5"/>
  <c r="H51" i="5"/>
  <c r="F51" i="5"/>
  <c r="H50" i="5"/>
  <c r="H49" i="5"/>
  <c r="H48" i="5"/>
  <c r="F48" i="5"/>
  <c r="H47" i="5"/>
  <c r="H46" i="5"/>
  <c r="H39" i="5"/>
  <c r="F39" i="5"/>
  <c r="H36" i="5"/>
  <c r="F36" i="5"/>
  <c r="H35" i="5"/>
  <c r="I35" i="5" s="1"/>
  <c r="F34" i="5"/>
  <c r="H34" i="5"/>
  <c r="I34" i="5" s="1"/>
  <c r="H33" i="5"/>
  <c r="F33" i="5"/>
  <c r="H28" i="5"/>
  <c r="H27" i="5"/>
  <c r="F27" i="5"/>
  <c r="I27" i="5" s="1"/>
  <c r="H26" i="5"/>
  <c r="I26" i="5" s="1"/>
  <c r="H22" i="5"/>
  <c r="F22" i="5"/>
  <c r="H21" i="5"/>
  <c r="F21" i="5"/>
  <c r="I21" i="5" s="1"/>
  <c r="H20" i="5"/>
  <c r="H19" i="5"/>
  <c r="H18" i="5"/>
  <c r="H23" i="5" s="1"/>
  <c r="H11" i="5"/>
  <c r="F11" i="5"/>
  <c r="I11" i="5" s="1"/>
  <c r="H10" i="5"/>
  <c r="H12" i="5" s="1"/>
  <c r="F10" i="5"/>
  <c r="H9" i="5"/>
  <c r="F9" i="5"/>
  <c r="I9" i="5" s="1"/>
  <c r="I8" i="6"/>
  <c r="H8" i="6"/>
  <c r="F8" i="6"/>
  <c r="C9" i="6"/>
  <c r="C10" i="6"/>
  <c r="C11" i="6"/>
  <c r="C12" i="6"/>
  <c r="C13" i="6"/>
  <c r="C14" i="6"/>
  <c r="C15" i="6"/>
  <c r="C16" i="6"/>
  <c r="C17" i="6"/>
  <c r="C18" i="6"/>
  <c r="C19" i="6"/>
  <c r="C20" i="6"/>
  <c r="F20" i="6" s="1"/>
  <c r="C21" i="6"/>
  <c r="C22" i="6"/>
  <c r="C23" i="6"/>
  <c r="C24" i="6"/>
  <c r="C25" i="6"/>
  <c r="C26" i="6"/>
  <c r="C27" i="6"/>
  <c r="F27" i="6" s="1"/>
  <c r="C28" i="6"/>
  <c r="F28" i="6" s="1"/>
  <c r="C29" i="6"/>
  <c r="H29" i="6" s="1"/>
  <c r="C30" i="6"/>
  <c r="C31" i="6"/>
  <c r="C32" i="6"/>
  <c r="H32" i="6" s="1"/>
  <c r="C33" i="6"/>
  <c r="C34" i="6"/>
  <c r="C35" i="6"/>
  <c r="C36" i="6"/>
  <c r="C37" i="6"/>
  <c r="C38" i="6"/>
  <c r="C39" i="6"/>
  <c r="F39" i="6" s="1"/>
  <c r="C40" i="6"/>
  <c r="C41" i="6"/>
  <c r="C42" i="6"/>
  <c r="C43" i="6"/>
  <c r="C44" i="6"/>
  <c r="C45" i="6"/>
  <c r="C46" i="6"/>
  <c r="C47" i="6"/>
  <c r="C48" i="6"/>
  <c r="C49" i="6"/>
  <c r="F49" i="6" s="1"/>
  <c r="C50" i="6"/>
  <c r="H50" i="6" s="1"/>
  <c r="C51" i="6"/>
  <c r="H51" i="6" s="1"/>
  <c r="C52" i="6"/>
  <c r="C53" i="6"/>
  <c r="C54" i="6"/>
  <c r="C55" i="6"/>
  <c r="C56" i="6"/>
  <c r="H56" i="6" s="1"/>
  <c r="I56" i="6" s="1"/>
  <c r="C57" i="6"/>
  <c r="C58" i="6"/>
  <c r="C59" i="6"/>
  <c r="C60" i="6"/>
  <c r="C61" i="6"/>
  <c r="C62" i="6"/>
  <c r="C63" i="6"/>
  <c r="C64" i="6"/>
  <c r="H64" i="6" s="1"/>
  <c r="C65" i="6"/>
  <c r="C66" i="6"/>
  <c r="C269" i="6" s="1"/>
  <c r="C67" i="6"/>
  <c r="C68" i="6"/>
  <c r="C69" i="6"/>
  <c r="C70" i="6"/>
  <c r="C71" i="6"/>
  <c r="C72" i="6"/>
  <c r="C73" i="6"/>
  <c r="C74" i="6"/>
  <c r="C75" i="6"/>
  <c r="C76" i="6"/>
  <c r="H76" i="6" s="1"/>
  <c r="C77" i="6"/>
  <c r="C78" i="6"/>
  <c r="H78" i="6" s="1"/>
  <c r="C79" i="6"/>
  <c r="H79" i="6" s="1"/>
  <c r="C80" i="6"/>
  <c r="C81" i="6"/>
  <c r="C82" i="6"/>
  <c r="C83" i="6"/>
  <c r="C84" i="6"/>
  <c r="C85" i="6"/>
  <c r="H85" i="6" s="1"/>
  <c r="C86" i="6"/>
  <c r="C87" i="6"/>
  <c r="H87" i="6" s="1"/>
  <c r="I87" i="6" s="1"/>
  <c r="C88" i="6"/>
  <c r="C89" i="6"/>
  <c r="C90" i="6"/>
  <c r="F90" i="6" s="1"/>
  <c r="C91" i="6"/>
  <c r="H91" i="6" s="1"/>
  <c r="C92" i="6"/>
  <c r="H92" i="6" s="1"/>
  <c r="C93" i="6"/>
  <c r="C94" i="6"/>
  <c r="C95" i="6"/>
  <c r="C96" i="6"/>
  <c r="C97" i="6"/>
  <c r="C98" i="6"/>
  <c r="C99" i="6"/>
  <c r="H99" i="6" s="1"/>
  <c r="C100" i="6"/>
  <c r="C101" i="6"/>
  <c r="C102" i="6"/>
  <c r="H102" i="6" s="1"/>
  <c r="C103" i="6"/>
  <c r="H103" i="6" s="1"/>
  <c r="C104" i="6"/>
  <c r="C105" i="6"/>
  <c r="C106" i="6"/>
  <c r="C107" i="6"/>
  <c r="C108" i="6"/>
  <c r="C109" i="6"/>
  <c r="C110" i="6"/>
  <c r="C111" i="6"/>
  <c r="C112" i="6"/>
  <c r="C113" i="6"/>
  <c r="H113" i="6" s="1"/>
  <c r="C114" i="6"/>
  <c r="H114" i="6" s="1"/>
  <c r="C115" i="6"/>
  <c r="C116" i="6"/>
  <c r="C117" i="6"/>
  <c r="C118" i="6"/>
  <c r="C119" i="6"/>
  <c r="C120" i="6"/>
  <c r="C121" i="6"/>
  <c r="H121" i="6" s="1"/>
  <c r="I121" i="6" s="1"/>
  <c r="C122" i="6"/>
  <c r="C123" i="6"/>
  <c r="C124" i="6"/>
  <c r="H124" i="6" s="1"/>
  <c r="C125" i="6"/>
  <c r="H125" i="6" s="1"/>
  <c r="C126" i="6"/>
  <c r="H126" i="6" s="1"/>
  <c r="C127" i="6"/>
  <c r="C128" i="6"/>
  <c r="C129" i="6"/>
  <c r="C130" i="6"/>
  <c r="C131" i="6"/>
  <c r="C132" i="6"/>
  <c r="C133" i="6"/>
  <c r="C134" i="6"/>
  <c r="C135" i="6"/>
  <c r="C136" i="6"/>
  <c r="H136" i="6" s="1"/>
  <c r="C137" i="6"/>
  <c r="C138" i="6"/>
  <c r="C139" i="6"/>
  <c r="H139" i="6" s="1"/>
  <c r="C140" i="6"/>
  <c r="F140" i="6" s="1"/>
  <c r="C141" i="6"/>
  <c r="C142" i="6"/>
  <c r="C143" i="6"/>
  <c r="C144" i="6"/>
  <c r="C145" i="6"/>
  <c r="H145" i="6" s="1"/>
  <c r="C146" i="6"/>
  <c r="C147" i="6"/>
  <c r="C148" i="6"/>
  <c r="F148" i="6" s="1"/>
  <c r="C149" i="6"/>
  <c r="C150" i="6"/>
  <c r="H150" i="6" s="1"/>
  <c r="C151" i="6"/>
  <c r="H151" i="6" s="1"/>
  <c r="C152" i="6"/>
  <c r="H152" i="6" s="1"/>
  <c r="C153" i="6"/>
  <c r="C154" i="6"/>
  <c r="C155" i="6"/>
  <c r="C156" i="6"/>
  <c r="C157" i="6"/>
  <c r="C158" i="6"/>
  <c r="C159" i="6"/>
  <c r="H159" i="6" s="1"/>
  <c r="C160" i="6"/>
  <c r="F160" i="6" s="1"/>
  <c r="C161" i="6"/>
  <c r="H161" i="6" s="1"/>
  <c r="C162" i="6"/>
  <c r="C163" i="6"/>
  <c r="C164" i="6"/>
  <c r="H164" i="6" s="1"/>
  <c r="C165" i="6"/>
  <c r="C166" i="6"/>
  <c r="C167" i="6"/>
  <c r="C168" i="6"/>
  <c r="C169" i="6"/>
  <c r="C170" i="6"/>
  <c r="C171" i="6"/>
  <c r="F171" i="6" s="1"/>
  <c r="C172" i="6"/>
  <c r="H172" i="6" s="1"/>
  <c r="C173" i="6"/>
  <c r="F173" i="6" s="1"/>
  <c r="C174" i="6"/>
  <c r="C175" i="6"/>
  <c r="C176" i="6"/>
  <c r="F176" i="6" s="1"/>
  <c r="C177" i="6"/>
  <c r="C178" i="6"/>
  <c r="C179" i="6"/>
  <c r="C180" i="6"/>
  <c r="C181" i="6"/>
  <c r="H181" i="6" s="1"/>
  <c r="C182" i="6"/>
  <c r="C183" i="6"/>
  <c r="F183" i="6" s="1"/>
  <c r="C184" i="6"/>
  <c r="C185" i="6"/>
  <c r="C186" i="6"/>
  <c r="C187" i="6"/>
  <c r="C188" i="6"/>
  <c r="H188" i="6" s="1"/>
  <c r="I188" i="6" s="1"/>
  <c r="C189" i="6"/>
  <c r="C190" i="6"/>
  <c r="C191" i="6"/>
  <c r="C192" i="6"/>
  <c r="C193" i="6"/>
  <c r="C194" i="6"/>
  <c r="C195" i="6"/>
  <c r="H195" i="6" s="1"/>
  <c r="C196" i="6"/>
  <c r="H196" i="6" s="1"/>
  <c r="C197" i="6"/>
  <c r="H197" i="6" s="1"/>
  <c r="C198" i="6"/>
  <c r="C199" i="6"/>
  <c r="C200" i="6"/>
  <c r="C201" i="6"/>
  <c r="C202" i="6"/>
  <c r="C203" i="6"/>
  <c r="C204" i="6"/>
  <c r="C205" i="6"/>
  <c r="H205" i="6" s="1"/>
  <c r="C206" i="6"/>
  <c r="F206" i="6" s="1"/>
  <c r="C207" i="6"/>
  <c r="H207" i="6" s="1"/>
  <c r="C208" i="6"/>
  <c r="C209" i="6"/>
  <c r="H209" i="6" s="1"/>
  <c r="I209" i="6" s="1"/>
  <c r="C210" i="6"/>
  <c r="H210" i="6" s="1"/>
  <c r="C211" i="6"/>
  <c r="H211" i="6" s="1"/>
  <c r="C212" i="6"/>
  <c r="F212" i="6" s="1"/>
  <c r="C213" i="6"/>
  <c r="C214" i="6"/>
  <c r="C215" i="6"/>
  <c r="C216" i="6"/>
  <c r="C217" i="6"/>
  <c r="C218" i="6"/>
  <c r="C219" i="6"/>
  <c r="C220" i="6"/>
  <c r="F220" i="6" s="1"/>
  <c r="C221" i="6"/>
  <c r="H221" i="6" s="1"/>
  <c r="I221" i="6" s="1"/>
  <c r="C222" i="6"/>
  <c r="H222" i="6" s="1"/>
  <c r="C223" i="6"/>
  <c r="C224" i="6"/>
  <c r="C225" i="6"/>
  <c r="C226" i="6"/>
  <c r="C227" i="6"/>
  <c r="C228" i="6"/>
  <c r="C229" i="6"/>
  <c r="H229" i="6" s="1"/>
  <c r="C230" i="6"/>
  <c r="H230" i="6" s="1"/>
  <c r="C231" i="6"/>
  <c r="C232" i="6"/>
  <c r="C233" i="6"/>
  <c r="C234" i="6"/>
  <c r="C235" i="6"/>
  <c r="C236" i="6"/>
  <c r="C237" i="6"/>
  <c r="C238" i="6"/>
  <c r="C239" i="6"/>
  <c r="C240" i="6"/>
  <c r="C241" i="6"/>
  <c r="C271" i="6" s="1"/>
  <c r="C242" i="6"/>
  <c r="C243" i="6"/>
  <c r="C244" i="6"/>
  <c r="F244" i="6" s="1"/>
  <c r="C245" i="6"/>
  <c r="C246" i="6"/>
  <c r="C247" i="6"/>
  <c r="F247" i="6" s="1"/>
  <c r="C248" i="6"/>
  <c r="C249" i="6"/>
  <c r="C250" i="6"/>
  <c r="C251" i="6"/>
  <c r="C252" i="6"/>
  <c r="C253" i="6"/>
  <c r="F253" i="6" s="1"/>
  <c r="C254" i="6"/>
  <c r="C255" i="6"/>
  <c r="H255" i="6" s="1"/>
  <c r="C256" i="6"/>
  <c r="H256" i="6" s="1"/>
  <c r="C257" i="6"/>
  <c r="C258" i="6"/>
  <c r="C259" i="6"/>
  <c r="C260" i="6"/>
  <c r="H260" i="6" s="1"/>
  <c r="C261" i="6"/>
  <c r="C262" i="6"/>
  <c r="C263" i="6"/>
  <c r="C264" i="6"/>
  <c r="C265" i="6"/>
  <c r="C8" i="6"/>
  <c r="G272" i="6"/>
  <c r="E272" i="6"/>
  <c r="D272" i="6"/>
  <c r="C272" i="6"/>
  <c r="B272" i="6"/>
  <c r="A272" i="6"/>
  <c r="G271" i="6"/>
  <c r="E271" i="6"/>
  <c r="D271" i="6"/>
  <c r="B271" i="6"/>
  <c r="A271" i="6"/>
  <c r="G270" i="6"/>
  <c r="E270" i="6"/>
  <c r="D270" i="6"/>
  <c r="C270" i="6"/>
  <c r="B270" i="6"/>
  <c r="A270" i="6"/>
  <c r="G269" i="6"/>
  <c r="E269" i="6"/>
  <c r="D269" i="6"/>
  <c r="B269" i="6"/>
  <c r="A269" i="6"/>
  <c r="H265" i="6"/>
  <c r="F265" i="6"/>
  <c r="H264" i="6"/>
  <c r="F264" i="6"/>
  <c r="H263" i="6"/>
  <c r="F263" i="6"/>
  <c r="H262" i="6"/>
  <c r="I262" i="6" s="1"/>
  <c r="F262" i="6"/>
  <c r="H261" i="6"/>
  <c r="F261" i="6"/>
  <c r="H259" i="6"/>
  <c r="F259" i="6"/>
  <c r="H258" i="6"/>
  <c r="I258" i="6" s="1"/>
  <c r="F258" i="6"/>
  <c r="H257" i="6"/>
  <c r="F257" i="6"/>
  <c r="H253" i="6"/>
  <c r="H250" i="6"/>
  <c r="F250" i="6"/>
  <c r="H247" i="6"/>
  <c r="H245" i="6"/>
  <c r="H239" i="6"/>
  <c r="F239" i="6"/>
  <c r="H238" i="6"/>
  <c r="F238" i="6"/>
  <c r="I238" i="6" s="1"/>
  <c r="H237" i="6"/>
  <c r="H240" i="6" s="1"/>
  <c r="F237" i="6"/>
  <c r="I237" i="6" s="1"/>
  <c r="H235" i="6"/>
  <c r="H234" i="6"/>
  <c r="F234" i="6"/>
  <c r="F235" i="6" s="1"/>
  <c r="H228" i="6"/>
  <c r="F228" i="6"/>
  <c r="H227" i="6"/>
  <c r="F227" i="6"/>
  <c r="H226" i="6"/>
  <c r="F226" i="6"/>
  <c r="I223" i="6"/>
  <c r="H223" i="6"/>
  <c r="F223" i="6"/>
  <c r="F221" i="6"/>
  <c r="H219" i="6"/>
  <c r="F219" i="6"/>
  <c r="H213" i="6"/>
  <c r="F213" i="6"/>
  <c r="H212" i="6"/>
  <c r="F210" i="6"/>
  <c r="F209" i="6"/>
  <c r="H208" i="6"/>
  <c r="I208" i="6" s="1"/>
  <c r="F208" i="6"/>
  <c r="H206" i="6"/>
  <c r="H204" i="6"/>
  <c r="H203" i="6"/>
  <c r="F203" i="6"/>
  <c r="H202" i="6"/>
  <c r="F202" i="6"/>
  <c r="H199" i="6"/>
  <c r="F199" i="6"/>
  <c r="H198" i="6"/>
  <c r="F198" i="6"/>
  <c r="H194" i="6"/>
  <c r="F194" i="6"/>
  <c r="H193" i="6"/>
  <c r="F193" i="6"/>
  <c r="H192" i="6"/>
  <c r="F192" i="6"/>
  <c r="H191" i="6"/>
  <c r="F191" i="6"/>
  <c r="H190" i="6"/>
  <c r="F190" i="6"/>
  <c r="H189" i="6"/>
  <c r="F189" i="6"/>
  <c r="F188" i="6"/>
  <c r="H187" i="6"/>
  <c r="F187" i="6"/>
  <c r="H186" i="6"/>
  <c r="F186" i="6"/>
  <c r="F180" i="6"/>
  <c r="H179" i="6"/>
  <c r="H175" i="6"/>
  <c r="F175" i="6"/>
  <c r="H174" i="6"/>
  <c r="I174" i="6" s="1"/>
  <c r="F174" i="6"/>
  <c r="H173" i="6"/>
  <c r="H170" i="6"/>
  <c r="I170" i="6" s="1"/>
  <c r="F170" i="6"/>
  <c r="H169" i="6"/>
  <c r="I169" i="6" s="1"/>
  <c r="F169" i="6"/>
  <c r="H168" i="6"/>
  <c r="F168" i="6"/>
  <c r="H165" i="6"/>
  <c r="I165" i="6" s="1"/>
  <c r="F165" i="6"/>
  <c r="H163" i="6"/>
  <c r="F163" i="6"/>
  <c r="I163" i="6" s="1"/>
  <c r="I162" i="6"/>
  <c r="H162" i="6"/>
  <c r="F162" i="6"/>
  <c r="F159" i="6"/>
  <c r="H158" i="6"/>
  <c r="F158" i="6"/>
  <c r="I158" i="6" s="1"/>
  <c r="I157" i="6"/>
  <c r="H157" i="6"/>
  <c r="F157" i="6"/>
  <c r="H156" i="6"/>
  <c r="I156" i="6" s="1"/>
  <c r="F156" i="6"/>
  <c r="H155" i="6"/>
  <c r="F155" i="6"/>
  <c r="I155" i="6" s="1"/>
  <c r="H154" i="6"/>
  <c r="I154" i="6" s="1"/>
  <c r="F154" i="6"/>
  <c r="I153" i="6"/>
  <c r="H153" i="6"/>
  <c r="F153" i="6"/>
  <c r="F150" i="6"/>
  <c r="H149" i="6"/>
  <c r="I149" i="6" s="1"/>
  <c r="F149" i="6"/>
  <c r="H148" i="6"/>
  <c r="H144" i="6"/>
  <c r="F144" i="6"/>
  <c r="H143" i="6"/>
  <c r="F143" i="6"/>
  <c r="H142" i="6"/>
  <c r="F142" i="6"/>
  <c r="H141" i="6"/>
  <c r="F141" i="6"/>
  <c r="H140" i="6"/>
  <c r="G139" i="6"/>
  <c r="H135" i="6"/>
  <c r="F135" i="6"/>
  <c r="H134" i="6"/>
  <c r="F134" i="6"/>
  <c r="H133" i="6"/>
  <c r="F133" i="6"/>
  <c r="H132" i="6"/>
  <c r="I132" i="6" s="1"/>
  <c r="F132" i="6"/>
  <c r="H131" i="6"/>
  <c r="F131" i="6"/>
  <c r="I131" i="6" s="1"/>
  <c r="H130" i="6"/>
  <c r="H129" i="6"/>
  <c r="F129" i="6"/>
  <c r="H128" i="6"/>
  <c r="F128" i="6"/>
  <c r="H127" i="6"/>
  <c r="F127" i="6"/>
  <c r="F121" i="6"/>
  <c r="F120" i="6"/>
  <c r="H119" i="6"/>
  <c r="H118" i="6"/>
  <c r="I118" i="6" s="1"/>
  <c r="F118" i="6"/>
  <c r="H117" i="6"/>
  <c r="F117" i="6"/>
  <c r="F113" i="6"/>
  <c r="H110" i="6"/>
  <c r="F110" i="6"/>
  <c r="H109" i="6"/>
  <c r="F109" i="6"/>
  <c r="F108" i="6"/>
  <c r="H106" i="6"/>
  <c r="F106" i="6"/>
  <c r="H98" i="6"/>
  <c r="F98" i="6"/>
  <c r="H95" i="6"/>
  <c r="H94" i="6"/>
  <c r="F94" i="6"/>
  <c r="H93" i="6"/>
  <c r="I93" i="6" s="1"/>
  <c r="F93" i="6"/>
  <c r="H90" i="6"/>
  <c r="H89" i="6"/>
  <c r="H88" i="6"/>
  <c r="F88" i="6"/>
  <c r="F87" i="6"/>
  <c r="H84" i="6"/>
  <c r="F84" i="6"/>
  <c r="I84" i="6" s="1"/>
  <c r="H83" i="6"/>
  <c r="H82" i="6"/>
  <c r="F82" i="6"/>
  <c r="I81" i="6"/>
  <c r="H81" i="6"/>
  <c r="F81" i="6"/>
  <c r="H80" i="6"/>
  <c r="H77" i="6"/>
  <c r="H75" i="6"/>
  <c r="I75" i="6" s="1"/>
  <c r="F75" i="6"/>
  <c r="H73" i="6"/>
  <c r="F73" i="6"/>
  <c r="H72" i="6"/>
  <c r="I72" i="6" s="1"/>
  <c r="F72" i="6"/>
  <c r="H71" i="6"/>
  <c r="H70" i="6"/>
  <c r="F70" i="6"/>
  <c r="F64" i="6"/>
  <c r="H63" i="6"/>
  <c r="F63" i="6"/>
  <c r="H61" i="6"/>
  <c r="F61" i="6"/>
  <c r="I61" i="6" s="1"/>
  <c r="H60" i="6"/>
  <c r="H59" i="6"/>
  <c r="I59" i="6" s="1"/>
  <c r="F59" i="6"/>
  <c r="F57" i="6"/>
  <c r="H57" i="6"/>
  <c r="I57" i="6" s="1"/>
  <c r="F56" i="6"/>
  <c r="F55" i="6"/>
  <c r="H53" i="6"/>
  <c r="F53" i="6"/>
  <c r="F52" i="6"/>
  <c r="H48" i="6"/>
  <c r="H47" i="6"/>
  <c r="F47" i="6"/>
  <c r="H43" i="6"/>
  <c r="I43" i="6" s="1"/>
  <c r="H42" i="6"/>
  <c r="F42" i="6"/>
  <c r="F41" i="6"/>
  <c r="H39" i="6"/>
  <c r="H36" i="6"/>
  <c r="I36" i="6" s="1"/>
  <c r="F36" i="6"/>
  <c r="H35" i="6"/>
  <c r="F35" i="6"/>
  <c r="F34" i="6"/>
  <c r="H34" i="6"/>
  <c r="H33" i="6"/>
  <c r="I33" i="6" s="1"/>
  <c r="F33" i="6"/>
  <c r="F32" i="6"/>
  <c r="H26" i="6"/>
  <c r="H25" i="6"/>
  <c r="F25" i="6"/>
  <c r="H22" i="6"/>
  <c r="F22" i="6"/>
  <c r="I22" i="6" s="1"/>
  <c r="I21" i="6"/>
  <c r="H21" i="6"/>
  <c r="F21" i="6"/>
  <c r="H20" i="6"/>
  <c r="H19" i="6"/>
  <c r="F19" i="6"/>
  <c r="H18" i="6"/>
  <c r="F18" i="6"/>
  <c r="H15" i="6"/>
  <c r="F15" i="6"/>
  <c r="H14" i="6"/>
  <c r="H12" i="6"/>
  <c r="H11" i="6"/>
  <c r="F11" i="6"/>
  <c r="H10" i="6"/>
  <c r="F10" i="6"/>
  <c r="I10" i="6" s="1"/>
  <c r="H9" i="6"/>
  <c r="F9" i="6"/>
  <c r="K240" i="1"/>
  <c r="K235" i="1"/>
  <c r="K232" i="1"/>
  <c r="K224" i="1"/>
  <c r="K214" i="1"/>
  <c r="K200" i="1"/>
  <c r="K184" i="1"/>
  <c r="K177" i="1"/>
  <c r="K166" i="1"/>
  <c r="K146" i="1"/>
  <c r="K137" i="1"/>
  <c r="K122" i="1"/>
  <c r="K115" i="1"/>
  <c r="K111" i="1"/>
  <c r="K100" i="1"/>
  <c r="K96" i="1"/>
  <c r="K12" i="1"/>
  <c r="K16" i="1"/>
  <c r="K23" i="1"/>
  <c r="K30" i="1"/>
  <c r="K37" i="1"/>
  <c r="K44" i="1"/>
  <c r="K65" i="1"/>
  <c r="H266" i="1"/>
  <c r="I266" i="1"/>
  <c r="F266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44" i="1"/>
  <c r="H241" i="1"/>
  <c r="I241" i="1"/>
  <c r="H240" i="1"/>
  <c r="I240" i="1"/>
  <c r="F240" i="1"/>
  <c r="I238" i="1"/>
  <c r="I239" i="1"/>
  <c r="I237" i="1"/>
  <c r="H238" i="1"/>
  <c r="H239" i="1"/>
  <c r="H237" i="1"/>
  <c r="F237" i="1"/>
  <c r="F238" i="1"/>
  <c r="F239" i="1"/>
  <c r="H235" i="1"/>
  <c r="I235" i="1"/>
  <c r="I234" i="1"/>
  <c r="H234" i="1"/>
  <c r="F234" i="1"/>
  <c r="H232" i="1"/>
  <c r="I232" i="1"/>
  <c r="F232" i="1"/>
  <c r="I227" i="1"/>
  <c r="I228" i="1"/>
  <c r="I229" i="1"/>
  <c r="I230" i="1"/>
  <c r="I231" i="1"/>
  <c r="I226" i="1"/>
  <c r="H227" i="1"/>
  <c r="H228" i="1"/>
  <c r="H229" i="1"/>
  <c r="H230" i="1"/>
  <c r="H231" i="1"/>
  <c r="H226" i="1"/>
  <c r="F227" i="1"/>
  <c r="F228" i="1"/>
  <c r="F229" i="1"/>
  <c r="F230" i="1"/>
  <c r="F231" i="1"/>
  <c r="F226" i="1"/>
  <c r="H224" i="1"/>
  <c r="I224" i="1"/>
  <c r="F224" i="1"/>
  <c r="I220" i="1"/>
  <c r="I221" i="1"/>
  <c r="I222" i="1"/>
  <c r="I223" i="1"/>
  <c r="I219" i="1"/>
  <c r="H220" i="1"/>
  <c r="H221" i="1"/>
  <c r="H222" i="1"/>
  <c r="H223" i="1"/>
  <c r="H219" i="1"/>
  <c r="F220" i="1"/>
  <c r="F221" i="1"/>
  <c r="F222" i="1"/>
  <c r="F223" i="1"/>
  <c r="F219" i="1"/>
  <c r="H215" i="1"/>
  <c r="I215" i="1"/>
  <c r="F215" i="1"/>
  <c r="H66" i="1"/>
  <c r="I66" i="1"/>
  <c r="H214" i="1"/>
  <c r="I214" i="1"/>
  <c r="F214" i="1"/>
  <c r="I203" i="1"/>
  <c r="I204" i="1"/>
  <c r="I205" i="1"/>
  <c r="I206" i="1"/>
  <c r="I207" i="1"/>
  <c r="I208" i="1"/>
  <c r="I209" i="1"/>
  <c r="I210" i="1"/>
  <c r="I211" i="1"/>
  <c r="I212" i="1"/>
  <c r="I213" i="1"/>
  <c r="I202" i="1"/>
  <c r="H203" i="1"/>
  <c r="H204" i="1"/>
  <c r="H205" i="1"/>
  <c r="H206" i="1"/>
  <c r="H207" i="1"/>
  <c r="H208" i="1"/>
  <c r="H209" i="1"/>
  <c r="H210" i="1"/>
  <c r="H211" i="1"/>
  <c r="H212" i="1"/>
  <c r="H213" i="1"/>
  <c r="H202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H200" i="1"/>
  <c r="I200" i="1"/>
  <c r="F200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186" i="1"/>
  <c r="H184" i="1"/>
  <c r="I184" i="1"/>
  <c r="F184" i="1"/>
  <c r="I180" i="1"/>
  <c r="I181" i="1"/>
  <c r="I182" i="1"/>
  <c r="I183" i="1"/>
  <c r="I179" i="1"/>
  <c r="H180" i="1"/>
  <c r="H181" i="1"/>
  <c r="H182" i="1"/>
  <c r="H183" i="1"/>
  <c r="H179" i="1"/>
  <c r="F180" i="1"/>
  <c r="F181" i="1"/>
  <c r="F182" i="1"/>
  <c r="F183" i="1"/>
  <c r="F179" i="1"/>
  <c r="H177" i="1"/>
  <c r="I177" i="1"/>
  <c r="F177" i="1"/>
  <c r="I169" i="1"/>
  <c r="I170" i="1"/>
  <c r="I171" i="1"/>
  <c r="I172" i="1"/>
  <c r="I173" i="1"/>
  <c r="I174" i="1"/>
  <c r="I175" i="1"/>
  <c r="I176" i="1"/>
  <c r="I168" i="1"/>
  <c r="H168" i="1"/>
  <c r="H169" i="1"/>
  <c r="H170" i="1"/>
  <c r="H171" i="1"/>
  <c r="H172" i="1"/>
  <c r="H173" i="1"/>
  <c r="H174" i="1"/>
  <c r="H175" i="1"/>
  <c r="H176" i="1"/>
  <c r="F168" i="1"/>
  <c r="F169" i="1"/>
  <c r="F170" i="1"/>
  <c r="F171" i="1"/>
  <c r="F172" i="1"/>
  <c r="F173" i="1"/>
  <c r="F174" i="1"/>
  <c r="F175" i="1"/>
  <c r="F176" i="1"/>
  <c r="H166" i="1"/>
  <c r="I166" i="1"/>
  <c r="F166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48" i="1"/>
  <c r="H146" i="1"/>
  <c r="I146" i="1"/>
  <c r="F146" i="1"/>
  <c r="I140" i="1"/>
  <c r="I141" i="1"/>
  <c r="I142" i="1"/>
  <c r="I143" i="1"/>
  <c r="I144" i="1"/>
  <c r="I145" i="1"/>
  <c r="I139" i="1"/>
  <c r="H139" i="1"/>
  <c r="H140" i="1"/>
  <c r="H141" i="1"/>
  <c r="H142" i="1"/>
  <c r="H143" i="1"/>
  <c r="H144" i="1"/>
  <c r="H145" i="1"/>
  <c r="F140" i="1"/>
  <c r="F141" i="1"/>
  <c r="F142" i="1"/>
  <c r="F143" i="1"/>
  <c r="F144" i="1"/>
  <c r="F145" i="1"/>
  <c r="F139" i="1"/>
  <c r="H137" i="1"/>
  <c r="I137" i="1"/>
  <c r="F137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H122" i="1"/>
  <c r="I122" i="1"/>
  <c r="F122" i="1"/>
  <c r="I117" i="1"/>
  <c r="I118" i="1"/>
  <c r="I119" i="1"/>
  <c r="I120" i="1"/>
  <c r="I121" i="1"/>
  <c r="H118" i="1"/>
  <c r="H119" i="1"/>
  <c r="H120" i="1"/>
  <c r="H121" i="1"/>
  <c r="H117" i="1"/>
  <c r="F121" i="1"/>
  <c r="F120" i="1"/>
  <c r="F119" i="1"/>
  <c r="F118" i="1"/>
  <c r="F117" i="1"/>
  <c r="H115" i="1"/>
  <c r="I115" i="1"/>
  <c r="F115" i="1"/>
  <c r="I114" i="1"/>
  <c r="I113" i="1"/>
  <c r="H114" i="1"/>
  <c r="H113" i="1"/>
  <c r="F113" i="1"/>
  <c r="F114" i="1"/>
  <c r="H110" i="3"/>
  <c r="H111" i="1"/>
  <c r="I111" i="1"/>
  <c r="F111" i="1"/>
  <c r="I102" i="1"/>
  <c r="I103" i="1"/>
  <c r="I104" i="1"/>
  <c r="I105" i="1"/>
  <c r="I106" i="1"/>
  <c r="I107" i="1"/>
  <c r="I108" i="1"/>
  <c r="I109" i="1"/>
  <c r="I110" i="1"/>
  <c r="H110" i="1"/>
  <c r="H103" i="1"/>
  <c r="H104" i="1"/>
  <c r="H105" i="1"/>
  <c r="H106" i="1"/>
  <c r="H107" i="1"/>
  <c r="H108" i="1"/>
  <c r="H109" i="1"/>
  <c r="H102" i="1"/>
  <c r="F103" i="1"/>
  <c r="F104" i="1"/>
  <c r="F105" i="1"/>
  <c r="F106" i="1"/>
  <c r="F107" i="1"/>
  <c r="F108" i="1"/>
  <c r="F109" i="1"/>
  <c r="F110" i="1"/>
  <c r="F102" i="1"/>
  <c r="H100" i="1"/>
  <c r="I100" i="1"/>
  <c r="F100" i="1"/>
  <c r="F99" i="1"/>
  <c r="H99" i="1"/>
  <c r="H98" i="1"/>
  <c r="F98" i="1"/>
  <c r="H96" i="1"/>
  <c r="I96" i="1"/>
  <c r="F96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70" i="1"/>
  <c r="H65" i="1"/>
  <c r="I65" i="1"/>
  <c r="F6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46" i="1"/>
  <c r="H44" i="1"/>
  <c r="I44" i="1"/>
  <c r="F44" i="1"/>
  <c r="I40" i="1"/>
  <c r="I39" i="1"/>
  <c r="I41" i="1"/>
  <c r="I42" i="1"/>
  <c r="I43" i="1"/>
  <c r="H40" i="1"/>
  <c r="H41" i="1"/>
  <c r="H42" i="1"/>
  <c r="H43" i="1"/>
  <c r="H39" i="1"/>
  <c r="F42" i="1"/>
  <c r="F41" i="1"/>
  <c r="F40" i="1"/>
  <c r="F39" i="1"/>
  <c r="H37" i="1"/>
  <c r="I37" i="1"/>
  <c r="F37" i="1"/>
  <c r="I33" i="1"/>
  <c r="I34" i="1"/>
  <c r="I35" i="1"/>
  <c r="I36" i="1"/>
  <c r="I32" i="1"/>
  <c r="H33" i="1"/>
  <c r="H34" i="1"/>
  <c r="H35" i="1"/>
  <c r="H36" i="1"/>
  <c r="H32" i="1"/>
  <c r="F36" i="1"/>
  <c r="F35" i="1"/>
  <c r="F34" i="1"/>
  <c r="F33" i="1"/>
  <c r="F32" i="1"/>
  <c r="H30" i="1"/>
  <c r="I30" i="1"/>
  <c r="F30" i="1"/>
  <c r="I26" i="1"/>
  <c r="I27" i="1"/>
  <c r="I28" i="1"/>
  <c r="I29" i="1"/>
  <c r="I25" i="1"/>
  <c r="H26" i="1"/>
  <c r="H27" i="1"/>
  <c r="H28" i="1"/>
  <c r="H29" i="1"/>
  <c r="H25" i="1"/>
  <c r="F26" i="1"/>
  <c r="F27" i="1"/>
  <c r="F28" i="1"/>
  <c r="F29" i="1"/>
  <c r="F25" i="1"/>
  <c r="H23" i="1"/>
  <c r="I23" i="1"/>
  <c r="F23" i="1"/>
  <c r="I19" i="1"/>
  <c r="I20" i="1"/>
  <c r="I21" i="1"/>
  <c r="I22" i="1"/>
  <c r="I18" i="1"/>
  <c r="H19" i="1"/>
  <c r="H20" i="1"/>
  <c r="H21" i="1"/>
  <c r="H22" i="1"/>
  <c r="H18" i="1"/>
  <c r="F19" i="1"/>
  <c r="F20" i="1"/>
  <c r="F21" i="1"/>
  <c r="F22" i="1"/>
  <c r="F18" i="1"/>
  <c r="H16" i="1"/>
  <c r="I16" i="1"/>
  <c r="F16" i="1"/>
  <c r="I15" i="1"/>
  <c r="I14" i="1"/>
  <c r="H14" i="1"/>
  <c r="H15" i="1"/>
  <c r="F15" i="1"/>
  <c r="F14" i="1"/>
  <c r="H12" i="1"/>
  <c r="I12" i="1"/>
  <c r="F12" i="1"/>
  <c r="I9" i="1"/>
  <c r="I10" i="1"/>
  <c r="I11" i="1"/>
  <c r="I8" i="1"/>
  <c r="H9" i="1"/>
  <c r="H10" i="1"/>
  <c r="H11" i="1"/>
  <c r="H8" i="1"/>
  <c r="F9" i="1"/>
  <c r="F10" i="1"/>
  <c r="F11" i="1"/>
  <c r="F8" i="1"/>
  <c r="K240" i="3"/>
  <c r="K235" i="3"/>
  <c r="K232" i="3"/>
  <c r="K224" i="3"/>
  <c r="K214" i="3"/>
  <c r="K200" i="3"/>
  <c r="K184" i="3"/>
  <c r="K177" i="3"/>
  <c r="K166" i="3"/>
  <c r="K146" i="3"/>
  <c r="K137" i="3"/>
  <c r="K122" i="3"/>
  <c r="K115" i="3"/>
  <c r="K111" i="3"/>
  <c r="K100" i="3"/>
  <c r="K96" i="3"/>
  <c r="K12" i="3"/>
  <c r="K16" i="3"/>
  <c r="K23" i="3"/>
  <c r="K30" i="3"/>
  <c r="K37" i="3"/>
  <c r="K44" i="3"/>
  <c r="K65" i="3"/>
  <c r="K66" i="3"/>
  <c r="H266" i="3"/>
  <c r="I266" i="3"/>
  <c r="F266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44" i="3"/>
  <c r="H241" i="3"/>
  <c r="I241" i="3"/>
  <c r="F241" i="3"/>
  <c r="H240" i="3"/>
  <c r="I240" i="3"/>
  <c r="F240" i="3"/>
  <c r="I238" i="3"/>
  <c r="I239" i="3"/>
  <c r="I237" i="3"/>
  <c r="H238" i="3"/>
  <c r="H239" i="3"/>
  <c r="H237" i="3"/>
  <c r="F238" i="3"/>
  <c r="F239" i="3"/>
  <c r="F237" i="3"/>
  <c r="H235" i="3"/>
  <c r="I235" i="3"/>
  <c r="F235" i="3"/>
  <c r="I234" i="3"/>
  <c r="H234" i="3"/>
  <c r="F234" i="3"/>
  <c r="H232" i="3"/>
  <c r="I232" i="3"/>
  <c r="F232" i="3"/>
  <c r="I227" i="3"/>
  <c r="I228" i="3"/>
  <c r="I229" i="3"/>
  <c r="I230" i="3"/>
  <c r="I231" i="3"/>
  <c r="I226" i="3"/>
  <c r="H227" i="3"/>
  <c r="H228" i="3"/>
  <c r="H229" i="3"/>
  <c r="H230" i="3"/>
  <c r="H231" i="3"/>
  <c r="H226" i="3"/>
  <c r="F227" i="3"/>
  <c r="F228" i="3"/>
  <c r="F229" i="3"/>
  <c r="F230" i="3"/>
  <c r="F231" i="3"/>
  <c r="F226" i="3"/>
  <c r="I220" i="3"/>
  <c r="I221" i="3"/>
  <c r="I222" i="3"/>
  <c r="I223" i="3"/>
  <c r="I219" i="3"/>
  <c r="H220" i="3"/>
  <c r="H224" i="3" s="1"/>
  <c r="H221" i="3"/>
  <c r="H222" i="3"/>
  <c r="H223" i="3"/>
  <c r="H219" i="3"/>
  <c r="F224" i="3"/>
  <c r="F220" i="3"/>
  <c r="F221" i="3"/>
  <c r="F222" i="3"/>
  <c r="F223" i="3"/>
  <c r="F219" i="3"/>
  <c r="K215" i="3"/>
  <c r="H215" i="3"/>
  <c r="I215" i="3"/>
  <c r="F215" i="3"/>
  <c r="H214" i="3"/>
  <c r="I214" i="3"/>
  <c r="F214" i="3"/>
  <c r="I203" i="3"/>
  <c r="I204" i="3"/>
  <c r="I205" i="3"/>
  <c r="I206" i="3"/>
  <c r="I207" i="3"/>
  <c r="I208" i="3"/>
  <c r="I209" i="3"/>
  <c r="I210" i="3"/>
  <c r="I211" i="3"/>
  <c r="I212" i="3"/>
  <c r="I213" i="3"/>
  <c r="I202" i="3"/>
  <c r="H203" i="3"/>
  <c r="H204" i="3"/>
  <c r="H205" i="3"/>
  <c r="H206" i="3"/>
  <c r="H207" i="3"/>
  <c r="H208" i="3"/>
  <c r="H209" i="3"/>
  <c r="H210" i="3"/>
  <c r="H211" i="3"/>
  <c r="H212" i="3"/>
  <c r="H213" i="3"/>
  <c r="H202" i="3"/>
  <c r="F203" i="3"/>
  <c r="F204" i="3"/>
  <c r="F205" i="3"/>
  <c r="F206" i="3"/>
  <c r="F207" i="3"/>
  <c r="F208" i="3"/>
  <c r="F209" i="3"/>
  <c r="F210" i="3"/>
  <c r="F211" i="3"/>
  <c r="F212" i="3"/>
  <c r="F213" i="3"/>
  <c r="F202" i="3"/>
  <c r="H200" i="3"/>
  <c r="I200" i="3"/>
  <c r="F200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186" i="3"/>
  <c r="H184" i="3"/>
  <c r="I184" i="3"/>
  <c r="F184" i="3"/>
  <c r="I180" i="3"/>
  <c r="I181" i="3"/>
  <c r="I182" i="3"/>
  <c r="I183" i="3"/>
  <c r="I179" i="3"/>
  <c r="H180" i="3"/>
  <c r="H181" i="3"/>
  <c r="H182" i="3"/>
  <c r="H183" i="3"/>
  <c r="H179" i="3"/>
  <c r="F180" i="3"/>
  <c r="F181" i="3"/>
  <c r="F182" i="3"/>
  <c r="F183" i="3"/>
  <c r="F179" i="3"/>
  <c r="I177" i="3"/>
  <c r="I169" i="3"/>
  <c r="I170" i="3"/>
  <c r="I171" i="3"/>
  <c r="I172" i="3"/>
  <c r="I173" i="3"/>
  <c r="I174" i="3"/>
  <c r="I175" i="3"/>
  <c r="I176" i="3"/>
  <c r="I168" i="3"/>
  <c r="H169" i="3"/>
  <c r="H177" i="3" s="1"/>
  <c r="H170" i="3"/>
  <c r="H171" i="3"/>
  <c r="H172" i="3"/>
  <c r="H173" i="3"/>
  <c r="H174" i="3"/>
  <c r="H175" i="3"/>
  <c r="H176" i="3"/>
  <c r="H168" i="3"/>
  <c r="F177" i="3"/>
  <c r="F169" i="3"/>
  <c r="F170" i="3"/>
  <c r="F171" i="3"/>
  <c r="F172" i="3"/>
  <c r="F173" i="3"/>
  <c r="F174" i="3"/>
  <c r="F175" i="3"/>
  <c r="F176" i="3"/>
  <c r="F168" i="3"/>
  <c r="H166" i="3"/>
  <c r="I166" i="3"/>
  <c r="F166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H146" i="3"/>
  <c r="I146" i="3"/>
  <c r="F146" i="3"/>
  <c r="I140" i="3"/>
  <c r="I141" i="3"/>
  <c r="I142" i="3"/>
  <c r="I143" i="3"/>
  <c r="I144" i="3"/>
  <c r="I145" i="3"/>
  <c r="I139" i="3"/>
  <c r="H140" i="3"/>
  <c r="H141" i="3"/>
  <c r="H142" i="3"/>
  <c r="H143" i="3"/>
  <c r="H144" i="3"/>
  <c r="H145" i="3"/>
  <c r="F143" i="3"/>
  <c r="F145" i="3"/>
  <c r="F144" i="3"/>
  <c r="F140" i="3"/>
  <c r="F141" i="3"/>
  <c r="F142" i="3"/>
  <c r="F139" i="3"/>
  <c r="F135" i="3"/>
  <c r="H137" i="3"/>
  <c r="I137" i="3"/>
  <c r="F137" i="3"/>
  <c r="H136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24" i="3"/>
  <c r="H125" i="3"/>
  <c r="H126" i="3"/>
  <c r="H127" i="3"/>
  <c r="H128" i="3"/>
  <c r="H129" i="3"/>
  <c r="H130" i="3"/>
  <c r="H131" i="3"/>
  <c r="H132" i="3"/>
  <c r="H133" i="3"/>
  <c r="H134" i="3"/>
  <c r="H135" i="3"/>
  <c r="H124" i="3"/>
  <c r="F125" i="3"/>
  <c r="F126" i="3"/>
  <c r="F127" i="3"/>
  <c r="F128" i="3"/>
  <c r="F129" i="3"/>
  <c r="F130" i="3"/>
  <c r="F131" i="3"/>
  <c r="F132" i="3"/>
  <c r="F133" i="3"/>
  <c r="F134" i="3"/>
  <c r="F136" i="3"/>
  <c r="F124" i="3"/>
  <c r="H122" i="3"/>
  <c r="I122" i="3"/>
  <c r="F122" i="3"/>
  <c r="I117" i="3"/>
  <c r="I118" i="3"/>
  <c r="I119" i="3"/>
  <c r="I120" i="3"/>
  <c r="I121" i="3"/>
  <c r="H121" i="3"/>
  <c r="H118" i="3"/>
  <c r="H119" i="3"/>
  <c r="H120" i="3"/>
  <c r="H117" i="3"/>
  <c r="F121" i="3"/>
  <c r="F120" i="3"/>
  <c r="F119" i="3"/>
  <c r="F118" i="3"/>
  <c r="F117" i="3"/>
  <c r="H115" i="3"/>
  <c r="I115" i="3"/>
  <c r="F115" i="3"/>
  <c r="I114" i="3"/>
  <c r="I113" i="3"/>
  <c r="H114" i="3"/>
  <c r="H113" i="3"/>
  <c r="F114" i="3"/>
  <c r="F113" i="3"/>
  <c r="H111" i="3"/>
  <c r="I111" i="3"/>
  <c r="F111" i="3"/>
  <c r="I103" i="3"/>
  <c r="I104" i="3"/>
  <c r="I105" i="3"/>
  <c r="I106" i="3"/>
  <c r="I107" i="3"/>
  <c r="I108" i="3"/>
  <c r="I109" i="3"/>
  <c r="I110" i="3"/>
  <c r="I102" i="3"/>
  <c r="H103" i="3"/>
  <c r="H104" i="3"/>
  <c r="H105" i="3"/>
  <c r="H106" i="3"/>
  <c r="H107" i="3"/>
  <c r="H108" i="3"/>
  <c r="H109" i="3"/>
  <c r="H102" i="3"/>
  <c r="F103" i="3"/>
  <c r="F104" i="3"/>
  <c r="F105" i="3"/>
  <c r="F106" i="3"/>
  <c r="F107" i="3"/>
  <c r="F108" i="3"/>
  <c r="F109" i="3"/>
  <c r="F110" i="3"/>
  <c r="F102" i="3"/>
  <c r="I100" i="3"/>
  <c r="H99" i="3"/>
  <c r="H98" i="3"/>
  <c r="F100" i="3"/>
  <c r="F99" i="3"/>
  <c r="F98" i="3"/>
  <c r="I96" i="3"/>
  <c r="H96" i="3"/>
  <c r="F96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70" i="3"/>
  <c r="I47" i="3"/>
  <c r="I65" i="3" s="1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46" i="3"/>
  <c r="H65" i="3"/>
  <c r="F65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I40" i="3"/>
  <c r="I44" i="3" s="1"/>
  <c r="I41" i="3"/>
  <c r="I42" i="3"/>
  <c r="I43" i="3"/>
  <c r="I39" i="3"/>
  <c r="H44" i="3"/>
  <c r="F44" i="3"/>
  <c r="H43" i="3"/>
  <c r="H40" i="3"/>
  <c r="H41" i="3"/>
  <c r="H42" i="3"/>
  <c r="F43" i="3"/>
  <c r="H37" i="3"/>
  <c r="I37" i="3"/>
  <c r="I33" i="3"/>
  <c r="I34" i="3"/>
  <c r="I35" i="3"/>
  <c r="I36" i="3"/>
  <c r="H33" i="3"/>
  <c r="H34" i="3"/>
  <c r="H35" i="3"/>
  <c r="H36" i="3"/>
  <c r="H30" i="3"/>
  <c r="I30" i="3"/>
  <c r="I26" i="3"/>
  <c r="I27" i="3"/>
  <c r="I28" i="3"/>
  <c r="I29" i="3"/>
  <c r="I25" i="3"/>
  <c r="H26" i="3"/>
  <c r="H27" i="3"/>
  <c r="H28" i="3"/>
  <c r="H29" i="3"/>
  <c r="H25" i="3"/>
  <c r="F26" i="3"/>
  <c r="F27" i="3"/>
  <c r="F28" i="3"/>
  <c r="F29" i="3"/>
  <c r="H23" i="3"/>
  <c r="I23" i="3"/>
  <c r="I19" i="3"/>
  <c r="I20" i="3"/>
  <c r="I21" i="3"/>
  <c r="I22" i="3"/>
  <c r="I18" i="3"/>
  <c r="H19" i="3"/>
  <c r="H20" i="3"/>
  <c r="H21" i="3"/>
  <c r="H22" i="3"/>
  <c r="F19" i="3"/>
  <c r="F20" i="3"/>
  <c r="F21" i="3"/>
  <c r="F22" i="3"/>
  <c r="H16" i="3"/>
  <c r="I16" i="3"/>
  <c r="I9" i="3"/>
  <c r="I10" i="3"/>
  <c r="I11" i="3"/>
  <c r="I8" i="3"/>
  <c r="I15" i="3"/>
  <c r="H15" i="3"/>
  <c r="F15" i="3"/>
  <c r="H9" i="3"/>
  <c r="H10" i="3"/>
  <c r="H11" i="3"/>
  <c r="F9" i="3"/>
  <c r="F10" i="3"/>
  <c r="F11" i="3"/>
  <c r="H260" i="11" l="1"/>
  <c r="F260" i="11"/>
  <c r="H248" i="11"/>
  <c r="F248" i="11"/>
  <c r="H212" i="11"/>
  <c r="F212" i="11"/>
  <c r="H188" i="11"/>
  <c r="I188" i="11" s="1"/>
  <c r="F188" i="11"/>
  <c r="H176" i="11"/>
  <c r="F176" i="11"/>
  <c r="F164" i="11"/>
  <c r="I164" i="11" s="1"/>
  <c r="H164" i="11"/>
  <c r="F92" i="11"/>
  <c r="H92" i="11"/>
  <c r="H80" i="11"/>
  <c r="F80" i="11"/>
  <c r="H56" i="11"/>
  <c r="H65" i="11" s="1"/>
  <c r="F56" i="11"/>
  <c r="H32" i="11"/>
  <c r="I159" i="11"/>
  <c r="H146" i="11"/>
  <c r="I127" i="11"/>
  <c r="I198" i="11"/>
  <c r="I71" i="11"/>
  <c r="I29" i="11"/>
  <c r="I133" i="11"/>
  <c r="I109" i="11"/>
  <c r="I220" i="11"/>
  <c r="I52" i="11"/>
  <c r="H152" i="11"/>
  <c r="I152" i="11" s="1"/>
  <c r="I223" i="11"/>
  <c r="I194" i="11"/>
  <c r="I114" i="11"/>
  <c r="H128" i="11"/>
  <c r="I128" i="11" s="1"/>
  <c r="I54" i="11"/>
  <c r="F104" i="11"/>
  <c r="I104" i="11" s="1"/>
  <c r="F122" i="11"/>
  <c r="I89" i="11"/>
  <c r="H115" i="11"/>
  <c r="I238" i="11"/>
  <c r="I61" i="11"/>
  <c r="F100" i="11"/>
  <c r="I153" i="11"/>
  <c r="I197" i="11"/>
  <c r="I251" i="11"/>
  <c r="I72" i="11"/>
  <c r="I84" i="11"/>
  <c r="I161" i="11"/>
  <c r="F198" i="11"/>
  <c r="H79" i="11"/>
  <c r="I79" i="11" s="1"/>
  <c r="H91" i="11"/>
  <c r="I91" i="11" s="1"/>
  <c r="I106" i="11"/>
  <c r="I145" i="11"/>
  <c r="F162" i="11"/>
  <c r="I162" i="11" s="1"/>
  <c r="I191" i="11"/>
  <c r="I228" i="11"/>
  <c r="F51" i="11"/>
  <c r="I51" i="11" s="1"/>
  <c r="F173" i="11"/>
  <c r="F245" i="11"/>
  <c r="I245" i="11" s="1"/>
  <c r="I10" i="11"/>
  <c r="I74" i="11"/>
  <c r="F139" i="11"/>
  <c r="I254" i="11"/>
  <c r="F52" i="11"/>
  <c r="I203" i="11"/>
  <c r="F231" i="11"/>
  <c r="I231" i="11" s="1"/>
  <c r="I20" i="11"/>
  <c r="I23" i="11" s="1"/>
  <c r="F28" i="11"/>
  <c r="I28" i="11" s="1"/>
  <c r="H64" i="11"/>
  <c r="I64" i="11" s="1"/>
  <c r="F75" i="11"/>
  <c r="I75" i="11" s="1"/>
  <c r="F87" i="11"/>
  <c r="I87" i="11" s="1"/>
  <c r="F102" i="11"/>
  <c r="I102" i="11" s="1"/>
  <c r="I111" i="11" s="1"/>
  <c r="F150" i="11"/>
  <c r="H186" i="11"/>
  <c r="I186" i="11" s="1"/>
  <c r="F194" i="11"/>
  <c r="F221" i="11"/>
  <c r="I221" i="11" s="1"/>
  <c r="I33" i="11"/>
  <c r="H42" i="11"/>
  <c r="I42" i="11" s="1"/>
  <c r="I99" i="11"/>
  <c r="I192" i="11"/>
  <c r="F220" i="11"/>
  <c r="F125" i="11"/>
  <c r="I125" i="11" s="1"/>
  <c r="H210" i="11"/>
  <c r="I210" i="11" s="1"/>
  <c r="F53" i="11"/>
  <c r="I53" i="11" s="1"/>
  <c r="I81" i="11"/>
  <c r="I93" i="11"/>
  <c r="F103" i="11"/>
  <c r="I103" i="11" s="1"/>
  <c r="F109" i="11"/>
  <c r="F127" i="11"/>
  <c r="F133" i="11"/>
  <c r="F158" i="11"/>
  <c r="I158" i="11" s="1"/>
  <c r="F234" i="11"/>
  <c r="F235" i="11" s="1"/>
  <c r="K235" i="11" s="1"/>
  <c r="F257" i="11"/>
  <c r="I257" i="11" s="1"/>
  <c r="I57" i="11"/>
  <c r="F149" i="11"/>
  <c r="I149" i="11" s="1"/>
  <c r="I263" i="11"/>
  <c r="I118" i="11"/>
  <c r="I36" i="11"/>
  <c r="I59" i="11"/>
  <c r="H76" i="11"/>
  <c r="I76" i="11" s="1"/>
  <c r="I82" i="11"/>
  <c r="H88" i="11"/>
  <c r="I88" i="11" s="1"/>
  <c r="I94" i="11"/>
  <c r="I119" i="11"/>
  <c r="F195" i="11"/>
  <c r="I86" i="11"/>
  <c r="I35" i="11"/>
  <c r="I120" i="11"/>
  <c r="F12" i="11"/>
  <c r="I39" i="11"/>
  <c r="I70" i="11"/>
  <c r="H96" i="11"/>
  <c r="I250" i="11"/>
  <c r="I62" i="11"/>
  <c r="I168" i="11"/>
  <c r="H224" i="11"/>
  <c r="H232" i="11"/>
  <c r="I234" i="11"/>
  <c r="I235" i="11" s="1"/>
  <c r="H266" i="11"/>
  <c r="K12" i="11"/>
  <c r="H184" i="11"/>
  <c r="I58" i="11"/>
  <c r="H100" i="11"/>
  <c r="K100" i="11" s="1"/>
  <c r="I117" i="11"/>
  <c r="H122" i="11"/>
  <c r="K122" i="11" s="1"/>
  <c r="I170" i="11"/>
  <c r="H16" i="11"/>
  <c r="I100" i="11"/>
  <c r="H166" i="11"/>
  <c r="I155" i="11"/>
  <c r="I180" i="11"/>
  <c r="H240" i="11"/>
  <c r="I259" i="11"/>
  <c r="F137" i="11"/>
  <c r="I229" i="11"/>
  <c r="I246" i="11"/>
  <c r="I49" i="11"/>
  <c r="H137" i="11"/>
  <c r="I156" i="11"/>
  <c r="I173" i="11"/>
  <c r="I189" i="11"/>
  <c r="I195" i="11"/>
  <c r="H30" i="11"/>
  <c r="I50" i="11"/>
  <c r="I55" i="11"/>
  <c r="I150" i="11"/>
  <c r="I239" i="11"/>
  <c r="I32" i="11"/>
  <c r="H37" i="11"/>
  <c r="K37" i="11" s="1"/>
  <c r="H111" i="11"/>
  <c r="I142" i="11"/>
  <c r="I151" i="11"/>
  <c r="I165" i="11"/>
  <c r="I183" i="11"/>
  <c r="H23" i="11"/>
  <c r="I46" i="11"/>
  <c r="F141" i="11"/>
  <c r="F144" i="11"/>
  <c r="I144" i="11" s="1"/>
  <c r="F169" i="11"/>
  <c r="I169" i="11" s="1"/>
  <c r="F172" i="11"/>
  <c r="I172" i="11" s="1"/>
  <c r="F175" i="11"/>
  <c r="I175" i="11" s="1"/>
  <c r="F14" i="11"/>
  <c r="F16" i="11" s="1"/>
  <c r="F27" i="11"/>
  <c r="F30" i="11" s="1"/>
  <c r="F40" i="11"/>
  <c r="F44" i="11" s="1"/>
  <c r="F113" i="11"/>
  <c r="F126" i="11"/>
  <c r="I126" i="11" s="1"/>
  <c r="F129" i="11"/>
  <c r="I129" i="11" s="1"/>
  <c r="F132" i="11"/>
  <c r="I132" i="11" s="1"/>
  <c r="F135" i="11"/>
  <c r="I135" i="11" s="1"/>
  <c r="F227" i="11"/>
  <c r="I227" i="11" s="1"/>
  <c r="F230" i="11"/>
  <c r="I230" i="11" s="1"/>
  <c r="F237" i="11"/>
  <c r="F240" i="11" s="1"/>
  <c r="F244" i="11"/>
  <c r="F247" i="11"/>
  <c r="I247" i="11" s="1"/>
  <c r="F250" i="11"/>
  <c r="F253" i="11"/>
  <c r="I253" i="11" s="1"/>
  <c r="F256" i="11"/>
  <c r="I256" i="11" s="1"/>
  <c r="F259" i="11"/>
  <c r="F262" i="11"/>
  <c r="I262" i="11" s="1"/>
  <c r="F265" i="11"/>
  <c r="I265" i="11" s="1"/>
  <c r="F47" i="11"/>
  <c r="F148" i="11"/>
  <c r="F151" i="11"/>
  <c r="F154" i="11"/>
  <c r="I154" i="11" s="1"/>
  <c r="F157" i="11"/>
  <c r="I157" i="11" s="1"/>
  <c r="F160" i="11"/>
  <c r="I160" i="11" s="1"/>
  <c r="F163" i="11"/>
  <c r="I163" i="11" s="1"/>
  <c r="F179" i="11"/>
  <c r="I179" i="11" s="1"/>
  <c r="F182" i="11"/>
  <c r="I182" i="11" s="1"/>
  <c r="F204" i="11"/>
  <c r="I204" i="11" s="1"/>
  <c r="F207" i="11"/>
  <c r="I207" i="11" s="1"/>
  <c r="F23" i="11"/>
  <c r="I139" i="11"/>
  <c r="F202" i="11"/>
  <c r="F205" i="11"/>
  <c r="I205" i="11" s="1"/>
  <c r="F208" i="11"/>
  <c r="I208" i="11" s="1"/>
  <c r="F211" i="11"/>
  <c r="I211" i="11" s="1"/>
  <c r="F219" i="11"/>
  <c r="I219" i="11" s="1"/>
  <c r="F222" i="11"/>
  <c r="I222" i="11" s="1"/>
  <c r="F140" i="11"/>
  <c r="I140" i="11" s="1"/>
  <c r="F143" i="11"/>
  <c r="I143" i="11" s="1"/>
  <c r="F168" i="11"/>
  <c r="F171" i="11"/>
  <c r="I171" i="11" s="1"/>
  <c r="F174" i="11"/>
  <c r="I174" i="11" s="1"/>
  <c r="F187" i="11"/>
  <c r="I187" i="11" s="1"/>
  <c r="F190" i="11"/>
  <c r="I190" i="11" s="1"/>
  <c r="F193" i="11"/>
  <c r="F196" i="11"/>
  <c r="I196" i="11" s="1"/>
  <c r="F199" i="11"/>
  <c r="I199" i="11" s="1"/>
  <c r="I9" i="11"/>
  <c r="F226" i="11"/>
  <c r="I226" i="11" s="1"/>
  <c r="F229" i="11"/>
  <c r="F239" i="11"/>
  <c r="F246" i="11"/>
  <c r="F249" i="11"/>
  <c r="I249" i="11" s="1"/>
  <c r="F252" i="11"/>
  <c r="I252" i="11" s="1"/>
  <c r="F255" i="11"/>
  <c r="I255" i="11" s="1"/>
  <c r="F258" i="11"/>
  <c r="I258" i="11" s="1"/>
  <c r="F261" i="11"/>
  <c r="I261" i="11" s="1"/>
  <c r="F264" i="11"/>
  <c r="I264" i="11" s="1"/>
  <c r="F115" i="10"/>
  <c r="I249" i="10"/>
  <c r="F247" i="10"/>
  <c r="H247" i="10"/>
  <c r="I247" i="10" s="1"/>
  <c r="I82" i="10"/>
  <c r="H111" i="10"/>
  <c r="K111" i="10" s="1"/>
  <c r="I102" i="10"/>
  <c r="I106" i="10"/>
  <c r="F119" i="10"/>
  <c r="H119" i="10"/>
  <c r="H125" i="10"/>
  <c r="F125" i="10"/>
  <c r="I143" i="10"/>
  <c r="F202" i="10"/>
  <c r="H207" i="10"/>
  <c r="F207" i="10"/>
  <c r="I221" i="10"/>
  <c r="F23" i="10"/>
  <c r="I77" i="10"/>
  <c r="I95" i="10"/>
  <c r="H177" i="10"/>
  <c r="K177" i="10" s="1"/>
  <c r="I168" i="10"/>
  <c r="I177" i="10" s="1"/>
  <c r="I180" i="10"/>
  <c r="I196" i="10"/>
  <c r="I208" i="10"/>
  <c r="I228" i="10"/>
  <c r="F253" i="10"/>
  <c r="H253" i="10"/>
  <c r="I253" i="10" s="1"/>
  <c r="I262" i="10"/>
  <c r="I18" i="10"/>
  <c r="I23" i="10" s="1"/>
  <c r="H23" i="10"/>
  <c r="I29" i="10"/>
  <c r="H43" i="10"/>
  <c r="F43" i="10"/>
  <c r="H50" i="10"/>
  <c r="F50" i="10"/>
  <c r="H56" i="10"/>
  <c r="F56" i="10"/>
  <c r="I62" i="10"/>
  <c r="F71" i="10"/>
  <c r="I71" i="10" s="1"/>
  <c r="F77" i="10"/>
  <c r="F83" i="10"/>
  <c r="I83" i="10" s="1"/>
  <c r="F89" i="10"/>
  <c r="I89" i="10" s="1"/>
  <c r="F95" i="10"/>
  <c r="H115" i="10"/>
  <c r="F126" i="10"/>
  <c r="I126" i="10" s="1"/>
  <c r="I161" i="10"/>
  <c r="F208" i="10"/>
  <c r="H96" i="10"/>
  <c r="F25" i="10"/>
  <c r="F30" i="10" s="1"/>
  <c r="I63" i="10"/>
  <c r="H32" i="10"/>
  <c r="F63" i="10"/>
  <c r="I72" i="10"/>
  <c r="I78" i="10"/>
  <c r="I84" i="10"/>
  <c r="I90" i="10"/>
  <c r="I157" i="10"/>
  <c r="I182" i="10"/>
  <c r="I188" i="10"/>
  <c r="I200" i="10" s="1"/>
  <c r="H204" i="10"/>
  <c r="I204" i="10" s="1"/>
  <c r="F204" i="10"/>
  <c r="I210" i="10"/>
  <c r="F14" i="10"/>
  <c r="F16" i="10" s="1"/>
  <c r="F26" i="10"/>
  <c r="I26" i="10" s="1"/>
  <c r="I73" i="10"/>
  <c r="I79" i="10"/>
  <c r="I85" i="10"/>
  <c r="I91" i="10"/>
  <c r="I128" i="10"/>
  <c r="I133" i="10"/>
  <c r="I170" i="10"/>
  <c r="I205" i="10"/>
  <c r="F210" i="10"/>
  <c r="F250" i="10"/>
  <c r="H250" i="10"/>
  <c r="I250" i="10" s="1"/>
  <c r="I264" i="10"/>
  <c r="H9" i="10"/>
  <c r="F9" i="10"/>
  <c r="F12" i="10" s="1"/>
  <c r="I46" i="10"/>
  <c r="I80" i="10"/>
  <c r="I86" i="10"/>
  <c r="I92" i="10"/>
  <c r="H122" i="10"/>
  <c r="F141" i="10"/>
  <c r="F146" i="10" s="1"/>
  <c r="H141" i="10"/>
  <c r="I141" i="10" s="1"/>
  <c r="H30" i="10"/>
  <c r="I139" i="10"/>
  <c r="I146" i="10" s="1"/>
  <c r="H146" i="10"/>
  <c r="K146" i="10" s="1"/>
  <c r="F51" i="10"/>
  <c r="H51" i="10"/>
  <c r="I51" i="10" s="1"/>
  <c r="I103" i="10"/>
  <c r="I33" i="10"/>
  <c r="H40" i="10"/>
  <c r="I40" i="10" s="1"/>
  <c r="F40" i="10"/>
  <c r="H47" i="10"/>
  <c r="F47" i="10"/>
  <c r="F65" i="10" s="1"/>
  <c r="H53" i="10"/>
  <c r="F53" i="10"/>
  <c r="H59" i="10"/>
  <c r="F59" i="10"/>
  <c r="I135" i="10"/>
  <c r="F166" i="10"/>
  <c r="I231" i="10"/>
  <c r="I260" i="10"/>
  <c r="H100" i="10"/>
  <c r="K100" i="10" s="1"/>
  <c r="I99" i="10"/>
  <c r="F135" i="10"/>
  <c r="I166" i="10"/>
  <c r="H232" i="10"/>
  <c r="F256" i="10"/>
  <c r="I256" i="10" s="1"/>
  <c r="F57" i="10"/>
  <c r="H57" i="10"/>
  <c r="H16" i="10"/>
  <c r="K16" i="10" s="1"/>
  <c r="F41" i="10"/>
  <c r="H41" i="10"/>
  <c r="I41" i="10" s="1"/>
  <c r="F48" i="10"/>
  <c r="H48" i="10"/>
  <c r="I48" i="10" s="1"/>
  <c r="F54" i="10"/>
  <c r="H54" i="10"/>
  <c r="I54" i="10" s="1"/>
  <c r="F60" i="10"/>
  <c r="H60" i="10"/>
  <c r="F130" i="10"/>
  <c r="H130" i="10"/>
  <c r="I130" i="10" s="1"/>
  <c r="H184" i="10"/>
  <c r="H220" i="10"/>
  <c r="F220" i="10"/>
  <c r="F224" i="10" s="1"/>
  <c r="F179" i="10"/>
  <c r="I179" i="10" s="1"/>
  <c r="I184" i="10" s="1"/>
  <c r="F182" i="10"/>
  <c r="I226" i="10"/>
  <c r="F230" i="10"/>
  <c r="F232" i="10" s="1"/>
  <c r="F34" i="10"/>
  <c r="I34" i="10" s="1"/>
  <c r="F70" i="10"/>
  <c r="I70" i="10" s="1"/>
  <c r="I96" i="10" s="1"/>
  <c r="F73" i="10"/>
  <c r="F76" i="10"/>
  <c r="I76" i="10" s="1"/>
  <c r="F79" i="10"/>
  <c r="F82" i="10"/>
  <c r="F85" i="10"/>
  <c r="F88" i="10"/>
  <c r="I88" i="10" s="1"/>
  <c r="F91" i="10"/>
  <c r="F94" i="10"/>
  <c r="I94" i="10" s="1"/>
  <c r="F134" i="10"/>
  <c r="F137" i="10" s="1"/>
  <c r="H166" i="10"/>
  <c r="I98" i="10"/>
  <c r="I100" i="10" s="1"/>
  <c r="H200" i="10"/>
  <c r="K200" i="10" s="1"/>
  <c r="F114" i="10"/>
  <c r="I114" i="10" s="1"/>
  <c r="I115" i="10" s="1"/>
  <c r="F118" i="10"/>
  <c r="I118" i="10" s="1"/>
  <c r="F246" i="10"/>
  <c r="F249" i="10"/>
  <c r="F252" i="10"/>
  <c r="I252" i="10" s="1"/>
  <c r="I264" i="8"/>
  <c r="H140" i="8"/>
  <c r="F140" i="8"/>
  <c r="I140" i="8" s="1"/>
  <c r="H248" i="8"/>
  <c r="I248" i="8" s="1"/>
  <c r="F248" i="8"/>
  <c r="I29" i="8"/>
  <c r="I135" i="8"/>
  <c r="I51" i="8"/>
  <c r="I162" i="8"/>
  <c r="I40" i="8"/>
  <c r="I186" i="8"/>
  <c r="I110" i="8"/>
  <c r="F146" i="8"/>
  <c r="H260" i="8"/>
  <c r="I260" i="8" s="1"/>
  <c r="F260" i="8"/>
  <c r="H188" i="8"/>
  <c r="F188" i="8"/>
  <c r="H176" i="8"/>
  <c r="F176" i="8"/>
  <c r="H128" i="8"/>
  <c r="I128" i="8" s="1"/>
  <c r="F128" i="8"/>
  <c r="I126" i="8"/>
  <c r="I139" i="8"/>
  <c r="I223" i="8"/>
  <c r="F55" i="8"/>
  <c r="H55" i="8"/>
  <c r="I55" i="8" s="1"/>
  <c r="F16" i="8"/>
  <c r="K235" i="8"/>
  <c r="I222" i="8"/>
  <c r="I198" i="8"/>
  <c r="I174" i="8"/>
  <c r="I90" i="8"/>
  <c r="I163" i="8"/>
  <c r="I79" i="8"/>
  <c r="I93" i="8"/>
  <c r="I64" i="8"/>
  <c r="H212" i="8"/>
  <c r="F212" i="8"/>
  <c r="H104" i="8"/>
  <c r="I104" i="8" s="1"/>
  <c r="I157" i="8"/>
  <c r="I257" i="8"/>
  <c r="I131" i="8"/>
  <c r="F164" i="8"/>
  <c r="H164" i="8"/>
  <c r="I164" i="8" s="1"/>
  <c r="I127" i="8"/>
  <c r="I84" i="8"/>
  <c r="H152" i="8"/>
  <c r="H166" i="8" s="1"/>
  <c r="F152" i="8"/>
  <c r="I42" i="8"/>
  <c r="I250" i="8"/>
  <c r="I26" i="8"/>
  <c r="I61" i="8"/>
  <c r="F187" i="8"/>
  <c r="I187" i="8" s="1"/>
  <c r="I221" i="8"/>
  <c r="H127" i="8"/>
  <c r="I158" i="8"/>
  <c r="F222" i="8"/>
  <c r="F198" i="8"/>
  <c r="H211" i="8"/>
  <c r="I211" i="8" s="1"/>
  <c r="H259" i="8"/>
  <c r="I259" i="8" s="1"/>
  <c r="I9" i="8"/>
  <c r="I12" i="8" s="1"/>
  <c r="H28" i="8"/>
  <c r="F148" i="8"/>
  <c r="I159" i="8"/>
  <c r="F223" i="8"/>
  <c r="I19" i="8"/>
  <c r="I36" i="8"/>
  <c r="H89" i="8"/>
  <c r="I89" i="8" s="1"/>
  <c r="F160" i="8"/>
  <c r="F173" i="8"/>
  <c r="I173" i="8" s="1"/>
  <c r="F199" i="8"/>
  <c r="I199" i="8" s="1"/>
  <c r="F255" i="8"/>
  <c r="I10" i="8"/>
  <c r="F29" i="8"/>
  <c r="F39" i="8"/>
  <c r="I39" i="8" s="1"/>
  <c r="I82" i="8"/>
  <c r="F135" i="8"/>
  <c r="F149" i="8"/>
  <c r="I149" i="8" s="1"/>
  <c r="I154" i="8"/>
  <c r="H207" i="8"/>
  <c r="I207" i="8" s="1"/>
  <c r="F234" i="8"/>
  <c r="F235" i="8" s="1"/>
  <c r="F247" i="8"/>
  <c r="I247" i="8" s="1"/>
  <c r="I209" i="8"/>
  <c r="I34" i="8"/>
  <c r="I228" i="8"/>
  <c r="I258" i="8"/>
  <c r="I145" i="8"/>
  <c r="H240" i="8"/>
  <c r="F64" i="8"/>
  <c r="I153" i="8"/>
  <c r="I230" i="8"/>
  <c r="F90" i="8"/>
  <c r="F99" i="8"/>
  <c r="I99" i="8" s="1"/>
  <c r="I121" i="8"/>
  <c r="F174" i="8"/>
  <c r="F182" i="8"/>
  <c r="I182" i="8" s="1"/>
  <c r="F256" i="8"/>
  <c r="I256" i="8" s="1"/>
  <c r="I265" i="8"/>
  <c r="F40" i="8"/>
  <c r="F78" i="8"/>
  <c r="I78" i="8" s="1"/>
  <c r="F84" i="8"/>
  <c r="F110" i="8"/>
  <c r="F136" i="8"/>
  <c r="I136" i="8" s="1"/>
  <c r="F150" i="8"/>
  <c r="I150" i="8" s="1"/>
  <c r="I155" i="8"/>
  <c r="H161" i="8"/>
  <c r="I161" i="8" s="1"/>
  <c r="F169" i="8"/>
  <c r="I169" i="8" s="1"/>
  <c r="F195" i="8"/>
  <c r="F200" i="8" s="1"/>
  <c r="F208" i="8"/>
  <c r="I208" i="8" s="1"/>
  <c r="I213" i="8"/>
  <c r="I261" i="8"/>
  <c r="F14" i="8"/>
  <c r="I14" i="8" s="1"/>
  <c r="F51" i="8"/>
  <c r="F124" i="8"/>
  <c r="F156" i="8"/>
  <c r="F162" i="8"/>
  <c r="I190" i="8"/>
  <c r="H219" i="8"/>
  <c r="H224" i="8" s="1"/>
  <c r="H241" i="8" s="1"/>
  <c r="F240" i="8"/>
  <c r="I238" i="8"/>
  <c r="I27" i="8"/>
  <c r="I107" i="8"/>
  <c r="I165" i="8"/>
  <c r="I33" i="8"/>
  <c r="H56" i="8"/>
  <c r="I56" i="8" s="1"/>
  <c r="F56" i="8"/>
  <c r="H109" i="8"/>
  <c r="F109" i="8"/>
  <c r="I119" i="8"/>
  <c r="I151" i="8"/>
  <c r="I183" i="8"/>
  <c r="F83" i="8"/>
  <c r="I83" i="8" s="1"/>
  <c r="H146" i="8"/>
  <c r="H44" i="8"/>
  <c r="I113" i="8"/>
  <c r="I124" i="8"/>
  <c r="I15" i="8"/>
  <c r="I16" i="8" s="1"/>
  <c r="H25" i="8"/>
  <c r="F25" i="8"/>
  <c r="F30" i="8" s="1"/>
  <c r="I76" i="8"/>
  <c r="I142" i="8"/>
  <c r="F23" i="8"/>
  <c r="I60" i="8"/>
  <c r="F76" i="8"/>
  <c r="H122" i="8"/>
  <c r="I117" i="8"/>
  <c r="K23" i="8"/>
  <c r="I48" i="8"/>
  <c r="H102" i="8"/>
  <c r="F102" i="8"/>
  <c r="I11" i="8"/>
  <c r="F94" i="8"/>
  <c r="I94" i="8" s="1"/>
  <c r="I171" i="8"/>
  <c r="I191" i="8"/>
  <c r="F52" i="8"/>
  <c r="I52" i="8" s="1"/>
  <c r="I105" i="8"/>
  <c r="H65" i="8"/>
  <c r="I253" i="8"/>
  <c r="F12" i="8"/>
  <c r="I20" i="8"/>
  <c r="H200" i="8"/>
  <c r="I237" i="8"/>
  <c r="I35" i="8"/>
  <c r="H125" i="8"/>
  <c r="F125" i="8"/>
  <c r="F137" i="8" s="1"/>
  <c r="I152" i="8"/>
  <c r="F231" i="8"/>
  <c r="I231" i="8" s="1"/>
  <c r="H249" i="8"/>
  <c r="F249" i="8"/>
  <c r="H73" i="8"/>
  <c r="I73" i="8" s="1"/>
  <c r="F106" i="8"/>
  <c r="I106" i="8" s="1"/>
  <c r="F120" i="8"/>
  <c r="I120" i="8" s="1"/>
  <c r="F254" i="8"/>
  <c r="I254" i="8" s="1"/>
  <c r="H49" i="8"/>
  <c r="I49" i="8" s="1"/>
  <c r="F70" i="8"/>
  <c r="I70" i="8" s="1"/>
  <c r="F77" i="8"/>
  <c r="I77" i="8" s="1"/>
  <c r="F88" i="8"/>
  <c r="I88" i="8" s="1"/>
  <c r="F95" i="8"/>
  <c r="I95" i="8" s="1"/>
  <c r="F134" i="8"/>
  <c r="I134" i="8" s="1"/>
  <c r="I143" i="8"/>
  <c r="F32" i="8"/>
  <c r="F37" i="8" s="1"/>
  <c r="F41" i="8"/>
  <c r="I41" i="8" s="1"/>
  <c r="H62" i="8"/>
  <c r="F62" i="8"/>
  <c r="I92" i="8"/>
  <c r="F103" i="8"/>
  <c r="I103" i="8" s="1"/>
  <c r="F206" i="8"/>
  <c r="I206" i="8" s="1"/>
  <c r="H37" i="8"/>
  <c r="F46" i="8"/>
  <c r="F58" i="8"/>
  <c r="I58" i="8" s="1"/>
  <c r="F74" i="8"/>
  <c r="I74" i="8" s="1"/>
  <c r="F85" i="8"/>
  <c r="I85" i="8" s="1"/>
  <c r="F92" i="8"/>
  <c r="F117" i="8"/>
  <c r="H184" i="8"/>
  <c r="F183" i="8"/>
  <c r="F210" i="8"/>
  <c r="I210" i="8" s="1"/>
  <c r="I239" i="8"/>
  <c r="H246" i="8"/>
  <c r="F246" i="8"/>
  <c r="I18" i="8"/>
  <c r="I23" i="8" s="1"/>
  <c r="I28" i="8"/>
  <c r="I71" i="8"/>
  <c r="H100" i="8"/>
  <c r="I179" i="8"/>
  <c r="F203" i="8"/>
  <c r="I203" i="8" s="1"/>
  <c r="I234" i="8"/>
  <c r="I235" i="8" s="1"/>
  <c r="F251" i="8"/>
  <c r="I251" i="8" s="1"/>
  <c r="I255" i="8"/>
  <c r="H16" i="8"/>
  <c r="F100" i="8"/>
  <c r="I98" i="8"/>
  <c r="I156" i="8"/>
  <c r="H232" i="8"/>
  <c r="F220" i="8"/>
  <c r="I220" i="8" s="1"/>
  <c r="F80" i="8"/>
  <c r="I80" i="8" s="1"/>
  <c r="F91" i="8"/>
  <c r="I91" i="8" s="1"/>
  <c r="I196" i="8"/>
  <c r="I192" i="8"/>
  <c r="F245" i="8"/>
  <c r="I148" i="8"/>
  <c r="I188" i="8"/>
  <c r="I168" i="8"/>
  <c r="F86" i="8"/>
  <c r="I86" i="8" s="1"/>
  <c r="I132" i="8"/>
  <c r="I160" i="8"/>
  <c r="I204" i="8"/>
  <c r="H252" i="8"/>
  <c r="F252" i="8"/>
  <c r="H12" i="8"/>
  <c r="F47" i="8"/>
  <c r="I47" i="8" s="1"/>
  <c r="F50" i="8"/>
  <c r="I50" i="8" s="1"/>
  <c r="F53" i="8"/>
  <c r="I53" i="8" s="1"/>
  <c r="F59" i="8"/>
  <c r="I59" i="8" s="1"/>
  <c r="F114" i="8"/>
  <c r="I114" i="8" s="1"/>
  <c r="F118" i="8"/>
  <c r="I118" i="8" s="1"/>
  <c r="F181" i="8"/>
  <c r="I181" i="8" s="1"/>
  <c r="F229" i="8"/>
  <c r="I229" i="8" s="1"/>
  <c r="I176" i="5"/>
  <c r="I152" i="5"/>
  <c r="I80" i="5"/>
  <c r="I247" i="5"/>
  <c r="I29" i="5"/>
  <c r="I164" i="5"/>
  <c r="H92" i="5"/>
  <c r="F92" i="5"/>
  <c r="I136" i="5"/>
  <c r="I175" i="5"/>
  <c r="I228" i="5"/>
  <c r="F223" i="5"/>
  <c r="H223" i="5"/>
  <c r="I223" i="5" s="1"/>
  <c r="I187" i="5"/>
  <c r="H127" i="5"/>
  <c r="F127" i="5"/>
  <c r="H128" i="5"/>
  <c r="I128" i="5" s="1"/>
  <c r="I145" i="5"/>
  <c r="I213" i="5"/>
  <c r="F247" i="5"/>
  <c r="H222" i="5"/>
  <c r="F222" i="5"/>
  <c r="F54" i="5"/>
  <c r="H54" i="5"/>
  <c r="I54" i="5" s="1"/>
  <c r="I71" i="5"/>
  <c r="I157" i="5"/>
  <c r="F176" i="5"/>
  <c r="F234" i="5"/>
  <c r="F235" i="5" s="1"/>
  <c r="K235" i="5" s="1"/>
  <c r="I245" i="5"/>
  <c r="H173" i="5"/>
  <c r="F173" i="5"/>
  <c r="H161" i="5"/>
  <c r="F161" i="5"/>
  <c r="F149" i="5"/>
  <c r="F166" i="5" s="1"/>
  <c r="H149" i="5"/>
  <c r="I99" i="5"/>
  <c r="I129" i="5"/>
  <c r="H139" i="5"/>
  <c r="I139" i="5" s="1"/>
  <c r="I146" i="5" s="1"/>
  <c r="F151" i="5"/>
  <c r="I151" i="5" s="1"/>
  <c r="F199" i="5"/>
  <c r="I220" i="5"/>
  <c r="H248" i="5"/>
  <c r="I248" i="5" s="1"/>
  <c r="F244" i="5"/>
  <c r="H244" i="5"/>
  <c r="H266" i="5" s="1"/>
  <c r="H272" i="5" s="1"/>
  <c r="I172" i="5"/>
  <c r="H160" i="5"/>
  <c r="F160" i="5"/>
  <c r="H148" i="5"/>
  <c r="F148" i="5"/>
  <c r="F29" i="5"/>
  <c r="H40" i="5"/>
  <c r="H44" i="5" s="1"/>
  <c r="I57" i="5"/>
  <c r="I158" i="5"/>
  <c r="H259" i="5"/>
  <c r="I259" i="5" s="1"/>
  <c r="F195" i="5"/>
  <c r="H195" i="5"/>
  <c r="I195" i="5" s="1"/>
  <c r="H63" i="5"/>
  <c r="I63" i="5" s="1"/>
  <c r="F63" i="5"/>
  <c r="H15" i="5"/>
  <c r="F15" i="5"/>
  <c r="I15" i="5" s="1"/>
  <c r="I19" i="5"/>
  <c r="H77" i="5"/>
  <c r="I77" i="5" s="1"/>
  <c r="F89" i="5"/>
  <c r="I89" i="5" s="1"/>
  <c r="F103" i="5"/>
  <c r="I130" i="5"/>
  <c r="F152" i="5"/>
  <c r="F159" i="5"/>
  <c r="I159" i="5" s="1"/>
  <c r="I191" i="5"/>
  <c r="F221" i="5"/>
  <c r="I221" i="5" s="1"/>
  <c r="I110" i="5"/>
  <c r="H16" i="5"/>
  <c r="I119" i="5"/>
  <c r="F260" i="5"/>
  <c r="I260" i="5" s="1"/>
  <c r="I181" i="5"/>
  <c r="I64" i="5"/>
  <c r="H212" i="5"/>
  <c r="F212" i="5"/>
  <c r="H188" i="5"/>
  <c r="F188" i="5"/>
  <c r="H140" i="5"/>
  <c r="F140" i="5"/>
  <c r="I140" i="5" s="1"/>
  <c r="H104" i="5"/>
  <c r="F104" i="5"/>
  <c r="I197" i="5"/>
  <c r="I199" i="5"/>
  <c r="I103" i="5"/>
  <c r="I36" i="5"/>
  <c r="I109" i="5"/>
  <c r="I165" i="5"/>
  <c r="H210" i="5"/>
  <c r="F210" i="5"/>
  <c r="F126" i="5"/>
  <c r="H126" i="5"/>
  <c r="I126" i="5" s="1"/>
  <c r="H150" i="5"/>
  <c r="I150" i="5" s="1"/>
  <c r="H257" i="5"/>
  <c r="F257" i="5"/>
  <c r="I257" i="5" s="1"/>
  <c r="H115" i="5"/>
  <c r="I20" i="5"/>
  <c r="H162" i="5"/>
  <c r="I162" i="5" s="1"/>
  <c r="F171" i="5"/>
  <c r="I171" i="5" s="1"/>
  <c r="H207" i="5"/>
  <c r="I207" i="5" s="1"/>
  <c r="I60" i="5"/>
  <c r="F80" i="5"/>
  <c r="I153" i="5"/>
  <c r="F163" i="5"/>
  <c r="I163" i="5" s="1"/>
  <c r="I48" i="5"/>
  <c r="I107" i="5"/>
  <c r="I143" i="5"/>
  <c r="F172" i="5"/>
  <c r="F186" i="5"/>
  <c r="F211" i="5"/>
  <c r="H211" i="5"/>
  <c r="I211" i="5" s="1"/>
  <c r="I51" i="5"/>
  <c r="F258" i="5"/>
  <c r="H258" i="5"/>
  <c r="I258" i="5" s="1"/>
  <c r="F42" i="5"/>
  <c r="H42" i="5"/>
  <c r="I42" i="5" s="1"/>
  <c r="I39" i="5"/>
  <c r="F12" i="5"/>
  <c r="I135" i="5"/>
  <c r="H174" i="5"/>
  <c r="I174" i="5" s="1"/>
  <c r="H196" i="5"/>
  <c r="I196" i="5" s="1"/>
  <c r="I193" i="5"/>
  <c r="I22" i="5"/>
  <c r="I155" i="5"/>
  <c r="H204" i="5"/>
  <c r="I204" i="5" s="1"/>
  <c r="F230" i="5"/>
  <c r="I230" i="5" s="1"/>
  <c r="I251" i="5"/>
  <c r="F169" i="5"/>
  <c r="I169" i="5" s="1"/>
  <c r="F181" i="5"/>
  <c r="I189" i="5"/>
  <c r="I61" i="5"/>
  <c r="F74" i="5"/>
  <c r="I74" i="5" s="1"/>
  <c r="F194" i="5"/>
  <c r="I194" i="5" s="1"/>
  <c r="F240" i="5"/>
  <c r="K240" i="5" s="1"/>
  <c r="F14" i="5"/>
  <c r="F23" i="5"/>
  <c r="K23" i="5" s="1"/>
  <c r="I83" i="5"/>
  <c r="I154" i="5"/>
  <c r="H184" i="5"/>
  <c r="H240" i="5"/>
  <c r="I250" i="5"/>
  <c r="H37" i="5"/>
  <c r="I40" i="5"/>
  <c r="I44" i="5" s="1"/>
  <c r="H30" i="5"/>
  <c r="I33" i="5"/>
  <c r="I41" i="5"/>
  <c r="I50" i="5"/>
  <c r="I75" i="5"/>
  <c r="K100" i="5"/>
  <c r="H122" i="5"/>
  <c r="H232" i="5"/>
  <c r="I58" i="5"/>
  <c r="K12" i="5"/>
  <c r="I85" i="5"/>
  <c r="I102" i="5"/>
  <c r="I210" i="5"/>
  <c r="I249" i="5"/>
  <c r="I47" i="5"/>
  <c r="I72" i="5"/>
  <c r="I94" i="5"/>
  <c r="I124" i="5"/>
  <c r="I256" i="5"/>
  <c r="I18" i="5"/>
  <c r="F41" i="5"/>
  <c r="F44" i="5" s="1"/>
  <c r="F102" i="5"/>
  <c r="F105" i="5"/>
  <c r="I105" i="5" s="1"/>
  <c r="F108" i="5"/>
  <c r="I108" i="5" s="1"/>
  <c r="I141" i="5"/>
  <c r="H166" i="5"/>
  <c r="I186" i="5"/>
  <c r="I10" i="5"/>
  <c r="I12" i="5" s="1"/>
  <c r="I14" i="5"/>
  <c r="I16" i="5" s="1"/>
  <c r="F70" i="5"/>
  <c r="F73" i="5"/>
  <c r="I73" i="5" s="1"/>
  <c r="F76" i="5"/>
  <c r="I76" i="5" s="1"/>
  <c r="F79" i="5"/>
  <c r="I79" i="5" s="1"/>
  <c r="F82" i="5"/>
  <c r="I82" i="5" s="1"/>
  <c r="F85" i="5"/>
  <c r="F88" i="5"/>
  <c r="I88" i="5" s="1"/>
  <c r="F91" i="5"/>
  <c r="I91" i="5" s="1"/>
  <c r="F94" i="5"/>
  <c r="F134" i="5"/>
  <c r="I134" i="5" s="1"/>
  <c r="I179" i="5"/>
  <c r="F203" i="5"/>
  <c r="I203" i="5" s="1"/>
  <c r="F206" i="5"/>
  <c r="I206" i="5" s="1"/>
  <c r="F219" i="5"/>
  <c r="I239" i="5"/>
  <c r="I240" i="5" s="1"/>
  <c r="F46" i="5"/>
  <c r="F49" i="5"/>
  <c r="I49" i="5" s="1"/>
  <c r="F52" i="5"/>
  <c r="I52" i="5" s="1"/>
  <c r="F55" i="5"/>
  <c r="I55" i="5" s="1"/>
  <c r="F58" i="5"/>
  <c r="F113" i="5"/>
  <c r="F117" i="5"/>
  <c r="I117" i="5" s="1"/>
  <c r="F120" i="5"/>
  <c r="I120" i="5" s="1"/>
  <c r="F180" i="5"/>
  <c r="I180" i="5" s="1"/>
  <c r="F183" i="5"/>
  <c r="I183" i="5" s="1"/>
  <c r="F231" i="5"/>
  <c r="I231" i="5" s="1"/>
  <c r="I98" i="5"/>
  <c r="I100" i="5" s="1"/>
  <c r="I227" i="5"/>
  <c r="F28" i="5"/>
  <c r="I28" i="5" s="1"/>
  <c r="F32" i="5"/>
  <c r="F37" i="5" s="1"/>
  <c r="F62" i="5"/>
  <c r="I62" i="5" s="1"/>
  <c r="F125" i="5"/>
  <c r="F246" i="5"/>
  <c r="I246" i="5" s="1"/>
  <c r="F249" i="5"/>
  <c r="F252" i="5"/>
  <c r="I252" i="5" s="1"/>
  <c r="F25" i="5"/>
  <c r="F47" i="5"/>
  <c r="F50" i="5"/>
  <c r="F53" i="5"/>
  <c r="I53" i="5" s="1"/>
  <c r="F56" i="5"/>
  <c r="I56" i="5" s="1"/>
  <c r="F59" i="5"/>
  <c r="I59" i="5" s="1"/>
  <c r="F114" i="5"/>
  <c r="I114" i="5" s="1"/>
  <c r="F118" i="5"/>
  <c r="I118" i="5" s="1"/>
  <c r="F72" i="5"/>
  <c r="F75" i="5"/>
  <c r="F78" i="5"/>
  <c r="I78" i="5" s="1"/>
  <c r="F81" i="5"/>
  <c r="I81" i="5" s="1"/>
  <c r="F84" i="5"/>
  <c r="I84" i="5" s="1"/>
  <c r="F87" i="5"/>
  <c r="I87" i="5" s="1"/>
  <c r="F90" i="5"/>
  <c r="I90" i="5" s="1"/>
  <c r="F93" i="5"/>
  <c r="I93" i="5" s="1"/>
  <c r="F133" i="5"/>
  <c r="I133" i="5" s="1"/>
  <c r="F202" i="5"/>
  <c r="I202" i="5" s="1"/>
  <c r="F205" i="5"/>
  <c r="I205" i="5" s="1"/>
  <c r="F208" i="5"/>
  <c r="I208" i="5" s="1"/>
  <c r="F256" i="5"/>
  <c r="I164" i="6"/>
  <c r="I20" i="6"/>
  <c r="F23" i="6"/>
  <c r="I148" i="6"/>
  <c r="I79" i="6"/>
  <c r="H166" i="6"/>
  <c r="K166" i="6" s="1"/>
  <c r="I150" i="6"/>
  <c r="I166" i="6" s="1"/>
  <c r="I152" i="6"/>
  <c r="I161" i="6"/>
  <c r="I125" i="6"/>
  <c r="H115" i="6"/>
  <c r="I172" i="6"/>
  <c r="I27" i="6"/>
  <c r="I39" i="6"/>
  <c r="I140" i="6"/>
  <c r="F177" i="6"/>
  <c r="I173" i="6"/>
  <c r="I177" i="6" s="1"/>
  <c r="I212" i="6"/>
  <c r="H244" i="6"/>
  <c r="H16" i="6"/>
  <c r="I106" i="6"/>
  <c r="I127" i="6"/>
  <c r="I133" i="6"/>
  <c r="I168" i="6"/>
  <c r="I192" i="6"/>
  <c r="I198" i="6"/>
  <c r="I257" i="6"/>
  <c r="I263" i="6"/>
  <c r="I15" i="6"/>
  <c r="I264" i="6"/>
  <c r="I88" i="6"/>
  <c r="F76" i="6"/>
  <c r="I76" i="6" s="1"/>
  <c r="I202" i="6"/>
  <c r="H220" i="6"/>
  <c r="I220" i="6" s="1"/>
  <c r="I259" i="6"/>
  <c r="I265" i="6"/>
  <c r="I35" i="6"/>
  <c r="I47" i="6"/>
  <c r="F99" i="6"/>
  <c r="F100" i="6" s="1"/>
  <c r="F136" i="6"/>
  <c r="I143" i="6"/>
  <c r="F164" i="6"/>
  <c r="H176" i="6"/>
  <c r="I176" i="6" s="1"/>
  <c r="F195" i="6"/>
  <c r="F200" i="6" s="1"/>
  <c r="I227" i="6"/>
  <c r="F260" i="6"/>
  <c r="I260" i="6" s="1"/>
  <c r="I159" i="6"/>
  <c r="H27" i="6"/>
  <c r="F78" i="6"/>
  <c r="I78" i="6" s="1"/>
  <c r="F91" i="6"/>
  <c r="I91" i="6" s="1"/>
  <c r="F102" i="6"/>
  <c r="I102" i="6" s="1"/>
  <c r="F125" i="6"/>
  <c r="F139" i="6"/>
  <c r="F151" i="6"/>
  <c r="I151" i="6" s="1"/>
  <c r="H160" i="6"/>
  <c r="I160" i="6" s="1"/>
  <c r="H171" i="6"/>
  <c r="I171" i="6" s="1"/>
  <c r="F196" i="6"/>
  <c r="H214" i="6"/>
  <c r="I228" i="6"/>
  <c r="F240" i="6"/>
  <c r="K240" i="6" s="1"/>
  <c r="F255" i="6"/>
  <c r="I255" i="6" s="1"/>
  <c r="F166" i="6"/>
  <c r="F37" i="6"/>
  <c r="I90" i="6"/>
  <c r="F50" i="6"/>
  <c r="I50" i="6" s="1"/>
  <c r="F114" i="6"/>
  <c r="F145" i="6"/>
  <c r="I145" i="6" s="1"/>
  <c r="F172" i="6"/>
  <c r="F181" i="6"/>
  <c r="I181" i="6" s="1"/>
  <c r="F205" i="6"/>
  <c r="F211" i="6"/>
  <c r="F229" i="6"/>
  <c r="I229" i="6" s="1"/>
  <c r="I261" i="6"/>
  <c r="I175" i="6"/>
  <c r="H100" i="6"/>
  <c r="K100" i="6" s="1"/>
  <c r="I194" i="6"/>
  <c r="F29" i="6"/>
  <c r="I29" i="6" s="1"/>
  <c r="F79" i="6"/>
  <c r="F85" i="6"/>
  <c r="I85" i="6" s="1"/>
  <c r="F103" i="6"/>
  <c r="F126" i="6"/>
  <c r="F152" i="6"/>
  <c r="F161" i="6"/>
  <c r="F197" i="6"/>
  <c r="I197" i="6" s="1"/>
  <c r="F222" i="6"/>
  <c r="I222" i="6" s="1"/>
  <c r="F256" i="6"/>
  <c r="I256" i="6" s="1"/>
  <c r="I11" i="6"/>
  <c r="I144" i="6"/>
  <c r="I34" i="6"/>
  <c r="I53" i="6"/>
  <c r="I113" i="6"/>
  <c r="H182" i="6"/>
  <c r="F182" i="6"/>
  <c r="H54" i="6"/>
  <c r="F54" i="6"/>
  <c r="I73" i="6"/>
  <c r="H146" i="6"/>
  <c r="F204" i="6"/>
  <c r="F230" i="6"/>
  <c r="I9" i="6"/>
  <c r="H49" i="6"/>
  <c r="I49" i="6" s="1"/>
  <c r="I114" i="6"/>
  <c r="F115" i="6"/>
  <c r="K115" i="6" s="1"/>
  <c r="I139" i="6"/>
  <c r="H108" i="6"/>
  <c r="I108" i="6" s="1"/>
  <c r="H137" i="6"/>
  <c r="I186" i="6"/>
  <c r="H200" i="6"/>
  <c r="F89" i="6"/>
  <c r="I89" i="6" s="1"/>
  <c r="F124" i="6"/>
  <c r="I129" i="6"/>
  <c r="I205" i="6"/>
  <c r="I226" i="6"/>
  <c r="I244" i="6"/>
  <c r="I250" i="6"/>
  <c r="I187" i="6"/>
  <c r="I193" i="6"/>
  <c r="I199" i="6"/>
  <c r="H251" i="6"/>
  <c r="F251" i="6"/>
  <c r="I19" i="6"/>
  <c r="F62" i="6"/>
  <c r="H62" i="6"/>
  <c r="I62" i="6" s="1"/>
  <c r="I103" i="6"/>
  <c r="F130" i="6"/>
  <c r="I130" i="6" s="1"/>
  <c r="I134" i="6"/>
  <c r="K235" i="6"/>
  <c r="F245" i="6"/>
  <c r="I245" i="6" s="1"/>
  <c r="H74" i="6"/>
  <c r="H96" i="6" s="1"/>
  <c r="F74" i="6"/>
  <c r="F46" i="6"/>
  <c r="H46" i="6"/>
  <c r="H104" i="6"/>
  <c r="H111" i="6" s="1"/>
  <c r="F104" i="6"/>
  <c r="H28" i="6"/>
  <c r="I28" i="6" s="1"/>
  <c r="H86" i="6"/>
  <c r="F86" i="6"/>
  <c r="F231" i="6"/>
  <c r="H231" i="6"/>
  <c r="I231" i="6" s="1"/>
  <c r="F58" i="6"/>
  <c r="H58" i="6"/>
  <c r="F105" i="6"/>
  <c r="H105" i="6"/>
  <c r="F14" i="6"/>
  <c r="H40" i="6"/>
  <c r="F40" i="6"/>
  <c r="F44" i="6" s="1"/>
  <c r="F77" i="6"/>
  <c r="I77" i="6" s="1"/>
  <c r="I98" i="6"/>
  <c r="F119" i="6"/>
  <c r="I119" i="6" s="1"/>
  <c r="I213" i="6"/>
  <c r="I25" i="6"/>
  <c r="I82" i="6"/>
  <c r="I135" i="6"/>
  <c r="H177" i="6"/>
  <c r="I195" i="6"/>
  <c r="I239" i="6"/>
  <c r="I240" i="6" s="1"/>
  <c r="H246" i="6"/>
  <c r="F246" i="6"/>
  <c r="H252" i="6"/>
  <c r="F252" i="6"/>
  <c r="I109" i="6"/>
  <c r="I70" i="6"/>
  <c r="I94" i="6"/>
  <c r="H120" i="6"/>
  <c r="I120" i="6" s="1"/>
  <c r="F26" i="6"/>
  <c r="F30" i="6" s="1"/>
  <c r="H41" i="6"/>
  <c r="I41" i="6" s="1"/>
  <c r="I110" i="6"/>
  <c r="I126" i="6"/>
  <c r="I234" i="6"/>
  <c r="I235" i="6" s="1"/>
  <c r="I247" i="6"/>
  <c r="I253" i="6"/>
  <c r="F51" i="6"/>
  <c r="I51" i="6" s="1"/>
  <c r="H55" i="6"/>
  <c r="I55" i="6" s="1"/>
  <c r="I63" i="6"/>
  <c r="F71" i="6"/>
  <c r="I71" i="6" s="1"/>
  <c r="F83" i="6"/>
  <c r="I83" i="6" s="1"/>
  <c r="F95" i="6"/>
  <c r="I95" i="6" s="1"/>
  <c r="I136" i="6"/>
  <c r="I141" i="6"/>
  <c r="F179" i="6"/>
  <c r="H183" i="6"/>
  <c r="I183" i="6" s="1"/>
  <c r="I190" i="6"/>
  <c r="I196" i="6"/>
  <c r="I206" i="6"/>
  <c r="I210" i="6"/>
  <c r="H248" i="6"/>
  <c r="F248" i="6"/>
  <c r="H254" i="6"/>
  <c r="F254" i="6"/>
  <c r="I64" i="6"/>
  <c r="H107" i="6"/>
  <c r="I107" i="6" s="1"/>
  <c r="F107" i="6"/>
  <c r="I117" i="6"/>
  <c r="I142" i="6"/>
  <c r="I191" i="6"/>
  <c r="F207" i="6"/>
  <c r="I207" i="6" s="1"/>
  <c r="I211" i="6"/>
  <c r="H224" i="6"/>
  <c r="I219" i="6"/>
  <c r="H249" i="6"/>
  <c r="I249" i="6" s="1"/>
  <c r="F249" i="6"/>
  <c r="I189" i="6"/>
  <c r="I32" i="6"/>
  <c r="H37" i="6"/>
  <c r="H23" i="6"/>
  <c r="I18" i="6"/>
  <c r="I42" i="6"/>
  <c r="F48" i="6"/>
  <c r="I48" i="6" s="1"/>
  <c r="H52" i="6"/>
  <c r="I52" i="6" s="1"/>
  <c r="F60" i="6"/>
  <c r="I60" i="6" s="1"/>
  <c r="F80" i="6"/>
  <c r="I80" i="6" s="1"/>
  <c r="F92" i="6"/>
  <c r="I92" i="6" s="1"/>
  <c r="I128" i="6"/>
  <c r="H180" i="6"/>
  <c r="I180" i="6" s="1"/>
  <c r="I203" i="6"/>
  <c r="H100" i="3"/>
  <c r="F30" i="3"/>
  <c r="F23" i="3"/>
  <c r="I14" i="3"/>
  <c r="H8" i="3"/>
  <c r="C43" i="3"/>
  <c r="C29" i="3"/>
  <c r="C43" i="1"/>
  <c r="C29" i="1"/>
  <c r="H8" i="8"/>
  <c r="H8" i="5"/>
  <c r="G270" i="1"/>
  <c r="B269" i="1"/>
  <c r="C269" i="1"/>
  <c r="D269" i="1"/>
  <c r="E269" i="1"/>
  <c r="G269" i="1"/>
  <c r="B270" i="1"/>
  <c r="C270" i="1"/>
  <c r="D270" i="1"/>
  <c r="E270" i="1"/>
  <c r="B271" i="1"/>
  <c r="C271" i="1"/>
  <c r="D271" i="1"/>
  <c r="E271" i="1"/>
  <c r="G271" i="1"/>
  <c r="B272" i="1"/>
  <c r="C272" i="1"/>
  <c r="D272" i="1"/>
  <c r="E272" i="1"/>
  <c r="G272" i="1"/>
  <c r="A272" i="1"/>
  <c r="A271" i="1"/>
  <c r="A270" i="1"/>
  <c r="A269" i="1"/>
  <c r="B269" i="3"/>
  <c r="D269" i="3"/>
  <c r="B270" i="3"/>
  <c r="D270" i="3"/>
  <c r="A269" i="3"/>
  <c r="A270" i="3"/>
  <c r="B271" i="3"/>
  <c r="D271" i="3"/>
  <c r="A271" i="3"/>
  <c r="B272" i="3"/>
  <c r="D272" i="3"/>
  <c r="A272" i="3"/>
  <c r="F36" i="3"/>
  <c r="H148" i="3"/>
  <c r="C135" i="3"/>
  <c r="F266" i="11" l="1"/>
  <c r="F272" i="11" s="1"/>
  <c r="K111" i="11"/>
  <c r="F96" i="11"/>
  <c r="I176" i="11"/>
  <c r="I177" i="11" s="1"/>
  <c r="F200" i="11"/>
  <c r="I27" i="11"/>
  <c r="I30" i="11" s="1"/>
  <c r="H214" i="11"/>
  <c r="K214" i="11" s="1"/>
  <c r="H200" i="11"/>
  <c r="K200" i="11" s="1"/>
  <c r="I56" i="11"/>
  <c r="I80" i="11"/>
  <c r="I96" i="11" s="1"/>
  <c r="I12" i="11"/>
  <c r="F111" i="11"/>
  <c r="F65" i="11"/>
  <c r="I37" i="11"/>
  <c r="I122" i="11"/>
  <c r="F146" i="11"/>
  <c r="K146" i="11" s="1"/>
  <c r="I212" i="11"/>
  <c r="I92" i="11"/>
  <c r="I248" i="11"/>
  <c r="I193" i="11"/>
  <c r="I200" i="11" s="1"/>
  <c r="H44" i="11"/>
  <c r="H66" i="11" s="1"/>
  <c r="H177" i="11"/>
  <c r="H215" i="11" s="1"/>
  <c r="I260" i="11"/>
  <c r="I232" i="11"/>
  <c r="F66" i="11"/>
  <c r="F269" i="11" s="1"/>
  <c r="I137" i="11"/>
  <c r="K137" i="11"/>
  <c r="K16" i="11"/>
  <c r="I184" i="11"/>
  <c r="K96" i="11"/>
  <c r="F214" i="11"/>
  <c r="F166" i="11"/>
  <c r="K166" i="11" s="1"/>
  <c r="I141" i="11"/>
  <c r="I146" i="11" s="1"/>
  <c r="K240" i="11"/>
  <c r="I47" i="11"/>
  <c r="I224" i="11"/>
  <c r="I237" i="11"/>
  <c r="I240" i="11" s="1"/>
  <c r="I40" i="11"/>
  <c r="I44" i="11" s="1"/>
  <c r="F177" i="11"/>
  <c r="K177" i="11" s="1"/>
  <c r="K23" i="11"/>
  <c r="K30" i="11"/>
  <c r="I202" i="11"/>
  <c r="K65" i="11"/>
  <c r="I14" i="11"/>
  <c r="I16" i="11" s="1"/>
  <c r="F184" i="11"/>
  <c r="K184" i="11" s="1"/>
  <c r="F115" i="11"/>
  <c r="I113" i="11"/>
  <c r="I115" i="11" s="1"/>
  <c r="I244" i="11"/>
  <c r="K266" i="11"/>
  <c r="H272" i="11"/>
  <c r="F232" i="11"/>
  <c r="K232" i="11" s="1"/>
  <c r="F224" i="11"/>
  <c r="I148" i="11"/>
  <c r="I166" i="11" s="1"/>
  <c r="H241" i="11"/>
  <c r="K224" i="11"/>
  <c r="I44" i="10"/>
  <c r="H214" i="10"/>
  <c r="I59" i="10"/>
  <c r="I56" i="10"/>
  <c r="H12" i="10"/>
  <c r="I9" i="10"/>
  <c r="I12" i="10" s="1"/>
  <c r="F37" i="10"/>
  <c r="I53" i="10"/>
  <c r="I50" i="10"/>
  <c r="I220" i="10"/>
  <c r="I224" i="10" s="1"/>
  <c r="F214" i="10"/>
  <c r="H65" i="10"/>
  <c r="K65" i="10" s="1"/>
  <c r="I47" i="10"/>
  <c r="I65" i="10" s="1"/>
  <c r="K115" i="10"/>
  <c r="I43" i="10"/>
  <c r="F266" i="10"/>
  <c r="F272" i="10" s="1"/>
  <c r="I246" i="10"/>
  <c r="I266" i="10" s="1"/>
  <c r="I272" i="10" s="1"/>
  <c r="K184" i="10"/>
  <c r="I57" i="10"/>
  <c r="F44" i="10"/>
  <c r="I134" i="10"/>
  <c r="I230" i="10"/>
  <c r="H37" i="10"/>
  <c r="K37" i="10" s="1"/>
  <c r="I32" i="10"/>
  <c r="I37" i="10" s="1"/>
  <c r="K23" i="10"/>
  <c r="I232" i="10"/>
  <c r="F184" i="10"/>
  <c r="I207" i="10"/>
  <c r="I125" i="10"/>
  <c r="H137" i="10"/>
  <c r="K137" i="10" s="1"/>
  <c r="F122" i="10"/>
  <c r="K166" i="10"/>
  <c r="I111" i="10"/>
  <c r="F66" i="10"/>
  <c r="F269" i="10" s="1"/>
  <c r="K96" i="10"/>
  <c r="H215" i="10"/>
  <c r="K30" i="10"/>
  <c r="F241" i="10"/>
  <c r="F271" i="10" s="1"/>
  <c r="I25" i="10"/>
  <c r="I30" i="10" s="1"/>
  <c r="H44" i="10"/>
  <c r="H266" i="10"/>
  <c r="K122" i="10"/>
  <c r="F96" i="10"/>
  <c r="I60" i="10"/>
  <c r="K232" i="10"/>
  <c r="H224" i="10"/>
  <c r="I14" i="10"/>
  <c r="I16" i="10" s="1"/>
  <c r="I119" i="10"/>
  <c r="I122" i="10" s="1"/>
  <c r="I202" i="10"/>
  <c r="I214" i="10" s="1"/>
  <c r="I212" i="8"/>
  <c r="I214" i="8" s="1"/>
  <c r="I232" i="8"/>
  <c r="I176" i="8"/>
  <c r="I195" i="8"/>
  <c r="I200" i="8" s="1"/>
  <c r="I252" i="8"/>
  <c r="I125" i="8"/>
  <c r="I137" i="8" s="1"/>
  <c r="F177" i="8"/>
  <c r="I240" i="8"/>
  <c r="I219" i="8"/>
  <c r="H177" i="8"/>
  <c r="K177" i="8" s="1"/>
  <c r="I100" i="8"/>
  <c r="I146" i="8"/>
  <c r="F224" i="8"/>
  <c r="H214" i="8"/>
  <c r="K214" i="8" s="1"/>
  <c r="K240" i="8"/>
  <c r="K16" i="8"/>
  <c r="F166" i="8"/>
  <c r="K166" i="8" s="1"/>
  <c r="H266" i="8"/>
  <c r="K146" i="8"/>
  <c r="I96" i="8"/>
  <c r="I224" i="8"/>
  <c r="I241" i="8" s="1"/>
  <c r="I271" i="8" s="1"/>
  <c r="H271" i="8"/>
  <c r="F184" i="8"/>
  <c r="K184" i="8" s="1"/>
  <c r="K200" i="8"/>
  <c r="I177" i="8"/>
  <c r="I246" i="8"/>
  <c r="H66" i="8"/>
  <c r="K12" i="8"/>
  <c r="F115" i="8"/>
  <c r="K115" i="8" s="1"/>
  <c r="F266" i="8"/>
  <c r="F272" i="8" s="1"/>
  <c r="F214" i="8"/>
  <c r="F232" i="8"/>
  <c r="F241" i="8" s="1"/>
  <c r="F111" i="8"/>
  <c r="I44" i="8"/>
  <c r="I25" i="8"/>
  <c r="I30" i="8" s="1"/>
  <c r="H30" i="8"/>
  <c r="K30" i="8" s="1"/>
  <c r="I115" i="8"/>
  <c r="I184" i="8"/>
  <c r="I245" i="8"/>
  <c r="H96" i="8"/>
  <c r="F44" i="8"/>
  <c r="K44" i="8" s="1"/>
  <c r="I122" i="8"/>
  <c r="K224" i="8"/>
  <c r="F65" i="8"/>
  <c r="K65" i="8"/>
  <c r="K37" i="8"/>
  <c r="I46" i="8"/>
  <c r="I249" i="8"/>
  <c r="I166" i="8"/>
  <c r="F96" i="8"/>
  <c r="H137" i="8"/>
  <c r="K137" i="8" s="1"/>
  <c r="I109" i="8"/>
  <c r="F122" i="8"/>
  <c r="K122" i="8" s="1"/>
  <c r="I32" i="8"/>
  <c r="I37" i="8" s="1"/>
  <c r="I102" i="8"/>
  <c r="I111" i="8" s="1"/>
  <c r="H111" i="8"/>
  <c r="K100" i="8"/>
  <c r="I62" i="8"/>
  <c r="I32" i="5"/>
  <c r="F200" i="5"/>
  <c r="I161" i="5"/>
  <c r="I222" i="5"/>
  <c r="F30" i="5"/>
  <c r="K30" i="5" s="1"/>
  <c r="K166" i="5"/>
  <c r="K37" i="5"/>
  <c r="I212" i="5"/>
  <c r="I214" i="5" s="1"/>
  <c r="F177" i="5"/>
  <c r="H66" i="5"/>
  <c r="H269" i="5" s="1"/>
  <c r="I173" i="5"/>
  <c r="I177" i="5" s="1"/>
  <c r="I92" i="5"/>
  <c r="F224" i="5"/>
  <c r="H65" i="5"/>
  <c r="K65" i="5" s="1"/>
  <c r="H96" i="5"/>
  <c r="F96" i="5"/>
  <c r="I23" i="5"/>
  <c r="H177" i="5"/>
  <c r="I104" i="5"/>
  <c r="I111" i="5" s="1"/>
  <c r="H224" i="5"/>
  <c r="K224" i="5" s="1"/>
  <c r="H146" i="5"/>
  <c r="H215" i="5" s="1"/>
  <c r="I127" i="5"/>
  <c r="F146" i="5"/>
  <c r="H214" i="5"/>
  <c r="I148" i="5"/>
  <c r="H200" i="5"/>
  <c r="K200" i="5" s="1"/>
  <c r="I244" i="5"/>
  <c r="H137" i="5"/>
  <c r="F137" i="5"/>
  <c r="I234" i="5"/>
  <c r="I235" i="5" s="1"/>
  <c r="H111" i="5"/>
  <c r="F16" i="5"/>
  <c r="K16" i="5" s="1"/>
  <c r="I188" i="5"/>
  <c r="I200" i="5" s="1"/>
  <c r="I160" i="5"/>
  <c r="I149" i="5"/>
  <c r="I232" i="5"/>
  <c r="F65" i="5"/>
  <c r="I122" i="5"/>
  <c r="F266" i="5"/>
  <c r="K122" i="5"/>
  <c r="F232" i="5"/>
  <c r="K232" i="5" s="1"/>
  <c r="F241" i="5"/>
  <c r="F271" i="5" s="1"/>
  <c r="F111" i="5"/>
  <c r="F215" i="5" s="1"/>
  <c r="F270" i="5" s="1"/>
  <c r="I219" i="5"/>
  <c r="I224" i="5" s="1"/>
  <c r="F184" i="5"/>
  <c r="K184" i="5" s="1"/>
  <c r="K44" i="5"/>
  <c r="F122" i="5"/>
  <c r="I37" i="5"/>
  <c r="F115" i="5"/>
  <c r="K115" i="5" s="1"/>
  <c r="I113" i="5"/>
  <c r="I115" i="5" s="1"/>
  <c r="I266" i="5"/>
  <c r="I272" i="5" s="1"/>
  <c r="K137" i="5"/>
  <c r="I25" i="5"/>
  <c r="I30" i="5" s="1"/>
  <c r="I184" i="5"/>
  <c r="I46" i="5"/>
  <c r="I65" i="5" s="1"/>
  <c r="I70" i="5"/>
  <c r="I96" i="5" s="1"/>
  <c r="I125" i="5"/>
  <c r="I137" i="5" s="1"/>
  <c r="F214" i="5"/>
  <c r="K214" i="5" s="1"/>
  <c r="K96" i="5"/>
  <c r="I105" i="6"/>
  <c r="F111" i="6"/>
  <c r="F214" i="6"/>
  <c r="K214" i="6" s="1"/>
  <c r="I224" i="6"/>
  <c r="I99" i="6"/>
  <c r="F232" i="6"/>
  <c r="K23" i="6"/>
  <c r="K200" i="6"/>
  <c r="I26" i="6"/>
  <c r="I30" i="6" s="1"/>
  <c r="I252" i="6"/>
  <c r="F224" i="6"/>
  <c r="K224" i="6" s="1"/>
  <c r="I86" i="6"/>
  <c r="K177" i="6"/>
  <c r="I115" i="6"/>
  <c r="K37" i="6"/>
  <c r="F266" i="6"/>
  <c r="F272" i="6" s="1"/>
  <c r="I100" i="6"/>
  <c r="H122" i="6"/>
  <c r="F146" i="6"/>
  <c r="K146" i="6" s="1"/>
  <c r="I54" i="6"/>
  <c r="K111" i="6"/>
  <c r="H266" i="6"/>
  <c r="I23" i="6"/>
  <c r="I74" i="6"/>
  <c r="I96" i="6" s="1"/>
  <c r="F137" i="6"/>
  <c r="I230" i="6"/>
  <c r="I232" i="6" s="1"/>
  <c r="K137" i="6"/>
  <c r="I254" i="6"/>
  <c r="I246" i="6"/>
  <c r="F65" i="6"/>
  <c r="F16" i="6"/>
  <c r="K16" i="6" s="1"/>
  <c r="I14" i="6"/>
  <c r="I16" i="6" s="1"/>
  <c r="I204" i="6"/>
  <c r="I214" i="6" s="1"/>
  <c r="I122" i="6"/>
  <c r="H30" i="6"/>
  <c r="F122" i="6"/>
  <c r="I104" i="6"/>
  <c r="I111" i="6" s="1"/>
  <c r="H241" i="6"/>
  <c r="I46" i="6"/>
  <c r="H65" i="6"/>
  <c r="I248" i="6"/>
  <c r="I266" i="6" s="1"/>
  <c r="I272" i="6" s="1"/>
  <c r="I40" i="6"/>
  <c r="I44" i="6" s="1"/>
  <c r="I251" i="6"/>
  <c r="I146" i="6"/>
  <c r="I37" i="6"/>
  <c r="I58" i="6"/>
  <c r="H184" i="6"/>
  <c r="I124" i="6"/>
  <c r="I137" i="6" s="1"/>
  <c r="H232" i="6"/>
  <c r="F184" i="6"/>
  <c r="I179" i="6"/>
  <c r="F96" i="6"/>
  <c r="H44" i="6"/>
  <c r="K44" i="6" s="1"/>
  <c r="I200" i="6"/>
  <c r="I182" i="6"/>
  <c r="H12" i="3"/>
  <c r="I266" i="11" l="1"/>
  <c r="I272" i="11" s="1"/>
  <c r="I65" i="11"/>
  <c r="I214" i="11"/>
  <c r="I215" i="11" s="1"/>
  <c r="I270" i="11" s="1"/>
  <c r="K44" i="11"/>
  <c r="F241" i="11"/>
  <c r="F271" i="11" s="1"/>
  <c r="I66" i="11"/>
  <c r="I269" i="11" s="1"/>
  <c r="H271" i="11"/>
  <c r="K241" i="11"/>
  <c r="H270" i="11"/>
  <c r="I241" i="11"/>
  <c r="I271" i="11" s="1"/>
  <c r="K66" i="11"/>
  <c r="H269" i="11"/>
  <c r="F215" i="11"/>
  <c r="F270" i="11" s="1"/>
  <c r="K115" i="11"/>
  <c r="I241" i="10"/>
  <c r="I271" i="10" s="1"/>
  <c r="F215" i="10"/>
  <c r="F270" i="10" s="1"/>
  <c r="F273" i="10" s="1"/>
  <c r="K266" i="10"/>
  <c r="H272" i="10"/>
  <c r="I66" i="10"/>
  <c r="I269" i="10" s="1"/>
  <c r="K44" i="10"/>
  <c r="I137" i="10"/>
  <c r="I215" i="10" s="1"/>
  <c r="I270" i="10" s="1"/>
  <c r="K12" i="10"/>
  <c r="H66" i="10"/>
  <c r="H270" i="10"/>
  <c r="H241" i="10"/>
  <c r="K224" i="10"/>
  <c r="K214" i="10"/>
  <c r="K266" i="8"/>
  <c r="H272" i="8"/>
  <c r="F66" i="8"/>
  <c r="F269" i="8" s="1"/>
  <c r="K232" i="8"/>
  <c r="F271" i="8"/>
  <c r="F273" i="8" s="1"/>
  <c r="K241" i="8"/>
  <c r="H269" i="8"/>
  <c r="F215" i="8"/>
  <c r="F270" i="8" s="1"/>
  <c r="I65" i="8"/>
  <c r="I66" i="8" s="1"/>
  <c r="I269" i="8" s="1"/>
  <c r="H215" i="8"/>
  <c r="K96" i="8"/>
  <c r="I266" i="8"/>
  <c r="I272" i="8" s="1"/>
  <c r="K111" i="8"/>
  <c r="I215" i="8"/>
  <c r="I270" i="8" s="1"/>
  <c r="F66" i="5"/>
  <c r="K177" i="5"/>
  <c r="I66" i="5"/>
  <c r="I269" i="5" s="1"/>
  <c r="I166" i="5"/>
  <c r="H241" i="5"/>
  <c r="H271" i="5" s="1"/>
  <c r="H273" i="5" s="1"/>
  <c r="K146" i="5"/>
  <c r="F269" i="5"/>
  <c r="K66" i="5"/>
  <c r="F272" i="5"/>
  <c r="K266" i="5"/>
  <c r="K111" i="5"/>
  <c r="I215" i="5"/>
  <c r="I270" i="5" s="1"/>
  <c r="I273" i="5" s="1"/>
  <c r="K215" i="5"/>
  <c r="H270" i="5"/>
  <c r="I241" i="5"/>
  <c r="I271" i="5" s="1"/>
  <c r="K65" i="6"/>
  <c r="F241" i="6"/>
  <c r="F271" i="6" s="1"/>
  <c r="K232" i="6"/>
  <c r="K184" i="6"/>
  <c r="I241" i="6"/>
  <c r="I271" i="6" s="1"/>
  <c r="K122" i="6"/>
  <c r="F215" i="6"/>
  <c r="F270" i="6" s="1"/>
  <c r="I184" i="6"/>
  <c r="I215" i="6" s="1"/>
  <c r="I270" i="6" s="1"/>
  <c r="K96" i="6"/>
  <c r="H215" i="6"/>
  <c r="K241" i="6"/>
  <c r="H271" i="6"/>
  <c r="K30" i="6"/>
  <c r="H66" i="6"/>
  <c r="K266" i="6"/>
  <c r="H272" i="6"/>
  <c r="I65" i="6"/>
  <c r="C63" i="3"/>
  <c r="C62" i="3"/>
  <c r="C60" i="3"/>
  <c r="C63" i="1"/>
  <c r="C62" i="1"/>
  <c r="C60" i="1"/>
  <c r="C256" i="3"/>
  <c r="C254" i="3"/>
  <c r="C253" i="3"/>
  <c r="C252" i="3"/>
  <c r="C251" i="3"/>
  <c r="C250" i="3"/>
  <c r="C249" i="3"/>
  <c r="C248" i="3"/>
  <c r="C247" i="3"/>
  <c r="C246" i="3"/>
  <c r="C245" i="3"/>
  <c r="C231" i="3"/>
  <c r="C230" i="3"/>
  <c r="C229" i="3"/>
  <c r="C220" i="3"/>
  <c r="C219" i="3"/>
  <c r="C210" i="3"/>
  <c r="C208" i="3"/>
  <c r="C207" i="3"/>
  <c r="C206" i="3"/>
  <c r="C205" i="3"/>
  <c r="C204" i="3"/>
  <c r="C203" i="3"/>
  <c r="C202" i="3"/>
  <c r="C183" i="3"/>
  <c r="C182" i="3"/>
  <c r="C181" i="3"/>
  <c r="C180" i="3"/>
  <c r="C179" i="3"/>
  <c r="F148" i="3"/>
  <c r="C141" i="3"/>
  <c r="G139" i="3"/>
  <c r="H139" i="3" s="1"/>
  <c r="C134" i="3"/>
  <c r="C133" i="3"/>
  <c r="C130" i="3"/>
  <c r="C126" i="3"/>
  <c r="C125" i="3"/>
  <c r="C124" i="3"/>
  <c r="C120" i="3"/>
  <c r="C119" i="3"/>
  <c r="C118" i="3"/>
  <c r="C117" i="3"/>
  <c r="C114" i="3"/>
  <c r="C113" i="3"/>
  <c r="C109" i="3"/>
  <c r="C108" i="3"/>
  <c r="C107" i="3"/>
  <c r="C106" i="3"/>
  <c r="C105" i="3"/>
  <c r="C104" i="3"/>
  <c r="C103" i="3"/>
  <c r="C102" i="3"/>
  <c r="C99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F46" i="3" s="1"/>
  <c r="C42" i="3"/>
  <c r="C41" i="3"/>
  <c r="C40" i="3"/>
  <c r="C39" i="3"/>
  <c r="F35" i="3"/>
  <c r="C34" i="3"/>
  <c r="C33" i="3"/>
  <c r="C32" i="3"/>
  <c r="C28" i="3"/>
  <c r="C26" i="3"/>
  <c r="C25" i="3"/>
  <c r="C20" i="3"/>
  <c r="C18" i="3"/>
  <c r="C14" i="3"/>
  <c r="C11" i="3"/>
  <c r="C9" i="3"/>
  <c r="C8" i="3"/>
  <c r="F8" i="3" s="1"/>
  <c r="C20" i="1"/>
  <c r="C18" i="1"/>
  <c r="C14" i="1"/>
  <c r="C11" i="1"/>
  <c r="C9" i="1"/>
  <c r="C8" i="1"/>
  <c r="C256" i="1"/>
  <c r="C254" i="1"/>
  <c r="C253" i="1"/>
  <c r="C252" i="1"/>
  <c r="C251" i="1"/>
  <c r="C250" i="1"/>
  <c r="C249" i="1"/>
  <c r="C248" i="1"/>
  <c r="C247" i="1"/>
  <c r="C246" i="1"/>
  <c r="C245" i="1"/>
  <c r="C231" i="1"/>
  <c r="C230" i="1"/>
  <c r="C229" i="1"/>
  <c r="C220" i="1"/>
  <c r="C219" i="1"/>
  <c r="C210" i="1"/>
  <c r="C208" i="1"/>
  <c r="C207" i="1"/>
  <c r="C206" i="1"/>
  <c r="C205" i="1"/>
  <c r="C204" i="1"/>
  <c r="C203" i="1"/>
  <c r="C202" i="1"/>
  <c r="C183" i="1"/>
  <c r="C182" i="1"/>
  <c r="C181" i="1"/>
  <c r="C180" i="1"/>
  <c r="C179" i="1"/>
  <c r="C141" i="1"/>
  <c r="C134" i="1"/>
  <c r="C133" i="1"/>
  <c r="C130" i="1"/>
  <c r="C126" i="1"/>
  <c r="C125" i="1"/>
  <c r="C124" i="1"/>
  <c r="C120" i="1"/>
  <c r="C119" i="1"/>
  <c r="C118" i="1"/>
  <c r="C117" i="1"/>
  <c r="C114" i="1"/>
  <c r="C113" i="1"/>
  <c r="C109" i="1"/>
  <c r="C108" i="1"/>
  <c r="C107" i="1"/>
  <c r="C106" i="1"/>
  <c r="C105" i="1"/>
  <c r="C104" i="1"/>
  <c r="C103" i="1"/>
  <c r="C102" i="1"/>
  <c r="C99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2" i="1"/>
  <c r="C41" i="1"/>
  <c r="C40" i="1"/>
  <c r="C39" i="1"/>
  <c r="C34" i="1"/>
  <c r="C33" i="1"/>
  <c r="C32" i="1"/>
  <c r="C28" i="1"/>
  <c r="C26" i="1"/>
  <c r="C25" i="1"/>
  <c r="F273" i="11" l="1"/>
  <c r="H273" i="11"/>
  <c r="K273" i="11"/>
  <c r="K215" i="11"/>
  <c r="I273" i="11"/>
  <c r="K66" i="10"/>
  <c r="H269" i="10"/>
  <c r="H273" i="10" s="1"/>
  <c r="K273" i="10"/>
  <c r="I273" i="10"/>
  <c r="H271" i="10"/>
  <c r="K241" i="10"/>
  <c r="K215" i="10"/>
  <c r="I273" i="8"/>
  <c r="K66" i="8"/>
  <c r="H270" i="8"/>
  <c r="H273" i="8" s="1"/>
  <c r="K273" i="8" s="1"/>
  <c r="K215" i="8"/>
  <c r="K241" i="5"/>
  <c r="F273" i="5"/>
  <c r="K273" i="5" s="1"/>
  <c r="H269" i="6"/>
  <c r="H270" i="6"/>
  <c r="K215" i="6"/>
  <c r="F32" i="3"/>
  <c r="H32" i="3"/>
  <c r="F33" i="3"/>
  <c r="F40" i="3"/>
  <c r="F41" i="3"/>
  <c r="F34" i="3"/>
  <c r="F18" i="3"/>
  <c r="H18" i="3"/>
  <c r="F42" i="3"/>
  <c r="F39" i="3"/>
  <c r="H39" i="3"/>
  <c r="F25" i="3"/>
  <c r="C8" i="5"/>
  <c r="F8" i="5" s="1"/>
  <c r="F12" i="6"/>
  <c r="C8" i="8"/>
  <c r="F8" i="8" s="1"/>
  <c r="I32" i="3"/>
  <c r="I98" i="3"/>
  <c r="F12" i="3"/>
  <c r="I12" i="3"/>
  <c r="I99" i="3"/>
  <c r="H70" i="3"/>
  <c r="H14" i="3"/>
  <c r="F14" i="3"/>
  <c r="F16" i="3" s="1"/>
  <c r="F66" i="6" l="1"/>
  <c r="K12" i="6"/>
  <c r="H273" i="6"/>
  <c r="F37" i="3"/>
  <c r="I12" i="6"/>
  <c r="I66" i="6" s="1"/>
  <c r="I269" i="6" s="1"/>
  <c r="I273" i="6" s="1"/>
  <c r="I8" i="5"/>
  <c r="I8" i="8"/>
  <c r="H272" i="1"/>
  <c r="F272" i="3"/>
  <c r="H272" i="3"/>
  <c r="I224" i="3"/>
  <c r="F269" i="6" l="1"/>
  <c r="F273" i="6" s="1"/>
  <c r="K273" i="6" s="1"/>
  <c r="K66" i="6"/>
  <c r="F66" i="3"/>
  <c r="F269" i="3" s="1"/>
  <c r="H271" i="3"/>
  <c r="H66" i="3"/>
  <c r="F270" i="3"/>
  <c r="F271" i="3"/>
  <c r="I272" i="3"/>
  <c r="K266" i="3"/>
  <c r="F273" i="3" l="1"/>
  <c r="I66" i="3"/>
  <c r="I269" i="3" s="1"/>
  <c r="H270" i="3"/>
  <c r="H269" i="3"/>
  <c r="K241" i="3"/>
  <c r="I270" i="3"/>
  <c r="I271" i="3"/>
  <c r="H273" i="3" l="1"/>
  <c r="F235" i="1"/>
  <c r="I272" i="1"/>
  <c r="I273" i="3"/>
  <c r="K273" i="3"/>
  <c r="G139" i="1"/>
  <c r="I99" i="1"/>
  <c r="F241" i="1" l="1"/>
  <c r="F271" i="1" s="1"/>
  <c r="I271" i="1"/>
  <c r="F272" i="1"/>
  <c r="K266" i="1"/>
  <c r="H271" i="1"/>
  <c r="I98" i="1"/>
  <c r="K241" i="1" l="1"/>
  <c r="H270" i="1"/>
  <c r="F270" i="1"/>
  <c r="H269" i="1"/>
  <c r="I269" i="1"/>
  <c r="F66" i="1"/>
  <c r="F269" i="1" s="1"/>
  <c r="F273" i="1" l="1"/>
  <c r="I270" i="1"/>
  <c r="I273" i="1" s="1"/>
  <c r="K66" i="1"/>
  <c r="H273" i="1"/>
  <c r="K215" i="1"/>
  <c r="K273" i="1" l="1"/>
</calcChain>
</file>

<file path=xl/sharedStrings.xml><?xml version="1.0" encoding="utf-8"?>
<sst xmlns="http://schemas.openxmlformats.org/spreadsheetml/2006/main" count="3503" uniqueCount="325">
  <si>
    <t>ลำดับที่</t>
  </si>
  <si>
    <t>รายการ</t>
  </si>
  <si>
    <t>จำนวน</t>
  </si>
  <si>
    <t>หน่วย</t>
  </si>
  <si>
    <t>ค่าวัสดุ</t>
  </si>
  <si>
    <t>ค่าแรงงาน</t>
  </si>
  <si>
    <t>รวมค่าวัสดุและ</t>
  </si>
  <si>
    <t>หมายเหตุ</t>
  </si>
  <si>
    <t>ราคาต่อหน่วย</t>
  </si>
  <si>
    <t>จำนวนเงิน (บาท)</t>
  </si>
  <si>
    <t>ค่าแรงงาน (บาท)</t>
  </si>
  <si>
    <t>รวม</t>
  </si>
  <si>
    <t>งานโครงสร้างวิศวกรรม</t>
  </si>
  <si>
    <t xml:space="preserve"> 1.1 งานดิน หิน ทราย และฐานราก</t>
  </si>
  <si>
    <t xml:space="preserve">       - ขุดดินฐานรากและถมคืน (งานแบ็คโคร)</t>
  </si>
  <si>
    <t>วัน</t>
  </si>
  <si>
    <t>ลบ.ม.</t>
  </si>
  <si>
    <t xml:space="preserve">       - คอนกรีตหยาบรองก้นฐานราก 1:3:5</t>
  </si>
  <si>
    <t xml:space="preserve">       - ทรายถมปรับระดับ</t>
  </si>
  <si>
    <t>รวมงานข้อ 1.1</t>
  </si>
  <si>
    <t xml:space="preserve"> 1.2 งานตอกเสาเข็ม</t>
  </si>
  <si>
    <t>ต้น</t>
  </si>
  <si>
    <t xml:space="preserve">       - ค่าสกัดหัวเสาเข็ม</t>
  </si>
  <si>
    <t>รวมงานข้อ 1.2</t>
  </si>
  <si>
    <t xml:space="preserve"> 1.3 งานแบบหล่อคอนกรีต</t>
  </si>
  <si>
    <t xml:space="preserve">       - ไม้แบบทั่วไป </t>
  </si>
  <si>
    <t>ลบ.ฟ.</t>
  </si>
  <si>
    <t xml:space="preserve">       - ไม้คร่าว</t>
  </si>
  <si>
    <t xml:space="preserve">       - ไม้ค้ำยัน</t>
  </si>
  <si>
    <t xml:space="preserve">       - ตะปูขนาดต่างๆ</t>
  </si>
  <si>
    <t>กก.</t>
  </si>
  <si>
    <t xml:space="preserve">       - ค่าแรงงานไม้แบบ</t>
  </si>
  <si>
    <t>ตร.ม.</t>
  </si>
  <si>
    <t>รวมงานข้อ 1.3</t>
  </si>
  <si>
    <t xml:space="preserve"> 1.4 งานคอนกรีตโครงสร้าง</t>
  </si>
  <si>
    <t xml:space="preserve">       - คอนกรีตหยาบ( lean)</t>
  </si>
  <si>
    <t xml:space="preserve">       - คอนกรีตผสมเสร็จ 280 กก./ตร.ซม. (ลูกบาศก์)</t>
  </si>
  <si>
    <t xml:space="preserve">       - คอนกรีตผสมเสร็จ 320 กก./ตร.ซม. (ลูกบาศก์)</t>
  </si>
  <si>
    <t xml:space="preserve">       - เหล็กตะแกรง WIRE MESH Ø 6 มม. @ 0.20 ม. (ข้ออ้อย)</t>
  </si>
  <si>
    <t>รวมงานข้อ 1.4</t>
  </si>
  <si>
    <t xml:space="preserve"> 1.5 งานเหล็กเสริมคอนกรีต</t>
  </si>
  <si>
    <t xml:space="preserve">       - เหล็กเส้นกลมผิวเรียบ SR 24 ขนาด Ø 6 มม.</t>
  </si>
  <si>
    <t>ตัน</t>
  </si>
  <si>
    <t xml:space="preserve">       - เหล็กเส้นกลมผิวเรียบ SR 24 ขนาด Ø 9 มม.</t>
  </si>
  <si>
    <t xml:space="preserve">       - เหล็กเส้นกลมผิวข้ออ้อย SD 40 ขนาด Ø 12 มม.</t>
  </si>
  <si>
    <t xml:space="preserve">       - เหล็กเส้นกลมผิวข้ออ้อย SD 40 ขนาด Ø 16 มม.</t>
  </si>
  <si>
    <t xml:space="preserve">       - ลวดผูกเหล็ก Ø 1.25 มม. (เบอร์ 18)</t>
  </si>
  <si>
    <t>รวมงานข้อ 1.5</t>
  </si>
  <si>
    <t xml:space="preserve"> 1.6 งานผนังสำเร็จ (แบบหล่อพร้อมจับเซี้ยม)</t>
  </si>
  <si>
    <t xml:space="preserve">       - เหล็กตะแกรง WIRE MESH Ø 6 มม. @ 0.20 ม. </t>
  </si>
  <si>
    <t>รวมงานข้อ 1.6</t>
  </si>
  <si>
    <t xml:space="preserve"> 1.7 งานโครงหลังคาเหล็ก</t>
  </si>
  <si>
    <t xml:space="preserve">       - เหล็กกล่อง 1''*1''*1.8 มม.</t>
  </si>
  <si>
    <t>เส้น</t>
  </si>
  <si>
    <t xml:space="preserve">       - เหล็กกล่อง 2''*2''*1.8มม.</t>
  </si>
  <si>
    <t xml:space="preserve">       - เหล็กตัวซี C 100 x 50 x 2.3 มม.</t>
  </si>
  <si>
    <t xml:space="preserve">       - เหล็กกล่อง 100*100*3.2 มม.</t>
  </si>
  <si>
    <t xml:space="preserve">       - เหล็กแฟตบาร์ 4" * 6.00 หนา 6.00 มม.</t>
  </si>
  <si>
    <t xml:space="preserve">       - เหล็กกล่อง 100*50*2.3 มม.</t>
  </si>
  <si>
    <t xml:space="preserve">       - เหล็กแผ่น 8' x 8' x 6 มม.</t>
  </si>
  <si>
    <t>แผ่น</t>
  </si>
  <si>
    <t xml:space="preserve">       - เหล็กแผ่น 6' x 6' x 6 มม.</t>
  </si>
  <si>
    <t xml:space="preserve">       - เหล็กแฟตบาร์ 3" * 6.00 หนา 6.00 มม.</t>
  </si>
  <si>
    <t xml:space="preserve">       - ลวดเชื่อม KOBE 2.6 มม.</t>
  </si>
  <si>
    <t>ลัง</t>
  </si>
  <si>
    <t xml:space="preserve">       - ทาสีกันสนิมโครงเหล็กหลังคา KOBE สีเทา</t>
  </si>
  <si>
    <t>ถัง</t>
  </si>
  <si>
    <t xml:space="preserve">       - น้ำมันสน</t>
  </si>
  <si>
    <t xml:space="preserve">       - ใบตัดเหล็ก 14 นิ้ว</t>
  </si>
  <si>
    <t>ใบ</t>
  </si>
  <si>
    <t>รวมงานข้อ 1.7</t>
  </si>
  <si>
    <t>รวมค่างานโครงสร้างวิศวกรรมทั้งหมด</t>
  </si>
  <si>
    <t>งานสถาปัตยกรรม</t>
  </si>
  <si>
    <t xml:space="preserve"> 2.1 งานประปาโครงสร้าง</t>
  </si>
  <si>
    <t xml:space="preserve">       - ท่อ PVC C5 6 นิ้ว แบบบาน</t>
  </si>
  <si>
    <t xml:space="preserve">       - ท่อ PVC C5 4 นิ้ว </t>
  </si>
  <si>
    <t xml:space="preserve">       - ท่อ PVC C5 2.5 นิ้ว </t>
  </si>
  <si>
    <t xml:space="preserve">       - ท่อ PVC C5 2 นิ้ว </t>
  </si>
  <si>
    <t xml:space="preserve">       - ท่อ PVC C5 1.5 นิ้ว </t>
  </si>
  <si>
    <t xml:space="preserve">       - ท่อ PVC C5 1 นิ้ว </t>
  </si>
  <si>
    <t xml:space="preserve">       - ท่อ PVC C13.5 3/4</t>
  </si>
  <si>
    <t xml:space="preserve">       - ข้องอ 90 4 นิ้ว แบบบาง</t>
  </si>
  <si>
    <t>ตัว</t>
  </si>
  <si>
    <t xml:space="preserve">       - ข้องอ 45 4 นิ้ว แบบบาง</t>
  </si>
  <si>
    <t xml:space="preserve">       - ข้องอ 90 2.5 นิ้ว แบบบาง</t>
  </si>
  <si>
    <t xml:space="preserve">       - ข้อต่อสามทาง 2.5 นิ้ว แบบบาง</t>
  </si>
  <si>
    <t xml:space="preserve">       - ข้องอ 90 2 นิ้ว แบบบาง</t>
  </si>
  <si>
    <t xml:space="preserve">       - ข้องอ 90 1.5 นิ้ว แบบบาง</t>
  </si>
  <si>
    <t xml:space="preserve">       - ข้อต่อสามทาง 2 นิ้ว แบบบาง</t>
  </si>
  <si>
    <t xml:space="preserve">       - ข้อต่อตรง 2 นิ้ว ลด 1.5 นิ้ว แบบบาง</t>
  </si>
  <si>
    <t xml:space="preserve">       - ข้อต่อตรงเกลียวนอก 1.5 นิ้ว แบบบาง</t>
  </si>
  <si>
    <t xml:space="preserve">       - ข้อต่อตรง 1.5 นิ้ว ลด 1 นิ้ว แบบบาง</t>
  </si>
  <si>
    <t xml:space="preserve">       - ข้อต่อตรง 1 นิ้ว ลด 3/4 นิ้ว แบบบาง</t>
  </si>
  <si>
    <t xml:space="preserve">       - ข้องอ 90 3/4 นิ้ว </t>
  </si>
  <si>
    <t xml:space="preserve">       - กาวทาท่อ 1000G</t>
  </si>
  <si>
    <t>ก.ป.</t>
  </si>
  <si>
    <t xml:space="preserve">       - ถังบำบัดน้ำเสีย DOS 1600 L</t>
  </si>
  <si>
    <t>ม้วน</t>
  </si>
  <si>
    <t xml:space="preserve">       - พลาสติกใส ขาวขุน 1.40*50</t>
  </si>
  <si>
    <t xml:space="preserve">       - บ่อพัก พร้อมฝา ขนาด 0.35*0.40 ม.</t>
  </si>
  <si>
    <t>อัน</t>
  </si>
  <si>
    <t xml:space="preserve">       - ฝาบ่อพัก </t>
  </si>
  <si>
    <t>ฝา</t>
  </si>
  <si>
    <t>รวมงานข้อ 2.1</t>
  </si>
  <si>
    <t xml:space="preserve">       - ปูนก่ออิฐมวลเบา</t>
  </si>
  <si>
    <t>ลูก</t>
  </si>
  <si>
    <t xml:space="preserve">       - ปูนฉาบอิฐมวลเบา M210</t>
  </si>
  <si>
    <t xml:space="preserve">       - ปูนเขียว TPI 197</t>
  </si>
  <si>
    <t xml:space="preserve">       - ปูนฉาบสำเร็จ M209</t>
  </si>
  <si>
    <t>รวมค่างานสถาปัตยกรรมทั้งหมด</t>
  </si>
  <si>
    <t xml:space="preserve">       - เสาเข็ม ไอตัน ขนาด 0.18 x 0.18 x 16 ม.</t>
  </si>
  <si>
    <t xml:space="preserve">       - คอนกรีตผสมเสร็จ 280 กก./ตร.ซม. (ปั้ม)</t>
  </si>
  <si>
    <t xml:space="preserve">       - เหล็กตัวซี C 100 x 50 x 2.0 มม.</t>
  </si>
  <si>
    <t xml:space="preserve">       - ถังดักไขมัน 25 L</t>
  </si>
  <si>
    <t xml:space="preserve"> 2.3 งานผนังจับเซี้ยมอุดรู เจีย</t>
  </si>
  <si>
    <t>รวมงานข้อ 2.3</t>
  </si>
  <si>
    <t xml:space="preserve">       - ไม้เชิงชาย สีซีเมนต์ 23.5 * 3.00 ม.</t>
  </si>
  <si>
    <t xml:space="preserve">       - แผ่นกระเบื้องลอนคู่ 1.20 เมตร(สีน้ำตาลสุขสันต์)</t>
  </si>
  <si>
    <t xml:space="preserve">       - แผ่นกระเบื้องลอนคู่ 1.50 เมตร(สีน้ำตาลสุขสันต์)</t>
  </si>
  <si>
    <t xml:space="preserve">       - ครอบสันโค้ง (สีน้ำตาลสุขสันต์)</t>
  </si>
  <si>
    <t xml:space="preserve">       - ครอบเชิงชาย (สีน้ำตาลสุขสันต์)</t>
  </si>
  <si>
    <t xml:space="preserve">       - ครอบปิดเชิงชาย (สีน้ำตาลสุขสันต์)</t>
  </si>
  <si>
    <t xml:space="preserve">       - รางน้ำสันตะเข้</t>
  </si>
  <si>
    <t>เมตร</t>
  </si>
  <si>
    <t xml:space="preserve">       - กันนก </t>
  </si>
  <si>
    <t>กล่อง</t>
  </si>
  <si>
    <t xml:space="preserve">       - ครอบสันกลาง2ทาง (สีน้ำตาลสุขสันต์)</t>
  </si>
  <si>
    <t xml:space="preserve">       - ครอบสันโค้งปิดจั่ว (สีน้ำตาลสุขสันต์)</t>
  </si>
  <si>
    <t>รวมงานข้อ 2.4</t>
  </si>
  <si>
    <t xml:space="preserve">       - ฝ้าเพดานภายใน</t>
  </si>
  <si>
    <t xml:space="preserve">       - ฝ้าเพดานสมาร์ทบอร์ดเซาะร่อง</t>
  </si>
  <si>
    <t xml:space="preserve">       - ฝ้าเพดานภายนอกภายในกันชื้น</t>
  </si>
  <si>
    <t>ทั้งของ</t>
  </si>
  <si>
    <t>ทั้งแรง</t>
  </si>
  <si>
    <t>รวมงานข้อ 2.5</t>
  </si>
  <si>
    <t xml:space="preserve">       - ไม้มอบ</t>
  </si>
  <si>
    <t>ห้อง</t>
  </si>
  <si>
    <t xml:space="preserve">       - บัวหน้าบ้าน+ผนังเซาะร่อง4 นิ้ว</t>
  </si>
  <si>
    <t xml:space="preserve">       - ไม้ฝาเซาะร่องจั่วหลังคา</t>
  </si>
  <si>
    <t xml:space="preserve">       - ผนังฝาทนชื้น</t>
  </si>
  <si>
    <t xml:space="preserve">       - ชักโครก</t>
  </si>
  <si>
    <t>ชุด</t>
  </si>
  <si>
    <t xml:space="preserve">       - อ่างล้างหน้าพร้อมขาตั้ง</t>
  </si>
  <si>
    <t xml:space="preserve">       - วาวล์ทางเดียว</t>
  </si>
  <si>
    <t xml:space="preserve">       - ที่ใส่กระดาษชำระ </t>
  </si>
  <si>
    <t xml:space="preserve">       - กระจกเงาของอ่างล้างหน้า</t>
  </si>
  <si>
    <t>บาน</t>
  </si>
  <si>
    <t xml:space="preserve">       - สายชำระ</t>
  </si>
  <si>
    <t xml:space="preserve">       - ชุดฝักบัว </t>
  </si>
  <si>
    <t xml:space="preserve">       - แผ่นตะแกรงกรองผงชนิดมีรู ขนาด Ø 4"</t>
  </si>
  <si>
    <t xml:space="preserve">       - ก๊อกสนาม</t>
  </si>
  <si>
    <t xml:space="preserve">       - วาวล์ 2 ทาง</t>
  </si>
  <si>
    <t xml:space="preserve">       - ราวแขวนผ้า ขนาด 60 ซม.</t>
  </si>
  <si>
    <t xml:space="preserve">       - ซิรีโคนกันน้ำ</t>
  </si>
  <si>
    <t>รวมงานข้อ 2.9</t>
  </si>
  <si>
    <t xml:space="preserve">       - แผ่นยางมะตอย 0.30 *10.00 ม.</t>
  </si>
  <si>
    <t xml:space="preserve">       - สกรูยิงแผ่นกระเบื้อง </t>
  </si>
  <si>
    <t xml:space="preserve">       - สะดืออ่าง</t>
  </si>
  <si>
    <t xml:space="preserve">       - ก๊อกอ่างล้างหน้า</t>
  </si>
  <si>
    <t xml:space="preserve">       - ท่อน้ำทิ้งอ่าง</t>
  </si>
  <si>
    <t xml:space="preserve">       - สายน้ำดี 16 นิ้ว</t>
  </si>
  <si>
    <t xml:space="preserve">       - ที่วางสบู่</t>
  </si>
  <si>
    <t>รวมงานข้อ 2.6</t>
  </si>
  <si>
    <t xml:space="preserve">       - ประตู ป.1  พร้อมอุปกรณ์</t>
  </si>
  <si>
    <t xml:space="preserve">       - ประตู ป.2  พร้อมอุปกรณ์</t>
  </si>
  <si>
    <t xml:space="preserve">       - ประตู ป.3  พร้อมอุปกรณ์</t>
  </si>
  <si>
    <t xml:space="preserve">       - ประตู ป.4  พร้อมอุปกรณ์</t>
  </si>
  <si>
    <t xml:space="preserve">       - หน้าต่าง น.2  พร้อมอุปกรณ์</t>
  </si>
  <si>
    <t xml:space="preserve">       - หน้าต่าง น.3  พร้อมอุปกรณ์</t>
  </si>
  <si>
    <t xml:space="preserve">       - หน้าต่าง น.1  พร้อมอุปกรณ์</t>
  </si>
  <si>
    <t xml:space="preserve">       - หน้าต่าง น.4  พร้อมอุปกรณ์</t>
  </si>
  <si>
    <t xml:space="preserve">       - หน้าต่าง น.5  พร้อมอุปกรณ์</t>
  </si>
  <si>
    <t>ของแรง</t>
  </si>
  <si>
    <t xml:space="preserve">       - งานกระเบื้องพื้น 60*60</t>
  </si>
  <si>
    <t xml:space="preserve">       - งานกระเบื้องพื้น 30*30</t>
  </si>
  <si>
    <t xml:space="preserve">       - งานกระเบื้องพื้น 40*40</t>
  </si>
  <si>
    <t xml:space="preserve">       - งานฉาบห้องน้ำ</t>
  </si>
  <si>
    <t>รวมงานข้อ 2.8</t>
  </si>
  <si>
    <t>รวมงานข้อ 2.10</t>
  </si>
  <si>
    <t xml:space="preserve">       - บูส ขนาด 1 นิ้ว</t>
  </si>
  <si>
    <t xml:space="preserve">       - กลอนเหล็กข้างขวา</t>
  </si>
  <si>
    <t xml:space="preserve">       - กลอนเหล็กข้างซ้าย</t>
  </si>
  <si>
    <t xml:space="preserve">       - เหล็กแฟตบาร์ 1.5" * 6.00 หนา 6.00 มม.</t>
  </si>
  <si>
    <t xml:space="preserve">       - ใบตัดเหล็ก 4 นิ้ว sumo</t>
  </si>
  <si>
    <t xml:space="preserve">       - ใบเจียเหล็ก 4 นิ้ว sumo</t>
  </si>
  <si>
    <t xml:space="preserve">       - งานสีภายนอก</t>
  </si>
  <si>
    <t xml:space="preserve">       - งานสีภายใน</t>
  </si>
  <si>
    <t xml:space="preserve">       - งานสีฝ้าเพดาน</t>
  </si>
  <si>
    <t xml:space="preserve">       - งานสีประตูรั้ว</t>
  </si>
  <si>
    <t xml:space="preserve">       - งานสกิมผิวบาง</t>
  </si>
  <si>
    <t xml:space="preserve">       - งานสีท่อน้ำฝน</t>
  </si>
  <si>
    <t>งานระบบไฟฟ้าและสื่อสาร</t>
  </si>
  <si>
    <t xml:space="preserve"> 3.1 งานดวงโคมไฟฟ้า</t>
  </si>
  <si>
    <t xml:space="preserve">       - กระดิ่งหน้าบ้าน</t>
  </si>
  <si>
    <t xml:space="preserve">       - เต้ารับเดี่ยว (ปลั๊ก)</t>
  </si>
  <si>
    <t xml:space="preserve">       - เต้ารับแอร์</t>
  </si>
  <si>
    <t xml:space="preserve">       - เต้ารับน้ำอุ่น</t>
  </si>
  <si>
    <t xml:space="preserve">       - ตู้เบรกเกอร์ ขนาด 12 ช่อง</t>
  </si>
  <si>
    <t xml:space="preserve">       - มาตรวัดกระแสไฟฟ้า ขนาด 15 AMP.</t>
  </si>
  <si>
    <t xml:space="preserve">รวมค่างานระบบไฟฟ้าและสื่อสารทั้งหมด </t>
  </si>
  <si>
    <t>รวมงานข้อ 3.1</t>
  </si>
  <si>
    <t xml:space="preserve"> 3.2 งานสวิทซ์และเต้ารับ (ปลั๊ก)</t>
  </si>
  <si>
    <t>รวมงานข้อ 3.2</t>
  </si>
  <si>
    <t xml:space="preserve"> 3.3 งานเดินสายไฟฟ้า</t>
  </si>
  <si>
    <t>รวมงานข้อ 3.3</t>
  </si>
  <si>
    <t xml:space="preserve"> 3.4 งานแผงสวิทซ์ และเซอร์กิตเบรกเกอร์</t>
  </si>
  <si>
    <t>รวมงานข้อ 3.4</t>
  </si>
  <si>
    <t xml:space="preserve">       - โคมไฟฟ้าดาวไลน์ 10W</t>
  </si>
  <si>
    <t xml:space="preserve">       - โคมไฟฟ้าฟลูออเรสเซนต์ ยาว</t>
  </si>
  <si>
    <t xml:space="preserve">       - โคมไฟหน้าบ้าน</t>
  </si>
  <si>
    <t xml:space="preserve"> 2.4 งานก่อรั้วหน้าบ้าน</t>
  </si>
  <si>
    <t xml:space="preserve">       - ผนังก่ออิฐบล็อค</t>
  </si>
  <si>
    <t xml:space="preserve">       - หิน3/4</t>
  </si>
  <si>
    <t xml:space="preserve">       - ทรายหยาบ</t>
  </si>
  <si>
    <t>คิว</t>
  </si>
  <si>
    <t xml:space="preserve">       - เหล็กทับหลังสำเร็จ (50ม.)</t>
  </si>
  <si>
    <t xml:space="preserve"> 2.5 งานเทพื้นที่จอดรถหน้าบ้าน</t>
  </si>
  <si>
    <t xml:space="preserve">       - เหล็กตะแกรงไวร์เมท 4 มม @0.20</t>
  </si>
  <si>
    <t>รวมงานข้อ 2.7</t>
  </si>
  <si>
    <t>รวมงานข้อ 2.11</t>
  </si>
  <si>
    <t>รวมงานข้อ 2.12</t>
  </si>
  <si>
    <t xml:space="preserve">รวมค่างานต่อเติมหลังคาที่จอดรถหน้าทั้งหมด </t>
  </si>
  <si>
    <t xml:space="preserve">       - ไม้ตกแต่งซีซาแนล 6 นิ้ว</t>
  </si>
  <si>
    <t xml:space="preserve"> 2.7 งานมุงหลังคา</t>
  </si>
  <si>
    <t xml:space="preserve"> 2.8 งานฝ้าเพดาน+ ไม้ตกแต่ง</t>
  </si>
  <si>
    <t xml:space="preserve"> 2.9 งานสุขภัณฑ์และอุปกรณ์ห้องน้ำ - ส้วม</t>
  </si>
  <si>
    <t xml:space="preserve"> 2.10 งานประตูหน้าต่างอะลูมิเนียม</t>
  </si>
  <si>
    <t xml:space="preserve"> 2.11 งานพื้น งานกรเบื้อง</t>
  </si>
  <si>
    <t xml:space="preserve"> 2.12 งานทาสี</t>
  </si>
  <si>
    <t xml:space="preserve"> 2.13 งานประตูรั้วหน้าบ้าน</t>
  </si>
  <si>
    <t>รวมงานข้อ 2.13</t>
  </si>
  <si>
    <t xml:space="preserve">       - เดินสายไฟฟ้า ดวงโคม เต้ารับ สวิทซ์</t>
  </si>
  <si>
    <t xml:space="preserve">       - สวิทซ์เดี่ยว 1 ดวง</t>
  </si>
  <si>
    <t xml:space="preserve">       - สวิทซ์เดี่ยว 2 ดวง</t>
  </si>
  <si>
    <t xml:space="preserve">       - สวิทซ์เดี่ยว 4 ดวง</t>
  </si>
  <si>
    <t xml:space="preserve">       - เหล็กกล่อง 4"x4"x2.3 mm</t>
  </si>
  <si>
    <t xml:space="preserve">       - เหล็กกล่อง 4"x2"x2.3 mm</t>
  </si>
  <si>
    <t xml:space="preserve">       - เหล็กกล่อง 1.5"x1.5"x1.8 mm</t>
  </si>
  <si>
    <t xml:space="preserve">       - เหล็กกล่อง 3"x1.5"x1.8 mm</t>
  </si>
  <si>
    <t xml:space="preserve">       - PL-6"x6"x 6 mm.</t>
  </si>
  <si>
    <t xml:space="preserve">       - PL-5"x5"x 6 mm.</t>
  </si>
  <si>
    <t xml:space="preserve">       -แฟตบาร์ 2"x2"x4.00มม.</t>
  </si>
  <si>
    <t xml:space="preserve">       - หลอดดาวไลน์ 10W</t>
  </si>
  <si>
    <t xml:space="preserve">       - แผ่นเมทัลชีท PU FORM</t>
  </si>
  <si>
    <t xml:space="preserve">       - สกรูยิงแผ่น</t>
  </si>
  <si>
    <t xml:space="preserve">       - ปูนแดง TPI </t>
  </si>
  <si>
    <t>ก้อน</t>
  </si>
  <si>
    <t xml:space="preserve"> 2.6 งานเทผนังหลังบ้าน</t>
  </si>
  <si>
    <t xml:space="preserve">       - งานไม้มอบ</t>
  </si>
  <si>
    <t xml:space="preserve">       - งานสีรั้วหลังบ้าน</t>
  </si>
  <si>
    <t xml:space="preserve">       - งานสีรั้วหน้าบ้าน</t>
  </si>
  <si>
    <t xml:space="preserve">       - งานสีเชิงชายข้างบ้าน หลังบ้าน</t>
  </si>
  <si>
    <t xml:space="preserve">       - งานสีไม้ตัวซีหน้าบ้าน</t>
  </si>
  <si>
    <t xml:space="preserve">       - งานทาสีบัวประตู หน้าต่าง ไม้ตกแต่งหน้าบ้าน</t>
  </si>
  <si>
    <t>เหมา</t>
  </si>
  <si>
    <t xml:space="preserve">  - งานติดตั้งโครงหลังคาเหล็ก </t>
  </si>
  <si>
    <t xml:space="preserve">  - งานติดตั้งรางน้ำ</t>
  </si>
  <si>
    <t xml:space="preserve">  - งานติดตั้งแฟลชชิ่ง ครอบข้าง รวมมุกหน้าบ้าน</t>
  </si>
  <si>
    <t xml:space="preserve">  - งานตั้งเสา</t>
  </si>
  <si>
    <t xml:space="preserve">  - งานมุงหลังคาเมทัลชีท</t>
  </si>
  <si>
    <t xml:space="preserve">  - งานทาสีโครงหลังคา</t>
  </si>
  <si>
    <t xml:space="preserve">  - งานเดินท่อน้ำฝน </t>
  </si>
  <si>
    <t xml:space="preserve">  - งานติดตั้งซีซาแนลต่อเติมหน้าบ้าน</t>
  </si>
  <si>
    <t>ตรม</t>
  </si>
  <si>
    <t>หลัง</t>
  </si>
  <si>
    <t xml:space="preserve">       - งานกระเบื้องผนัง 25*40</t>
  </si>
  <si>
    <t xml:space="preserve">  - งานทำมุกหน้าบ้าน</t>
  </si>
  <si>
    <t xml:space="preserve">  - งานเชื่อมเหล็กท้าวแขน</t>
  </si>
  <si>
    <t xml:space="preserve">  - งานติดตั้งซีซาแนลมุกหน้าบ้าน</t>
  </si>
  <si>
    <t xml:space="preserve">       - งานทาสีไม้ V2 ด้านข้างบ้าน</t>
  </si>
  <si>
    <t xml:space="preserve">       - งานทาสีไม้ V2 จั่วหน้าบ้าน</t>
  </si>
  <si>
    <t xml:space="preserve">       - รวมยอดค่าของค่าแรง เหมางานไฟฟ้า 1 ห้อง</t>
  </si>
  <si>
    <t xml:space="preserve">       - ค่าแรงงานประตูรั้วหน้าบ้าน 1 หลัง</t>
  </si>
  <si>
    <t xml:space="preserve">       - ค่าแรงงานสุขภัณฑ์และอุปกรณ์ห้องน้ำ - ส้วม</t>
  </si>
  <si>
    <t xml:space="preserve">       - ค่าแรงงานมุงหลังคา</t>
  </si>
  <si>
    <t xml:space="preserve">       - ค่าแรงงานเทผนังหลังบ้าน</t>
  </si>
  <si>
    <t xml:space="preserve">       - ค่าแรงงานก่อรั้วหน้าบ้าน</t>
  </si>
  <si>
    <t xml:space="preserve"> </t>
  </si>
  <si>
    <t>งานต่อเติมหลังคาที่จอดรถหน้าบ้าน</t>
  </si>
  <si>
    <t>รวมยอด บ้านแถวหลังริม</t>
  </si>
  <si>
    <r>
      <t xml:space="preserve">      - </t>
    </r>
    <r>
      <rPr>
        <sz val="14"/>
        <color theme="1"/>
        <rFont val="Angsana New"/>
        <family val="1"/>
      </rPr>
      <t>ท่อ PE เกษตร 20*20</t>
    </r>
  </si>
  <si>
    <t xml:space="preserve">        - ค่าแรงงานก่อรั้วหน้าบ้าน</t>
  </si>
  <si>
    <t>BOQ สรุปรายการปริมาณงานและราคา บ้านแถวหลังกลาง</t>
  </si>
  <si>
    <t>BOQ สรุปรายการปริมาณงานและราคา บ้านแถวหลังริม</t>
  </si>
  <si>
    <t>BOQ สรุปรายการปริมาณงานและราคา บ้านแถว 4 หลัง</t>
  </si>
  <si>
    <t>BOQ สรุปรายการปริมาณงานและราคา บ้านแถว 6 หลัง</t>
  </si>
  <si>
    <t xml:space="preserve">       - ค่าแรงงานโครงสร้าง</t>
  </si>
  <si>
    <t xml:space="preserve">       - ค่าแรงงานผนังสำเร็จ</t>
  </si>
  <si>
    <t>จำนวนหลัง</t>
  </si>
  <si>
    <t>NL B24</t>
  </si>
  <si>
    <t>NL B25</t>
  </si>
  <si>
    <t>NL B26</t>
  </si>
  <si>
    <t>NL B27</t>
  </si>
  <si>
    <t>NL B28</t>
  </si>
  <si>
    <t>NL B29</t>
  </si>
  <si>
    <t>NL B30</t>
  </si>
  <si>
    <t>NL B31</t>
  </si>
  <si>
    <t>NL B32</t>
  </si>
  <si>
    <t>NL B33</t>
  </si>
  <si>
    <t>NL B34</t>
  </si>
  <si>
    <t>NL B35</t>
  </si>
  <si>
    <t>NL B36</t>
  </si>
  <si>
    <t>NL B37</t>
  </si>
  <si>
    <t>NL B38</t>
  </si>
  <si>
    <t>PL B1</t>
  </si>
  <si>
    <t>PL B2</t>
  </si>
  <si>
    <t>PL B3</t>
  </si>
  <si>
    <t>PL B4</t>
  </si>
  <si>
    <t>PL B5</t>
  </si>
  <si>
    <t>ลำดับ</t>
  </si>
  <si>
    <t>ที่ดิน ถมที่</t>
  </si>
  <si>
    <t>งาน สาธารณูปโภคโครงการ</t>
  </si>
  <si>
    <t xml:space="preserve">รั้ว กำแพง โครงการ </t>
  </si>
  <si>
    <t>เงินเดือนพนักงาน</t>
  </si>
  <si>
    <t>โปรโมชั้น</t>
  </si>
  <si>
    <t>จัดสรร</t>
  </si>
  <si>
    <t>ค่าใช้จ่ายส่วนกลาง</t>
  </si>
  <si>
    <t>แคมป์คนงาน+สโตร์</t>
  </si>
  <si>
    <t>ค่าเช่าเครื่องจักร</t>
  </si>
  <si>
    <t xml:space="preserve">ค่าใช้จ่ายธนาคารทั้งหมด </t>
  </si>
  <si>
    <t>โครงการ Prime Life Ayutthaya</t>
  </si>
  <si>
    <t>โครงการ Nakhon Luang 1</t>
  </si>
  <si>
    <t>สำนักงานขาย PL</t>
  </si>
  <si>
    <t xml:space="preserve">สำนักงานขาย </t>
  </si>
  <si>
    <t>ไม่ต้องใส่อะไร ตั้งชื่ออย่างเดียว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</si>
</sst>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sz val="14"/>
      <color rgb="FFFF0000"/>
      <name val="Angsana New"/>
      <family val="1"/>
    </font>
    <font>
      <sz val="14"/>
      <name val="Angsana New"/>
      <family val="1"/>
    </font>
    <font>
      <b/>
      <sz val="14"/>
      <color rgb="FFFF0000"/>
      <name val="Angsana New"/>
      <family val="1"/>
    </font>
    <font>
      <b/>
      <sz val="14"/>
      <name val="Angsana New"/>
      <family val="1"/>
    </font>
    <font>
      <sz val="11"/>
      <color theme="1"/>
      <name val="Angsana New"/>
      <family val="1"/>
    </font>
    <font>
      <b/>
      <sz val="11"/>
      <color theme="1"/>
      <name val="Angsana New"/>
      <family val="1"/>
    </font>
    <font>
      <b/>
      <sz val="11"/>
      <name val="Angsana New"/>
      <family val="1"/>
    </font>
    <font>
      <sz val="11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8"/>
      <name val="Calibri"/>
      <family val="2"/>
      <charset val="222"/>
      <scheme val="minor"/>
    </font>
    <font>
      <sz val="8"/>
      <color theme="1"/>
      <name val="Calibri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240">
    <xf numFmtId="0" fontId="0" fillId="0" borderId="0" xfId="0"/>
    <xf numFmtId="0" fontId="4" fillId="4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43" fontId="3" fillId="0" borderId="6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43" fontId="3" fillId="0" borderId="6" xfId="1" applyFont="1" applyBorder="1" applyAlignment="1">
      <alignment horizontal="center" vertical="center"/>
    </xf>
    <xf numFmtId="43" fontId="5" fillId="0" borderId="6" xfId="1" applyFont="1" applyBorder="1" applyAlignment="1">
      <alignment vertical="center"/>
    </xf>
    <xf numFmtId="43" fontId="6" fillId="0" borderId="6" xfId="1" applyFont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vertical="center"/>
    </xf>
    <xf numFmtId="43" fontId="4" fillId="6" borderId="6" xfId="0" applyNumberFormat="1" applyFont="1" applyFill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vertical="center"/>
    </xf>
    <xf numFmtId="43" fontId="4" fillId="6" borderId="6" xfId="1" applyFont="1" applyFill="1" applyBorder="1" applyAlignment="1">
      <alignment vertical="center"/>
    </xf>
    <xf numFmtId="43" fontId="7" fillId="6" borderId="6" xfId="1" applyFont="1" applyFill="1" applyBorder="1" applyAlignment="1">
      <alignment vertical="center"/>
    </xf>
    <xf numFmtId="43" fontId="3" fillId="0" borderId="8" xfId="1" applyFont="1" applyBorder="1" applyAlignment="1">
      <alignment horizontal="center" vertical="center"/>
    </xf>
    <xf numFmtId="43" fontId="8" fillId="6" borderId="6" xfId="1" applyFont="1" applyFill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43" fontId="6" fillId="0" borderId="11" xfId="1" applyFont="1" applyBorder="1" applyAlignment="1">
      <alignment vertical="top"/>
    </xf>
    <xf numFmtId="0" fontId="3" fillId="0" borderId="8" xfId="0" applyFont="1" applyBorder="1" applyAlignment="1">
      <alignment horizontal="center" vertical="top"/>
    </xf>
    <xf numFmtId="43" fontId="6" fillId="0" borderId="6" xfId="1" applyFont="1" applyBorder="1" applyAlignment="1">
      <alignment vertical="top"/>
    </xf>
    <xf numFmtId="43" fontId="3" fillId="0" borderId="6" xfId="1" applyFont="1" applyBorder="1" applyAlignment="1">
      <alignment vertical="top"/>
    </xf>
    <xf numFmtId="43" fontId="6" fillId="0" borderId="8" xfId="1" applyFont="1" applyBorder="1" applyAlignment="1">
      <alignment vertical="top"/>
    </xf>
    <xf numFmtId="0" fontId="3" fillId="0" borderId="6" xfId="0" applyFont="1" applyBorder="1" applyAlignment="1">
      <alignment horizontal="center" vertical="top"/>
    </xf>
    <xf numFmtId="43" fontId="6" fillId="0" borderId="11" xfId="1" applyFont="1" applyBorder="1" applyAlignment="1">
      <alignment vertical="center"/>
    </xf>
    <xf numFmtId="43" fontId="6" fillId="0" borderId="8" xfId="1" applyFont="1" applyBorder="1" applyAlignment="1">
      <alignment vertical="center"/>
    </xf>
    <xf numFmtId="0" fontId="3" fillId="0" borderId="9" xfId="0" applyFont="1" applyBorder="1" applyAlignment="1">
      <alignment horizontal="center" vertical="top"/>
    </xf>
    <xf numFmtId="164" fontId="8" fillId="4" borderId="7" xfId="1" applyNumberFormat="1" applyFont="1" applyFill="1" applyBorder="1" applyAlignment="1">
      <alignment vertical="center"/>
    </xf>
    <xf numFmtId="0" fontId="8" fillId="4" borderId="7" xfId="0" applyFont="1" applyFill="1" applyBorder="1" applyAlignment="1">
      <alignment horizontal="center" vertical="center"/>
    </xf>
    <xf numFmtId="43" fontId="8" fillId="4" borderId="7" xfId="1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9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9" fillId="6" borderId="0" xfId="0" applyFont="1" applyFill="1"/>
    <xf numFmtId="0" fontId="6" fillId="4" borderId="6" xfId="0" applyFont="1" applyFill="1" applyBorder="1" applyAlignment="1">
      <alignment vertical="center"/>
    </xf>
    <xf numFmtId="0" fontId="9" fillId="4" borderId="0" xfId="0" applyFont="1" applyFill="1"/>
    <xf numFmtId="0" fontId="6" fillId="0" borderId="6" xfId="0" applyFont="1" applyBorder="1" applyAlignment="1">
      <alignment vertical="center"/>
    </xf>
    <xf numFmtId="43" fontId="6" fillId="0" borderId="6" xfId="0" applyNumberFormat="1" applyFont="1" applyBorder="1" applyAlignment="1">
      <alignment vertical="center"/>
    </xf>
    <xf numFmtId="0" fontId="10" fillId="6" borderId="0" xfId="0" applyFont="1" applyFill="1"/>
    <xf numFmtId="0" fontId="6" fillId="0" borderId="5" xfId="0" applyFont="1" applyBorder="1" applyAlignment="1">
      <alignment vertical="center"/>
    </xf>
    <xf numFmtId="0" fontId="4" fillId="4" borderId="7" xfId="0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43" fontId="3" fillId="4" borderId="7" xfId="1" applyFont="1" applyFill="1" applyBorder="1" applyAlignment="1">
      <alignment vertical="center"/>
    </xf>
    <xf numFmtId="43" fontId="7" fillId="4" borderId="7" xfId="1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43" fontId="4" fillId="0" borderId="0" xfId="1" applyFont="1"/>
    <xf numFmtId="0" fontId="4" fillId="0" borderId="9" xfId="0" applyFont="1" applyFill="1" applyBorder="1" applyAlignment="1">
      <alignment horizontal="center" vertical="center"/>
    </xf>
    <xf numFmtId="164" fontId="3" fillId="0" borderId="9" xfId="1" applyNumberFormat="1" applyFont="1" applyFill="1" applyBorder="1" applyAlignment="1">
      <alignment vertical="center"/>
    </xf>
    <xf numFmtId="0" fontId="3" fillId="0" borderId="9" xfId="0" applyFont="1" applyFill="1" applyBorder="1" applyAlignment="1">
      <alignment horizontal="center" vertical="center"/>
    </xf>
    <xf numFmtId="43" fontId="3" fillId="0" borderId="9" xfId="1" applyFont="1" applyFill="1" applyBorder="1" applyAlignment="1">
      <alignment vertical="center"/>
    </xf>
    <xf numFmtId="43" fontId="7" fillId="0" borderId="9" xfId="1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43" fontId="4" fillId="0" borderId="0" xfId="1" applyFont="1" applyFill="1"/>
    <xf numFmtId="0" fontId="4" fillId="5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9" fillId="5" borderId="0" xfId="0" applyFont="1" applyFill="1"/>
    <xf numFmtId="43" fontId="3" fillId="0" borderId="8" xfId="1" applyFont="1" applyBorder="1" applyAlignment="1">
      <alignment vertical="center"/>
    </xf>
    <xf numFmtId="43" fontId="4" fillId="6" borderId="6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43" fontId="3" fillId="0" borderId="0" xfId="1" applyFont="1"/>
    <xf numFmtId="43" fontId="4" fillId="0" borderId="6" xfId="0" applyNumberFormat="1" applyFont="1" applyBorder="1" applyAlignment="1">
      <alignment vertical="center"/>
    </xf>
    <xf numFmtId="43" fontId="8" fillId="0" borderId="6" xfId="0" applyNumberFormat="1" applyFont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7" xfId="0" applyFont="1" applyBorder="1" applyAlignment="1">
      <alignment horizontal="left"/>
    </xf>
    <xf numFmtId="43" fontId="6" fillId="0" borderId="7" xfId="1" applyFont="1" applyBorder="1" applyAlignment="1">
      <alignment horizontal="right"/>
    </xf>
    <xf numFmtId="164" fontId="8" fillId="5" borderId="7" xfId="1" applyNumberFormat="1" applyFont="1" applyFill="1" applyBorder="1" applyAlignment="1">
      <alignment vertical="center"/>
    </xf>
    <xf numFmtId="0" fontId="8" fillId="5" borderId="7" xfId="0" applyFont="1" applyFill="1" applyBorder="1" applyAlignment="1">
      <alignment horizontal="center" vertical="center"/>
    </xf>
    <xf numFmtId="43" fontId="8" fillId="5" borderId="7" xfId="1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8" fillId="5" borderId="0" xfId="0" applyFont="1" applyFill="1"/>
    <xf numFmtId="0" fontId="11" fillId="5" borderId="0" xfId="0" applyFont="1" applyFill="1"/>
    <xf numFmtId="164" fontId="8" fillId="0" borderId="9" xfId="1" applyNumberFormat="1" applyFont="1" applyFill="1" applyBorder="1" applyAlignment="1">
      <alignment vertical="center"/>
    </xf>
    <xf numFmtId="0" fontId="8" fillId="0" borderId="9" xfId="0" applyFont="1" applyFill="1" applyBorder="1" applyAlignment="1">
      <alignment horizontal="center" vertical="center"/>
    </xf>
    <xf numFmtId="43" fontId="8" fillId="0" borderId="9" xfId="1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0" borderId="0" xfId="0" applyFont="1" applyFill="1"/>
    <xf numFmtId="0" fontId="11" fillId="0" borderId="0" xfId="0" applyFont="1" applyFill="1"/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43" fontId="3" fillId="3" borderId="0" xfId="1" applyFont="1" applyFill="1"/>
    <xf numFmtId="0" fontId="3" fillId="3" borderId="0" xfId="0" applyFont="1" applyFill="1"/>
    <xf numFmtId="0" fontId="9" fillId="3" borderId="0" xfId="0" applyFont="1" applyFill="1"/>
    <xf numFmtId="43" fontId="3" fillId="0" borderId="8" xfId="1" applyFont="1" applyBorder="1" applyAlignment="1">
      <alignment horizontal="left" vertical="top"/>
    </xf>
    <xf numFmtId="0" fontId="8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vertical="center"/>
    </xf>
    <xf numFmtId="164" fontId="8" fillId="3" borderId="7" xfId="1" applyNumberFormat="1" applyFont="1" applyFill="1" applyBorder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43" fontId="8" fillId="3" borderId="7" xfId="1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8" fillId="3" borderId="0" xfId="0" applyFont="1" applyFill="1"/>
    <xf numFmtId="43" fontId="8" fillId="0" borderId="0" xfId="1" applyFont="1" applyFill="1"/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43" fontId="4" fillId="2" borderId="0" xfId="1" applyFont="1" applyFill="1"/>
    <xf numFmtId="0" fontId="4" fillId="2" borderId="0" xfId="0" applyFont="1" applyFill="1"/>
    <xf numFmtId="43" fontId="6" fillId="0" borderId="9" xfId="0" applyNumberFormat="1" applyFont="1" applyBorder="1" applyAlignment="1">
      <alignment horizontal="left" vertical="top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horizontal="left" vertical="top"/>
    </xf>
    <xf numFmtId="43" fontId="6" fillId="0" borderId="6" xfId="1" applyFont="1" applyBorder="1" applyAlignment="1">
      <alignment horizontal="left" vertical="top"/>
    </xf>
    <xf numFmtId="43" fontId="6" fillId="0" borderId="0" xfId="2" applyNumberFormat="1" applyFont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43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43" fontId="6" fillId="0" borderId="6" xfId="2" applyNumberFormat="1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43" fontId="6" fillId="0" borderId="11" xfId="1" applyFont="1" applyBorder="1" applyAlignment="1">
      <alignment horizontal="left" vertical="top"/>
    </xf>
    <xf numFmtId="43" fontId="6" fillId="0" borderId="8" xfId="1" applyFont="1" applyBorder="1" applyAlignment="1">
      <alignment horizontal="left" vertical="top"/>
    </xf>
    <xf numFmtId="43" fontId="6" fillId="0" borderId="8" xfId="2" applyNumberFormat="1" applyFont="1" applyBorder="1" applyAlignment="1">
      <alignment horizontal="left" vertical="top"/>
    </xf>
    <xf numFmtId="164" fontId="4" fillId="2" borderId="7" xfId="1" applyNumberFormat="1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vertical="center"/>
    </xf>
    <xf numFmtId="43" fontId="8" fillId="2" borderId="7" xfId="0" applyNumberFormat="1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0" borderId="0" xfId="0" applyFont="1"/>
    <xf numFmtId="0" fontId="12" fillId="0" borderId="0" xfId="0" applyFont="1"/>
    <xf numFmtId="43" fontId="3" fillId="6" borderId="0" xfId="1" applyFont="1" applyFill="1"/>
    <xf numFmtId="0" fontId="3" fillId="6" borderId="0" xfId="0" applyFont="1" applyFill="1"/>
    <xf numFmtId="43" fontId="3" fillId="4" borderId="0" xfId="1" applyFont="1" applyFill="1"/>
    <xf numFmtId="0" fontId="3" fillId="4" borderId="0" xfId="0" applyFont="1" applyFill="1"/>
    <xf numFmtId="0" fontId="4" fillId="6" borderId="0" xfId="0" applyFont="1" applyFill="1"/>
    <xf numFmtId="0" fontId="3" fillId="0" borderId="0" xfId="0" applyFont="1" applyFill="1"/>
    <xf numFmtId="43" fontId="3" fillId="5" borderId="0" xfId="1" applyFont="1" applyFill="1"/>
    <xf numFmtId="0" fontId="3" fillId="5" borderId="0" xfId="0" applyFont="1" applyFill="1"/>
    <xf numFmtId="0" fontId="4" fillId="6" borderId="0" xfId="0" applyFont="1" applyFill="1" applyAlignment="1">
      <alignment horizontal="center"/>
    </xf>
    <xf numFmtId="43" fontId="6" fillId="0" borderId="0" xfId="1" applyFont="1"/>
    <xf numFmtId="164" fontId="3" fillId="0" borderId="7" xfId="0" applyNumberFormat="1" applyFont="1" applyBorder="1"/>
    <xf numFmtId="43" fontId="3" fillId="0" borderId="7" xfId="1" applyFont="1" applyBorder="1"/>
    <xf numFmtId="0" fontId="3" fillId="0" borderId="7" xfId="0" applyFont="1" applyBorder="1"/>
    <xf numFmtId="43" fontId="8" fillId="0" borderId="7" xfId="1" applyFont="1" applyBorder="1"/>
    <xf numFmtId="43" fontId="7" fillId="0" borderId="7" xfId="1" applyFont="1" applyBorder="1"/>
    <xf numFmtId="2" fontId="3" fillId="0" borderId="0" xfId="0" applyNumberFormat="1" applyFont="1"/>
    <xf numFmtId="2" fontId="6" fillId="0" borderId="0" xfId="0" applyNumberFormat="1" applyFont="1"/>
    <xf numFmtId="43" fontId="3" fillId="0" borderId="9" xfId="1" applyFont="1" applyBorder="1" applyAlignment="1">
      <alignment vertical="center"/>
    </xf>
    <xf numFmtId="43" fontId="8" fillId="2" borderId="0" xfId="0" applyNumberFormat="1" applyFont="1" applyFill="1"/>
    <xf numFmtId="0" fontId="11" fillId="4" borderId="0" xfId="0" applyFont="1" applyFill="1"/>
    <xf numFmtId="43" fontId="8" fillId="0" borderId="9" xfId="0" applyNumberFormat="1" applyFont="1" applyFill="1" applyBorder="1" applyAlignment="1">
      <alignment vertical="center"/>
    </xf>
    <xf numFmtId="164" fontId="6" fillId="0" borderId="9" xfId="1" applyNumberFormat="1" applyFont="1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43" fontId="6" fillId="0" borderId="9" xfId="1" applyFont="1" applyFill="1" applyBorder="1" applyAlignment="1">
      <alignment vertical="center"/>
    </xf>
    <xf numFmtId="0" fontId="6" fillId="0" borderId="9" xfId="0" applyFont="1" applyFill="1" applyBorder="1" applyAlignment="1">
      <alignment vertical="center"/>
    </xf>
    <xf numFmtId="0" fontId="6" fillId="0" borderId="0" xfId="0" applyFont="1" applyFill="1"/>
    <xf numFmtId="0" fontId="12" fillId="0" borderId="0" xfId="0" applyFont="1" applyFill="1"/>
    <xf numFmtId="43" fontId="5" fillId="0" borderId="9" xfId="1" applyFont="1" applyBorder="1" applyAlignment="1">
      <alignment vertical="center"/>
    </xf>
    <xf numFmtId="43" fontId="3" fillId="0" borderId="9" xfId="0" applyNumberFormat="1" applyFont="1" applyBorder="1" applyAlignment="1">
      <alignment vertical="center"/>
    </xf>
    <xf numFmtId="164" fontId="6" fillId="3" borderId="7" xfId="1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43" fontId="6" fillId="3" borderId="7" xfId="1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0" xfId="0" applyFont="1" applyFill="1"/>
    <xf numFmtId="0" fontId="12" fillId="3" borderId="0" xfId="0" applyFont="1" applyFill="1"/>
    <xf numFmtId="0" fontId="3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3" fillId="2" borderId="0" xfId="0" applyFont="1" applyFill="1"/>
    <xf numFmtId="0" fontId="9" fillId="2" borderId="0" xfId="0" applyFont="1" applyFill="1"/>
    <xf numFmtId="164" fontId="8" fillId="2" borderId="7" xfId="1" applyNumberFormat="1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43" fontId="8" fillId="2" borderId="7" xfId="1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8" fillId="2" borderId="0" xfId="0" applyFont="1" applyFill="1"/>
    <xf numFmtId="0" fontId="11" fillId="2" borderId="0" xfId="0" applyFont="1" applyFill="1"/>
    <xf numFmtId="43" fontId="8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164" fontId="3" fillId="0" borderId="7" xfId="0" applyNumberFormat="1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4" borderId="6" xfId="1" applyNumberFormat="1" applyFont="1" applyFill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4" fillId="6" borderId="6" xfId="1" applyNumberFormat="1" applyFont="1" applyFill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4" fillId="4" borderId="7" xfId="1" applyNumberFormat="1" applyFont="1" applyFill="1" applyBorder="1" applyAlignment="1">
      <alignment horizontal="center" vertical="center"/>
    </xf>
    <xf numFmtId="164" fontId="4" fillId="0" borderId="9" xfId="1" applyNumberFormat="1" applyFont="1" applyFill="1" applyBorder="1" applyAlignment="1">
      <alignment horizontal="center" vertical="center"/>
    </xf>
    <xf numFmtId="164" fontId="4" fillId="5" borderId="5" xfId="1" applyNumberFormat="1" applyFont="1" applyFill="1" applyBorder="1" applyAlignment="1">
      <alignment horizontal="center" vertical="center"/>
    </xf>
    <xf numFmtId="164" fontId="8" fillId="5" borderId="7" xfId="1" applyNumberFormat="1" applyFont="1" applyFill="1" applyBorder="1" applyAlignment="1">
      <alignment horizontal="center" vertical="center"/>
    </xf>
    <xf numFmtId="164" fontId="8" fillId="0" borderId="9" xfId="1" applyNumberFormat="1" applyFont="1" applyFill="1" applyBorder="1" applyAlignment="1">
      <alignment horizontal="center" vertical="center"/>
    </xf>
    <xf numFmtId="164" fontId="4" fillId="3" borderId="5" xfId="1" applyNumberFormat="1" applyFont="1" applyFill="1" applyBorder="1" applyAlignment="1">
      <alignment horizontal="center" vertical="center"/>
    </xf>
    <xf numFmtId="164" fontId="8" fillId="3" borderId="7" xfId="1" applyNumberFormat="1" applyFont="1" applyFill="1" applyBorder="1" applyAlignment="1">
      <alignment horizontal="center" vertical="center"/>
    </xf>
    <xf numFmtId="164" fontId="4" fillId="2" borderId="6" xfId="1" applyNumberFormat="1" applyFont="1" applyFill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top"/>
    </xf>
    <xf numFmtId="164" fontId="4" fillId="2" borderId="7" xfId="1" applyNumberFormat="1" applyFont="1" applyFill="1" applyBorder="1" applyAlignment="1">
      <alignment horizontal="center" vertical="center"/>
    </xf>
    <xf numFmtId="164" fontId="8" fillId="4" borderId="7" xfId="1" applyNumberFormat="1" applyFont="1" applyFill="1" applyBorder="1" applyAlignment="1">
      <alignment horizontal="center" vertical="center"/>
    </xf>
    <xf numFmtId="164" fontId="6" fillId="0" borderId="9" xfId="1" applyNumberFormat="1" applyFont="1" applyFill="1" applyBorder="1" applyAlignment="1">
      <alignment horizontal="center" vertical="center"/>
    </xf>
    <xf numFmtId="164" fontId="8" fillId="2" borderId="7" xfId="1" applyNumberFormat="1" applyFont="1" applyFill="1" applyBorder="1" applyAlignment="1">
      <alignment horizontal="center" vertical="center"/>
    </xf>
    <xf numFmtId="43" fontId="14" fillId="0" borderId="0" xfId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8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/>
    </xf>
    <xf numFmtId="0" fontId="4" fillId="6" borderId="3" xfId="0" applyFont="1" applyFill="1" applyBorder="1" applyAlignment="1">
      <alignment horizontal="center" vertical="center"/>
    </xf>
    <xf numFmtId="43" fontId="3" fillId="0" borderId="6" xfId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0" xfId="0" applyAlignment="1">
      <alignment horizontal="center"/>
    </xf>
    <xf numFmtId="0" fontId="16" fillId="0" borderId="7" xfId="0" applyFont="1" applyBorder="1"/>
  </cellXfs>
  <cellStyles count="4">
    <cellStyle name="Comma" xfId="1" builtinId="3"/>
    <cellStyle name="Comma 2" xfId="3" xr:uid="{45E5286D-3A0B-4632-92AA-65830BE1B839}"/>
    <cellStyle name="Normal" xfId="0" builtinId="0"/>
    <cellStyle name="Normal 2" xfId="2" xr:uid="{5A9964B4-0CC1-4B4D-99C5-0DF08D880F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5BCC-53C2-45EC-8E88-7C8E10F46BFF}">
  <dimension ref="A1:P276"/>
  <sheetViews>
    <sheetView view="pageBreakPreview" zoomScale="103" zoomScaleNormal="100" zoomScaleSheetLayoutView="103" workbookViewId="0">
      <selection activeCell="L9" sqref="L9"/>
    </sheetView>
  </sheetViews>
  <sheetFormatPr defaultRowHeight="20" customHeight="1"/>
  <cols>
    <col min="1" max="1" width="6.59765625" style="185" customWidth="1"/>
    <col min="2" max="2" width="45.59765625" style="43" customWidth="1"/>
    <col min="3" max="3" width="8.59765625" style="43" customWidth="1"/>
    <col min="4" max="4" width="8.59765625" style="185" customWidth="1"/>
    <col min="5" max="8" width="13.59765625" style="43" customWidth="1"/>
    <col min="9" max="9" width="13.59765625" style="44" customWidth="1"/>
    <col min="10" max="10" width="13.59765625" style="43" customWidth="1"/>
    <col min="11" max="11" width="10.46484375" style="73" customWidth="1"/>
    <col min="12" max="12" width="11.53125" style="43" bestFit="1" customWidth="1"/>
    <col min="13" max="16384" width="9.06640625" style="43"/>
  </cols>
  <sheetData>
    <row r="1" spans="1:11" s="215" customFormat="1" ht="20" customHeight="1">
      <c r="A1" s="228" t="s">
        <v>283</v>
      </c>
      <c r="B1" s="228"/>
      <c r="C1" s="228"/>
      <c r="D1" s="228"/>
      <c r="E1" s="228"/>
      <c r="F1" s="228"/>
      <c r="G1" s="228"/>
      <c r="H1" s="228"/>
      <c r="I1" s="228"/>
      <c r="J1" s="228"/>
      <c r="K1" s="214"/>
    </row>
    <row r="2" spans="1:11" ht="20" customHeight="1">
      <c r="A2" s="196"/>
      <c r="B2" s="41"/>
      <c r="C2" s="41"/>
      <c r="D2" s="184"/>
      <c r="E2" s="41"/>
      <c r="F2" s="41"/>
      <c r="G2" s="41"/>
      <c r="H2" s="41"/>
      <c r="I2" s="42"/>
      <c r="J2" s="41"/>
    </row>
    <row r="3" spans="1:11" ht="20" customHeight="1" thickBot="1"/>
    <row r="4" spans="1:11" s="134" customFormat="1" ht="20" customHeight="1" thickTop="1">
      <c r="A4" s="226" t="s">
        <v>0</v>
      </c>
      <c r="B4" s="226" t="s">
        <v>1</v>
      </c>
      <c r="C4" s="226" t="s">
        <v>2</v>
      </c>
      <c r="D4" s="226" t="s">
        <v>3</v>
      </c>
      <c r="E4" s="226" t="s">
        <v>4</v>
      </c>
      <c r="F4" s="226"/>
      <c r="G4" s="226" t="s">
        <v>5</v>
      </c>
      <c r="H4" s="226"/>
      <c r="I4" s="217" t="s">
        <v>6</v>
      </c>
      <c r="J4" s="226" t="s">
        <v>7</v>
      </c>
      <c r="K4" s="133"/>
    </row>
    <row r="5" spans="1:11" s="134" customFormat="1" ht="20" customHeight="1" thickBot="1">
      <c r="A5" s="227"/>
      <c r="B5" s="227"/>
      <c r="C5" s="227"/>
      <c r="D5" s="227"/>
      <c r="E5" s="218" t="s">
        <v>8</v>
      </c>
      <c r="F5" s="218" t="s">
        <v>9</v>
      </c>
      <c r="G5" s="218" t="s">
        <v>8</v>
      </c>
      <c r="H5" s="218" t="s">
        <v>9</v>
      </c>
      <c r="I5" s="219" t="s">
        <v>10</v>
      </c>
      <c r="J5" s="227"/>
      <c r="K5" s="133"/>
    </row>
    <row r="6" spans="1:11" s="136" customFormat="1" ht="20" customHeight="1" thickTop="1">
      <c r="A6" s="197">
        <v>1</v>
      </c>
      <c r="B6" s="1" t="s">
        <v>12</v>
      </c>
      <c r="C6" s="2"/>
      <c r="D6" s="186"/>
      <c r="E6" s="2"/>
      <c r="F6" s="2"/>
      <c r="G6" s="2"/>
      <c r="H6" s="2"/>
      <c r="I6" s="46"/>
      <c r="J6" s="2"/>
      <c r="K6" s="135"/>
    </row>
    <row r="7" spans="1:11" ht="20" customHeight="1">
      <c r="A7" s="198"/>
      <c r="B7" s="3" t="s">
        <v>13</v>
      </c>
      <c r="C7" s="4"/>
      <c r="D7" s="6"/>
      <c r="E7" s="4"/>
      <c r="F7" s="4"/>
      <c r="G7" s="4"/>
      <c r="H7" s="4"/>
      <c r="I7" s="48"/>
      <c r="J7" s="4"/>
    </row>
    <row r="8" spans="1:11" ht="20" customHeight="1">
      <c r="A8" s="198"/>
      <c r="B8" s="4" t="s">
        <v>14</v>
      </c>
      <c r="C8" s="5">
        <f>10/6</f>
        <v>1.6666666666666667</v>
      </c>
      <c r="D8" s="6" t="s">
        <v>15</v>
      </c>
      <c r="E8" s="5">
        <v>3500</v>
      </c>
      <c r="F8" s="5">
        <f>E8*C8</f>
        <v>5833.3333333333339</v>
      </c>
      <c r="G8" s="5">
        <v>0</v>
      </c>
      <c r="H8" s="5">
        <f t="shared" ref="H8:H11" si="0">G8*C8</f>
        <v>0</v>
      </c>
      <c r="I8" s="49">
        <f>H8+F8</f>
        <v>5833.3333333333339</v>
      </c>
      <c r="J8" s="4"/>
    </row>
    <row r="9" spans="1:11" ht="20" customHeight="1">
      <c r="A9" s="198"/>
      <c r="B9" s="4" t="s">
        <v>36</v>
      </c>
      <c r="C9" s="5">
        <f>5.5/6</f>
        <v>0.91666666666666663</v>
      </c>
      <c r="D9" s="6" t="s">
        <v>16</v>
      </c>
      <c r="E9" s="5">
        <v>1500</v>
      </c>
      <c r="F9" s="5">
        <f t="shared" ref="F9:F11" si="1">E9*C9</f>
        <v>1375</v>
      </c>
      <c r="G9" s="5">
        <v>0</v>
      </c>
      <c r="H9" s="5">
        <f t="shared" si="0"/>
        <v>0</v>
      </c>
      <c r="I9" s="49">
        <f t="shared" ref="I9:I11" si="2">H9+F9</f>
        <v>1375</v>
      </c>
      <c r="J9" s="4"/>
    </row>
    <row r="10" spans="1:11" ht="20" customHeight="1">
      <c r="A10" s="198"/>
      <c r="B10" s="4" t="s">
        <v>17</v>
      </c>
      <c r="C10" s="9">
        <v>0</v>
      </c>
      <c r="D10" s="6" t="s">
        <v>16</v>
      </c>
      <c r="E10" s="5">
        <v>0</v>
      </c>
      <c r="F10" s="5">
        <f t="shared" si="1"/>
        <v>0</v>
      </c>
      <c r="G10" s="5">
        <v>0</v>
      </c>
      <c r="H10" s="5">
        <f t="shared" si="0"/>
        <v>0</v>
      </c>
      <c r="I10" s="49">
        <f t="shared" si="2"/>
        <v>0</v>
      </c>
      <c r="J10" s="4"/>
    </row>
    <row r="11" spans="1:11" ht="20" customHeight="1">
      <c r="A11" s="198"/>
      <c r="B11" s="4" t="s">
        <v>18</v>
      </c>
      <c r="C11" s="5">
        <f>40/6</f>
        <v>6.666666666666667</v>
      </c>
      <c r="D11" s="6" t="s">
        <v>16</v>
      </c>
      <c r="E11" s="11">
        <v>100</v>
      </c>
      <c r="F11" s="5">
        <f t="shared" si="1"/>
        <v>666.66666666666674</v>
      </c>
      <c r="G11" s="5">
        <v>0</v>
      </c>
      <c r="H11" s="5">
        <f t="shared" si="0"/>
        <v>0</v>
      </c>
      <c r="I11" s="49">
        <f t="shared" si="2"/>
        <v>666.66666666666674</v>
      </c>
      <c r="J11" s="4"/>
    </row>
    <row r="12" spans="1:11" s="137" customFormat="1" ht="20" customHeight="1">
      <c r="A12" s="199"/>
      <c r="B12" s="12" t="s">
        <v>19</v>
      </c>
      <c r="C12" s="13"/>
      <c r="D12" s="12"/>
      <c r="E12" s="13"/>
      <c r="F12" s="14">
        <f>SUM(F8:F11)</f>
        <v>7875.0000000000009</v>
      </c>
      <c r="G12" s="14"/>
      <c r="H12" s="14">
        <f t="shared" ref="H12:I12" si="3">SUM(H8:H11)</f>
        <v>0</v>
      </c>
      <c r="I12" s="14">
        <f t="shared" si="3"/>
        <v>7875.0000000000009</v>
      </c>
      <c r="J12" s="13"/>
      <c r="K12" s="58">
        <f>H12+F12</f>
        <v>7875.0000000000009</v>
      </c>
    </row>
    <row r="13" spans="1:11" ht="20" customHeight="1">
      <c r="A13" s="198"/>
      <c r="B13" s="3" t="s">
        <v>20</v>
      </c>
      <c r="C13" s="4"/>
      <c r="D13" s="6"/>
      <c r="E13" s="4"/>
      <c r="F13" s="4"/>
      <c r="G13" s="4"/>
      <c r="H13" s="4"/>
      <c r="I13" s="48"/>
      <c r="J13" s="4"/>
    </row>
    <row r="14" spans="1:11" ht="20" customHeight="1">
      <c r="A14" s="198"/>
      <c r="B14" s="4" t="s">
        <v>110</v>
      </c>
      <c r="C14" s="5">
        <f>53/6</f>
        <v>8.8333333333333339</v>
      </c>
      <c r="D14" s="6" t="s">
        <v>21</v>
      </c>
      <c r="E14" s="11">
        <v>2080</v>
      </c>
      <c r="F14" s="5">
        <f>E14*C14</f>
        <v>18373.333333333336</v>
      </c>
      <c r="G14" s="5">
        <v>750</v>
      </c>
      <c r="H14" s="5">
        <f>G14*C14</f>
        <v>6625</v>
      </c>
      <c r="I14" s="49">
        <f>H14+F14</f>
        <v>24998.333333333336</v>
      </c>
      <c r="J14" s="4"/>
    </row>
    <row r="15" spans="1:11" ht="20" customHeight="1">
      <c r="A15" s="198"/>
      <c r="B15" s="4" t="s">
        <v>22</v>
      </c>
      <c r="C15" s="5">
        <v>0</v>
      </c>
      <c r="D15" s="6" t="s">
        <v>21</v>
      </c>
      <c r="E15" s="5">
        <v>0</v>
      </c>
      <c r="F15" s="5">
        <f>E15*C15</f>
        <v>0</v>
      </c>
      <c r="G15" s="5">
        <v>0</v>
      </c>
      <c r="H15" s="5">
        <f>G15*C15</f>
        <v>0</v>
      </c>
      <c r="I15" s="49">
        <f>H15+F15</f>
        <v>0</v>
      </c>
      <c r="J15" s="4"/>
    </row>
    <row r="16" spans="1:11" s="137" customFormat="1" ht="20" customHeight="1">
      <c r="A16" s="199"/>
      <c r="B16" s="12" t="s">
        <v>23</v>
      </c>
      <c r="C16" s="13"/>
      <c r="D16" s="12"/>
      <c r="E16" s="13"/>
      <c r="F16" s="14">
        <f>SUM(F14:F15)</f>
        <v>18373.333333333336</v>
      </c>
      <c r="G16" s="14"/>
      <c r="H16" s="14">
        <f t="shared" ref="H16:I16" si="4">SUM(H14:H15)</f>
        <v>6625</v>
      </c>
      <c r="I16" s="14">
        <f t="shared" si="4"/>
        <v>24998.333333333336</v>
      </c>
      <c r="J16" s="13"/>
      <c r="K16" s="58">
        <f>H16+F16</f>
        <v>24998.333333333336</v>
      </c>
    </row>
    <row r="17" spans="1:11" ht="20" customHeight="1">
      <c r="A17" s="198"/>
      <c r="B17" s="3" t="s">
        <v>24</v>
      </c>
      <c r="C17" s="4"/>
      <c r="D17" s="6"/>
      <c r="E17" s="4"/>
      <c r="F17" s="4"/>
      <c r="G17" s="4"/>
      <c r="H17" s="4"/>
      <c r="I17" s="48"/>
      <c r="J17" s="4"/>
    </row>
    <row r="18" spans="1:11" ht="20" customHeight="1">
      <c r="A18" s="198"/>
      <c r="B18" s="4" t="s">
        <v>25</v>
      </c>
      <c r="C18" s="5">
        <f>20/6</f>
        <v>3.3333333333333335</v>
      </c>
      <c r="D18" s="6" t="s">
        <v>60</v>
      </c>
      <c r="E18" s="11">
        <v>590</v>
      </c>
      <c r="F18" s="5">
        <f>E18*C18</f>
        <v>1966.6666666666667</v>
      </c>
      <c r="G18" s="5">
        <v>0</v>
      </c>
      <c r="H18" s="5">
        <f t="shared" ref="H18:H22" si="5">G18*C18</f>
        <v>0</v>
      </c>
      <c r="I18" s="49">
        <f>H18+F18</f>
        <v>1966.6666666666667</v>
      </c>
      <c r="J18" s="4"/>
    </row>
    <row r="19" spans="1:11" ht="20" customHeight="1">
      <c r="A19" s="198"/>
      <c r="B19" s="4" t="s">
        <v>27</v>
      </c>
      <c r="C19" s="5">
        <v>0</v>
      </c>
      <c r="D19" s="6" t="s">
        <v>26</v>
      </c>
      <c r="E19" s="5">
        <v>0</v>
      </c>
      <c r="F19" s="5">
        <f t="shared" ref="F19:F22" si="6">E19*C19</f>
        <v>0</v>
      </c>
      <c r="G19" s="5">
        <v>0</v>
      </c>
      <c r="H19" s="5">
        <f t="shared" si="5"/>
        <v>0</v>
      </c>
      <c r="I19" s="49">
        <f t="shared" ref="I19:I22" si="7">H19+F19</f>
        <v>0</v>
      </c>
      <c r="J19" s="4"/>
    </row>
    <row r="20" spans="1:11" ht="20" customHeight="1">
      <c r="A20" s="6"/>
      <c r="B20" s="4" t="s">
        <v>28</v>
      </c>
      <c r="C20" s="5">
        <f>200/6</f>
        <v>33.333333333333336</v>
      </c>
      <c r="D20" s="6" t="s">
        <v>21</v>
      </c>
      <c r="E20" s="5">
        <v>25</v>
      </c>
      <c r="F20" s="5">
        <f t="shared" si="6"/>
        <v>833.33333333333337</v>
      </c>
      <c r="G20" s="5">
        <v>0</v>
      </c>
      <c r="H20" s="5">
        <f t="shared" si="5"/>
        <v>0</v>
      </c>
      <c r="I20" s="49">
        <f t="shared" si="7"/>
        <v>833.33333333333337</v>
      </c>
      <c r="J20" s="4"/>
    </row>
    <row r="21" spans="1:11" ht="20" customHeight="1">
      <c r="A21" s="6"/>
      <c r="B21" s="4" t="s">
        <v>29</v>
      </c>
      <c r="C21" s="5">
        <v>0</v>
      </c>
      <c r="D21" s="6" t="s">
        <v>30</v>
      </c>
      <c r="E21" s="5">
        <v>0</v>
      </c>
      <c r="F21" s="5">
        <f t="shared" si="6"/>
        <v>0</v>
      </c>
      <c r="G21" s="5">
        <v>0</v>
      </c>
      <c r="H21" s="5">
        <f t="shared" si="5"/>
        <v>0</v>
      </c>
      <c r="I21" s="49">
        <f t="shared" si="7"/>
        <v>0</v>
      </c>
      <c r="J21" s="4"/>
    </row>
    <row r="22" spans="1:11" ht="20" customHeight="1">
      <c r="A22" s="198"/>
      <c r="B22" s="4" t="s">
        <v>31</v>
      </c>
      <c r="C22" s="5">
        <v>0</v>
      </c>
      <c r="D22" s="6" t="s">
        <v>32</v>
      </c>
      <c r="E22" s="5">
        <v>0</v>
      </c>
      <c r="F22" s="5">
        <f t="shared" si="6"/>
        <v>0</v>
      </c>
      <c r="G22" s="5">
        <v>0</v>
      </c>
      <c r="H22" s="5">
        <f t="shared" si="5"/>
        <v>0</v>
      </c>
      <c r="I22" s="49">
        <f t="shared" si="7"/>
        <v>0</v>
      </c>
      <c r="J22" s="4"/>
    </row>
    <row r="23" spans="1:11" s="137" customFormat="1" ht="20" customHeight="1">
      <c r="A23" s="199"/>
      <c r="B23" s="12" t="s">
        <v>33</v>
      </c>
      <c r="C23" s="13"/>
      <c r="D23" s="12"/>
      <c r="E23" s="13"/>
      <c r="F23" s="14">
        <f>SUM(F18:F22)</f>
        <v>2800</v>
      </c>
      <c r="G23" s="14"/>
      <c r="H23" s="14">
        <f t="shared" ref="H23:I23" si="8">SUM(H18:H22)</f>
        <v>0</v>
      </c>
      <c r="I23" s="14">
        <f t="shared" si="8"/>
        <v>2800</v>
      </c>
      <c r="J23" s="13"/>
      <c r="K23" s="58">
        <f>H23+F23</f>
        <v>2800</v>
      </c>
    </row>
    <row r="24" spans="1:11" ht="20" customHeight="1">
      <c r="A24" s="198"/>
      <c r="B24" s="3" t="s">
        <v>34</v>
      </c>
      <c r="C24" s="4"/>
      <c r="D24" s="6"/>
      <c r="E24" s="4"/>
      <c r="F24" s="4"/>
      <c r="G24" s="4"/>
      <c r="H24" s="4"/>
      <c r="I24" s="48"/>
      <c r="J24" s="4"/>
    </row>
    <row r="25" spans="1:11" ht="20" customHeight="1">
      <c r="A25" s="198"/>
      <c r="B25" s="4" t="s">
        <v>35</v>
      </c>
      <c r="C25" s="4">
        <f>15/6</f>
        <v>2.5</v>
      </c>
      <c r="D25" s="6" t="s">
        <v>16</v>
      </c>
      <c r="E25" s="5">
        <v>1300</v>
      </c>
      <c r="F25" s="5">
        <f t="shared" ref="F25:F29" si="9">E25*C25</f>
        <v>3250</v>
      </c>
      <c r="G25" s="5">
        <v>0</v>
      </c>
      <c r="H25" s="5">
        <f>G25*C25</f>
        <v>0</v>
      </c>
      <c r="I25" s="49">
        <f>H25+F25</f>
        <v>3250</v>
      </c>
      <c r="J25" s="4"/>
    </row>
    <row r="26" spans="1:11" ht="20" customHeight="1">
      <c r="A26" s="198"/>
      <c r="B26" s="4" t="s">
        <v>36</v>
      </c>
      <c r="C26" s="17">
        <f>55/6</f>
        <v>9.1666666666666661</v>
      </c>
      <c r="D26" s="6" t="s">
        <v>16</v>
      </c>
      <c r="E26" s="5">
        <v>1500</v>
      </c>
      <c r="F26" s="5">
        <f t="shared" si="9"/>
        <v>13750</v>
      </c>
      <c r="G26" s="5">
        <v>0</v>
      </c>
      <c r="H26" s="5">
        <f t="shared" ref="H26:H29" si="10">G26*C26</f>
        <v>0</v>
      </c>
      <c r="I26" s="49">
        <f t="shared" ref="I26:I29" si="11">H26+F26</f>
        <v>13750</v>
      </c>
      <c r="J26" s="4"/>
    </row>
    <row r="27" spans="1:11" ht="20" customHeight="1">
      <c r="A27" s="198"/>
      <c r="B27" s="4" t="s">
        <v>37</v>
      </c>
      <c r="C27" s="5">
        <v>0</v>
      </c>
      <c r="D27" s="6" t="s">
        <v>16</v>
      </c>
      <c r="E27" s="5">
        <v>1600</v>
      </c>
      <c r="F27" s="5">
        <f t="shared" si="9"/>
        <v>0</v>
      </c>
      <c r="G27" s="5">
        <v>0</v>
      </c>
      <c r="H27" s="5">
        <f t="shared" si="10"/>
        <v>0</v>
      </c>
      <c r="I27" s="49">
        <f t="shared" si="11"/>
        <v>0</v>
      </c>
      <c r="J27" s="4"/>
    </row>
    <row r="28" spans="1:11" ht="20" customHeight="1">
      <c r="A28" s="198"/>
      <c r="B28" s="4" t="s">
        <v>38</v>
      </c>
      <c r="C28" s="5">
        <f>600/6</f>
        <v>100</v>
      </c>
      <c r="D28" s="6" t="s">
        <v>32</v>
      </c>
      <c r="E28" s="5">
        <v>74.2</v>
      </c>
      <c r="F28" s="5">
        <f t="shared" si="9"/>
        <v>7420</v>
      </c>
      <c r="G28" s="5">
        <v>0</v>
      </c>
      <c r="H28" s="5">
        <f t="shared" si="10"/>
        <v>0</v>
      </c>
      <c r="I28" s="49">
        <f t="shared" si="11"/>
        <v>7420</v>
      </c>
      <c r="J28" s="4"/>
    </row>
    <row r="29" spans="1:11" s="40" customFormat="1" ht="20" customHeight="1">
      <c r="A29" s="198"/>
      <c r="B29" s="4" t="s">
        <v>286</v>
      </c>
      <c r="C29" s="5">
        <f>600/6</f>
        <v>100</v>
      </c>
      <c r="D29" s="6" t="s">
        <v>32</v>
      </c>
      <c r="E29" s="11">
        <v>0</v>
      </c>
      <c r="F29" s="5">
        <f t="shared" si="9"/>
        <v>0</v>
      </c>
      <c r="G29" s="223">
        <v>173.47</v>
      </c>
      <c r="H29" s="5">
        <f t="shared" si="10"/>
        <v>17347</v>
      </c>
      <c r="I29" s="49">
        <f t="shared" si="11"/>
        <v>17347</v>
      </c>
      <c r="J29" s="4"/>
    </row>
    <row r="30" spans="1:11" s="137" customFormat="1" ht="20" customHeight="1">
      <c r="A30" s="12"/>
      <c r="B30" s="12" t="s">
        <v>39</v>
      </c>
      <c r="C30" s="13"/>
      <c r="D30" s="12"/>
      <c r="E30" s="13"/>
      <c r="F30" s="14">
        <f>SUM(F25:F29)</f>
        <v>24420</v>
      </c>
      <c r="G30" s="14"/>
      <c r="H30" s="14">
        <f t="shared" ref="H30:I30" si="12">SUM(H25:H29)</f>
        <v>17347</v>
      </c>
      <c r="I30" s="14">
        <f t="shared" si="12"/>
        <v>41767</v>
      </c>
      <c r="J30" s="13"/>
      <c r="K30" s="58">
        <f>H30+F30</f>
        <v>41767</v>
      </c>
    </row>
    <row r="31" spans="1:11" ht="20" customHeight="1">
      <c r="A31" s="198"/>
      <c r="B31" s="3" t="s">
        <v>40</v>
      </c>
      <c r="C31" s="4"/>
      <c r="D31" s="6"/>
      <c r="E31" s="4"/>
      <c r="F31" s="4"/>
      <c r="G31" s="8"/>
      <c r="H31" s="8"/>
      <c r="I31" s="25"/>
      <c r="J31" s="4"/>
    </row>
    <row r="32" spans="1:11" ht="20" customHeight="1">
      <c r="A32" s="198"/>
      <c r="B32" s="4" t="s">
        <v>41</v>
      </c>
      <c r="C32" s="5">
        <f>(50*2.22/1000)/6</f>
        <v>1.8500000000000003E-2</v>
      </c>
      <c r="D32" s="6" t="s">
        <v>42</v>
      </c>
      <c r="E32" s="11">
        <v>64</v>
      </c>
      <c r="F32" s="5">
        <f>C32*1000/2.22*E32</f>
        <v>533.33333333333337</v>
      </c>
      <c r="G32" s="5">
        <v>0</v>
      </c>
      <c r="H32" s="5">
        <f t="shared" ref="H32:H36" si="13">G32*C32</f>
        <v>0</v>
      </c>
      <c r="I32" s="49">
        <f>H32+F32</f>
        <v>533.33333333333337</v>
      </c>
      <c r="J32" s="4"/>
    </row>
    <row r="33" spans="1:11" ht="20" customHeight="1">
      <c r="A33" s="198"/>
      <c r="B33" s="4" t="s">
        <v>43</v>
      </c>
      <c r="C33" s="5">
        <f>(65*4.99/1000)/6</f>
        <v>5.405833333333334E-2</v>
      </c>
      <c r="D33" s="6" t="s">
        <v>42</v>
      </c>
      <c r="E33" s="11">
        <v>137</v>
      </c>
      <c r="F33" s="5">
        <f>C33*1000/4.99*E33</f>
        <v>1484.1666666666667</v>
      </c>
      <c r="G33" s="5">
        <v>0</v>
      </c>
      <c r="H33" s="5">
        <f t="shared" si="13"/>
        <v>0</v>
      </c>
      <c r="I33" s="49">
        <f t="shared" ref="I33:I36" si="14">H33+F33</f>
        <v>1484.1666666666667</v>
      </c>
      <c r="J33" s="4"/>
    </row>
    <row r="34" spans="1:11" ht="20" customHeight="1">
      <c r="A34" s="198"/>
      <c r="B34" s="4" t="s">
        <v>44</v>
      </c>
      <c r="C34" s="5">
        <f>(215*8.88/1000)/6</f>
        <v>0.31820000000000004</v>
      </c>
      <c r="D34" s="6" t="s">
        <v>42</v>
      </c>
      <c r="E34" s="11">
        <v>240</v>
      </c>
      <c r="F34" s="5">
        <f>C34*1000/8.88*E34</f>
        <v>8600</v>
      </c>
      <c r="G34" s="5">
        <v>0</v>
      </c>
      <c r="H34" s="5">
        <f t="shared" si="13"/>
        <v>0</v>
      </c>
      <c r="I34" s="49">
        <f t="shared" si="14"/>
        <v>8600</v>
      </c>
      <c r="J34" s="4"/>
    </row>
    <row r="35" spans="1:11" ht="20" customHeight="1">
      <c r="A35" s="198"/>
      <c r="B35" s="4" t="s">
        <v>45</v>
      </c>
      <c r="C35" s="5">
        <v>0</v>
      </c>
      <c r="D35" s="6" t="s">
        <v>42</v>
      </c>
      <c r="E35" s="11">
        <v>425</v>
      </c>
      <c r="F35" s="5">
        <f>C35*1000/15.78*E35</f>
        <v>0</v>
      </c>
      <c r="G35" s="5">
        <v>0</v>
      </c>
      <c r="H35" s="5">
        <f t="shared" si="13"/>
        <v>0</v>
      </c>
      <c r="I35" s="49">
        <f t="shared" si="14"/>
        <v>0</v>
      </c>
      <c r="J35" s="4"/>
    </row>
    <row r="36" spans="1:11" ht="20" customHeight="1">
      <c r="A36" s="198"/>
      <c r="B36" s="4" t="s">
        <v>46</v>
      </c>
      <c r="C36" s="5">
        <v>0</v>
      </c>
      <c r="D36" s="6" t="s">
        <v>30</v>
      </c>
      <c r="E36" s="5">
        <v>0</v>
      </c>
      <c r="F36" s="29">
        <f t="shared" ref="F36" si="15">E36*C36</f>
        <v>0</v>
      </c>
      <c r="G36" s="5">
        <v>0</v>
      </c>
      <c r="H36" s="5">
        <f t="shared" si="13"/>
        <v>0</v>
      </c>
      <c r="I36" s="49">
        <f t="shared" si="14"/>
        <v>0</v>
      </c>
      <c r="J36" s="4"/>
    </row>
    <row r="37" spans="1:11" s="137" customFormat="1" ht="20" customHeight="1">
      <c r="A37" s="199"/>
      <c r="B37" s="12" t="s">
        <v>47</v>
      </c>
      <c r="C37" s="18"/>
      <c r="D37" s="12"/>
      <c r="E37" s="19"/>
      <c r="F37" s="18">
        <f>SUM(F32:F36)</f>
        <v>10617.5</v>
      </c>
      <c r="G37" s="18"/>
      <c r="H37" s="18">
        <f t="shared" ref="H37:I37" si="16">SUM(H32:H36)</f>
        <v>0</v>
      </c>
      <c r="I37" s="18">
        <f t="shared" si="16"/>
        <v>10617.5</v>
      </c>
      <c r="J37" s="13"/>
      <c r="K37" s="58">
        <f>H37+F37</f>
        <v>10617.5</v>
      </c>
    </row>
    <row r="38" spans="1:11" ht="20" customHeight="1">
      <c r="A38" s="198"/>
      <c r="B38" s="3" t="s">
        <v>48</v>
      </c>
      <c r="C38" s="4"/>
      <c r="D38" s="6"/>
      <c r="E38" s="4"/>
      <c r="F38" s="4"/>
      <c r="G38" s="4"/>
      <c r="H38" s="4"/>
      <c r="I38" s="48"/>
      <c r="J38" s="4"/>
    </row>
    <row r="39" spans="1:11" ht="20" customHeight="1">
      <c r="A39" s="198"/>
      <c r="B39" s="4" t="s">
        <v>43</v>
      </c>
      <c r="C39" s="5">
        <f>0.299/6</f>
        <v>4.9833333333333334E-2</v>
      </c>
      <c r="D39" s="6" t="s">
        <v>42</v>
      </c>
      <c r="E39" s="11">
        <v>137</v>
      </c>
      <c r="F39" s="5">
        <f>C39*1000/4.99*E39</f>
        <v>1368.1696726786906</v>
      </c>
      <c r="G39" s="5">
        <v>0</v>
      </c>
      <c r="H39" s="5">
        <f t="shared" ref="H39:H43" si="17">G39*C39</f>
        <v>0</v>
      </c>
      <c r="I39" s="49">
        <f>H39+F39</f>
        <v>1368.1696726786906</v>
      </c>
      <c r="J39" s="4"/>
    </row>
    <row r="40" spans="1:11" ht="20" customHeight="1">
      <c r="A40" s="198"/>
      <c r="B40" s="4" t="s">
        <v>44</v>
      </c>
      <c r="C40" s="5">
        <f>0.53/6</f>
        <v>8.8333333333333333E-2</v>
      </c>
      <c r="D40" s="6" t="s">
        <v>42</v>
      </c>
      <c r="E40" s="11">
        <v>240</v>
      </c>
      <c r="F40" s="5">
        <f>C40*1000/8.88*E40</f>
        <v>2387.3873873873872</v>
      </c>
      <c r="G40" s="5">
        <v>0</v>
      </c>
      <c r="H40" s="5">
        <f t="shared" si="17"/>
        <v>0</v>
      </c>
      <c r="I40" s="49">
        <f t="shared" ref="I40:I43" si="18">H40+F40</f>
        <v>2387.3873873873872</v>
      </c>
      <c r="J40" s="4"/>
    </row>
    <row r="41" spans="1:11" ht="20" customHeight="1">
      <c r="A41" s="6"/>
      <c r="B41" s="4" t="s">
        <v>111</v>
      </c>
      <c r="C41" s="5">
        <f>59/6</f>
        <v>9.8333333333333339</v>
      </c>
      <c r="D41" s="6" t="s">
        <v>16</v>
      </c>
      <c r="E41" s="11">
        <v>1600</v>
      </c>
      <c r="F41" s="5">
        <f>E41*C41</f>
        <v>15733.333333333334</v>
      </c>
      <c r="G41" s="5">
        <v>0</v>
      </c>
      <c r="H41" s="5">
        <f t="shared" si="17"/>
        <v>0</v>
      </c>
      <c r="I41" s="49">
        <f t="shared" si="18"/>
        <v>15733.333333333334</v>
      </c>
      <c r="J41" s="4"/>
    </row>
    <row r="42" spans="1:11" ht="20" customHeight="1">
      <c r="A42" s="6"/>
      <c r="B42" s="4" t="s">
        <v>49</v>
      </c>
      <c r="C42" s="5">
        <f>600/6</f>
        <v>100</v>
      </c>
      <c r="D42" s="6" t="s">
        <v>32</v>
      </c>
      <c r="E42" s="11">
        <v>74.2</v>
      </c>
      <c r="F42" s="5">
        <f>E42*C42</f>
        <v>7420</v>
      </c>
      <c r="G42" s="5">
        <v>0</v>
      </c>
      <c r="H42" s="5">
        <f t="shared" si="17"/>
        <v>0</v>
      </c>
      <c r="I42" s="49">
        <f t="shared" si="18"/>
        <v>7420</v>
      </c>
      <c r="J42" s="4"/>
    </row>
    <row r="43" spans="1:11" s="40" customFormat="1" ht="20" customHeight="1">
      <c r="A43" s="198"/>
      <c r="B43" s="4" t="s">
        <v>287</v>
      </c>
      <c r="C43" s="5">
        <f>600/6</f>
        <v>100</v>
      </c>
      <c r="D43" s="6" t="s">
        <v>32</v>
      </c>
      <c r="E43" s="11">
        <v>0</v>
      </c>
      <c r="F43" s="29">
        <f t="shared" ref="F43" si="19">E43*C43</f>
        <v>0</v>
      </c>
      <c r="G43" s="20">
        <v>115</v>
      </c>
      <c r="H43" s="5">
        <f t="shared" si="17"/>
        <v>11500</v>
      </c>
      <c r="I43" s="49">
        <f t="shared" si="18"/>
        <v>11500</v>
      </c>
      <c r="J43" s="4"/>
    </row>
    <row r="44" spans="1:11" s="137" customFormat="1" ht="20" customHeight="1" thickBot="1">
      <c r="A44" s="12"/>
      <c r="B44" s="12" t="s">
        <v>50</v>
      </c>
      <c r="C44" s="18"/>
      <c r="D44" s="12"/>
      <c r="E44" s="21"/>
      <c r="F44" s="18">
        <f>SUM(F39:F43)</f>
        <v>26908.890393399412</v>
      </c>
      <c r="G44" s="18"/>
      <c r="H44" s="18">
        <f t="shared" ref="H44:I44" si="20">SUM(H39:H43)</f>
        <v>11500</v>
      </c>
      <c r="I44" s="18">
        <f t="shared" si="20"/>
        <v>38408.890393399415</v>
      </c>
      <c r="J44" s="13"/>
      <c r="K44" s="58">
        <f>H44+F44</f>
        <v>38408.890393399415</v>
      </c>
    </row>
    <row r="45" spans="1:11" ht="20" customHeight="1" thickTop="1">
      <c r="A45" s="200"/>
      <c r="B45" s="22" t="s">
        <v>51</v>
      </c>
      <c r="C45" s="23"/>
      <c r="D45" s="187"/>
      <c r="E45" s="23"/>
      <c r="F45" s="23"/>
      <c r="G45" s="23"/>
      <c r="H45" s="23"/>
      <c r="I45" s="51"/>
      <c r="J45" s="23"/>
    </row>
    <row r="46" spans="1:11" ht="20" customHeight="1">
      <c r="A46" s="198"/>
      <c r="B46" s="4" t="s">
        <v>52</v>
      </c>
      <c r="C46" s="5">
        <f>12/6</f>
        <v>2</v>
      </c>
      <c r="D46" s="6" t="s">
        <v>53</v>
      </c>
      <c r="E46" s="11">
        <v>225</v>
      </c>
      <c r="F46" s="5">
        <f>E46*C46</f>
        <v>450</v>
      </c>
      <c r="G46" s="5">
        <v>0</v>
      </c>
      <c r="H46" s="5">
        <f t="shared" ref="H46:H64" si="21">G46*C46</f>
        <v>0</v>
      </c>
      <c r="I46" s="49">
        <f>H46+F46</f>
        <v>450</v>
      </c>
      <c r="J46" s="24"/>
    </row>
    <row r="47" spans="1:11" ht="20" customHeight="1">
      <c r="A47" s="198"/>
      <c r="B47" s="4" t="s">
        <v>54</v>
      </c>
      <c r="C47" s="5">
        <f>73/6</f>
        <v>12.166666666666666</v>
      </c>
      <c r="D47" s="6" t="s">
        <v>53</v>
      </c>
      <c r="E47" s="11">
        <v>500</v>
      </c>
      <c r="F47" s="5">
        <f t="shared" ref="F47:F64" si="22">E47*C47</f>
        <v>6083.333333333333</v>
      </c>
      <c r="G47" s="5">
        <v>0</v>
      </c>
      <c r="H47" s="5">
        <f t="shared" si="21"/>
        <v>0</v>
      </c>
      <c r="I47" s="49">
        <f t="shared" ref="I47:I64" si="23">H47+F47</f>
        <v>6083.333333333333</v>
      </c>
      <c r="J47" s="24"/>
    </row>
    <row r="48" spans="1:11" ht="20" customHeight="1">
      <c r="A48" s="6"/>
      <c r="B48" s="4" t="s">
        <v>112</v>
      </c>
      <c r="C48" s="5">
        <f>46/6</f>
        <v>7.666666666666667</v>
      </c>
      <c r="D48" s="6" t="s">
        <v>53</v>
      </c>
      <c r="E48" s="11">
        <v>650</v>
      </c>
      <c r="F48" s="5">
        <f t="shared" si="22"/>
        <v>4983.3333333333339</v>
      </c>
      <c r="G48" s="5">
        <v>0</v>
      </c>
      <c r="H48" s="5">
        <f t="shared" si="21"/>
        <v>0</v>
      </c>
      <c r="I48" s="49">
        <f t="shared" si="23"/>
        <v>4983.3333333333339</v>
      </c>
      <c r="J48" s="24"/>
    </row>
    <row r="49" spans="1:16" ht="20" customHeight="1">
      <c r="A49" s="198"/>
      <c r="B49" s="4" t="s">
        <v>55</v>
      </c>
      <c r="C49" s="5">
        <f>28/6</f>
        <v>4.666666666666667</v>
      </c>
      <c r="D49" s="6" t="s">
        <v>53</v>
      </c>
      <c r="E49" s="11">
        <v>740</v>
      </c>
      <c r="F49" s="5">
        <f t="shared" si="22"/>
        <v>3453.3333333333335</v>
      </c>
      <c r="G49" s="5">
        <v>0</v>
      </c>
      <c r="H49" s="5">
        <f t="shared" si="21"/>
        <v>0</v>
      </c>
      <c r="I49" s="49">
        <f t="shared" si="23"/>
        <v>3453.3333333333335</v>
      </c>
      <c r="J49" s="24"/>
    </row>
    <row r="50" spans="1:16" ht="20" customHeight="1">
      <c r="A50" s="198"/>
      <c r="B50" s="4" t="s">
        <v>56</v>
      </c>
      <c r="C50" s="5">
        <f>2/6</f>
        <v>0.33333333333333331</v>
      </c>
      <c r="D50" s="6" t="s">
        <v>53</v>
      </c>
      <c r="E50" s="11">
        <v>1900</v>
      </c>
      <c r="F50" s="5">
        <f t="shared" si="22"/>
        <v>633.33333333333326</v>
      </c>
      <c r="G50" s="5">
        <v>0</v>
      </c>
      <c r="H50" s="5">
        <f t="shared" si="21"/>
        <v>0</v>
      </c>
      <c r="I50" s="49">
        <f t="shared" si="23"/>
        <v>633.33333333333326</v>
      </c>
      <c r="J50" s="24"/>
    </row>
    <row r="51" spans="1:16" ht="20" customHeight="1">
      <c r="A51" s="198"/>
      <c r="B51" s="4" t="s">
        <v>57</v>
      </c>
      <c r="C51" s="5">
        <f>1/6</f>
        <v>0.16666666666666666</v>
      </c>
      <c r="D51" s="6" t="s">
        <v>53</v>
      </c>
      <c r="E51" s="11">
        <v>905</v>
      </c>
      <c r="F51" s="5">
        <f t="shared" si="22"/>
        <v>150.83333333333331</v>
      </c>
      <c r="G51" s="5">
        <v>0</v>
      </c>
      <c r="H51" s="5">
        <f t="shared" si="21"/>
        <v>0</v>
      </c>
      <c r="I51" s="49">
        <f t="shared" si="23"/>
        <v>150.83333333333331</v>
      </c>
      <c r="J51" s="24"/>
    </row>
    <row r="52" spans="1:16" ht="20" customHeight="1">
      <c r="A52" s="198"/>
      <c r="B52" s="4" t="s">
        <v>58</v>
      </c>
      <c r="C52" s="5">
        <f>8/6</f>
        <v>1.3333333333333333</v>
      </c>
      <c r="D52" s="6" t="s">
        <v>53</v>
      </c>
      <c r="E52" s="11">
        <v>1040</v>
      </c>
      <c r="F52" s="5">
        <f t="shared" si="22"/>
        <v>1386.6666666666665</v>
      </c>
      <c r="G52" s="5">
        <v>0</v>
      </c>
      <c r="H52" s="5">
        <f t="shared" si="21"/>
        <v>0</v>
      </c>
      <c r="I52" s="49">
        <f t="shared" si="23"/>
        <v>1386.6666666666665</v>
      </c>
      <c r="J52" s="24"/>
    </row>
    <row r="53" spans="1:16" ht="20" customHeight="1">
      <c r="A53" s="198"/>
      <c r="B53" s="4" t="s">
        <v>59</v>
      </c>
      <c r="C53" s="5">
        <f>6/6</f>
        <v>1</v>
      </c>
      <c r="D53" s="6" t="s">
        <v>60</v>
      </c>
      <c r="E53" s="11">
        <v>109</v>
      </c>
      <c r="F53" s="5">
        <f t="shared" si="22"/>
        <v>109</v>
      </c>
      <c r="G53" s="5">
        <v>0</v>
      </c>
      <c r="H53" s="5">
        <f t="shared" si="21"/>
        <v>0</v>
      </c>
      <c r="I53" s="49">
        <f t="shared" si="23"/>
        <v>109</v>
      </c>
      <c r="J53" s="24"/>
    </row>
    <row r="54" spans="1:16" ht="20" customHeight="1">
      <c r="A54" s="6"/>
      <c r="B54" s="4" t="s">
        <v>61</v>
      </c>
      <c r="C54" s="5">
        <f>14/6</f>
        <v>2.3333333333333335</v>
      </c>
      <c r="D54" s="6" t="s">
        <v>60</v>
      </c>
      <c r="E54" s="11">
        <v>53</v>
      </c>
      <c r="F54" s="5">
        <f t="shared" si="22"/>
        <v>123.66666666666667</v>
      </c>
      <c r="G54" s="5">
        <v>0</v>
      </c>
      <c r="H54" s="5">
        <f t="shared" si="21"/>
        <v>0</v>
      </c>
      <c r="I54" s="49">
        <f t="shared" si="23"/>
        <v>123.66666666666667</v>
      </c>
      <c r="J54" s="24"/>
      <c r="P54" s="43" t="s">
        <v>277</v>
      </c>
    </row>
    <row r="55" spans="1:16" ht="20" customHeight="1">
      <c r="A55" s="6"/>
      <c r="B55" s="4" t="s">
        <v>62</v>
      </c>
      <c r="C55" s="5">
        <f>1/6</f>
        <v>0.16666666666666666</v>
      </c>
      <c r="D55" s="6" t="s">
        <v>60</v>
      </c>
      <c r="E55" s="11">
        <v>670</v>
      </c>
      <c r="F55" s="5">
        <f t="shared" si="22"/>
        <v>111.66666666666666</v>
      </c>
      <c r="G55" s="5">
        <v>0</v>
      </c>
      <c r="H55" s="5">
        <f t="shared" si="21"/>
        <v>0</v>
      </c>
      <c r="I55" s="49">
        <f t="shared" si="23"/>
        <v>111.66666666666666</v>
      </c>
      <c r="J55" s="24"/>
    </row>
    <row r="56" spans="1:16" ht="20" customHeight="1">
      <c r="A56" s="198"/>
      <c r="B56" s="4" t="s">
        <v>63</v>
      </c>
      <c r="C56" s="5">
        <f>1/6</f>
        <v>0.16666666666666666</v>
      </c>
      <c r="D56" s="6" t="s">
        <v>64</v>
      </c>
      <c r="E56" s="5">
        <v>1500</v>
      </c>
      <c r="F56" s="5">
        <f t="shared" si="22"/>
        <v>250</v>
      </c>
      <c r="G56" s="5">
        <v>0</v>
      </c>
      <c r="H56" s="5">
        <f t="shared" si="21"/>
        <v>0</v>
      </c>
      <c r="I56" s="49">
        <f t="shared" si="23"/>
        <v>250</v>
      </c>
      <c r="J56" s="4"/>
    </row>
    <row r="57" spans="1:16" ht="20" customHeight="1">
      <c r="A57" s="198"/>
      <c r="B57" s="4" t="s">
        <v>65</v>
      </c>
      <c r="C57" s="5">
        <f>6/6</f>
        <v>1</v>
      </c>
      <c r="D57" s="6" t="s">
        <v>66</v>
      </c>
      <c r="E57" s="11">
        <v>1189</v>
      </c>
      <c r="F57" s="5">
        <f t="shared" si="22"/>
        <v>1189</v>
      </c>
      <c r="G57" s="5">
        <v>0</v>
      </c>
      <c r="H57" s="5">
        <f t="shared" si="21"/>
        <v>0</v>
      </c>
      <c r="I57" s="49">
        <f t="shared" si="23"/>
        <v>1189</v>
      </c>
      <c r="J57" s="4"/>
    </row>
    <row r="58" spans="1:16" ht="20" customHeight="1">
      <c r="A58" s="198"/>
      <c r="B58" s="4" t="s">
        <v>67</v>
      </c>
      <c r="C58" s="5">
        <f>10/6</f>
        <v>1.6666666666666667</v>
      </c>
      <c r="D58" s="6" t="s">
        <v>66</v>
      </c>
      <c r="E58" s="11">
        <v>499</v>
      </c>
      <c r="F58" s="5">
        <f t="shared" si="22"/>
        <v>831.66666666666674</v>
      </c>
      <c r="G58" s="5">
        <v>0</v>
      </c>
      <c r="H58" s="5">
        <f t="shared" si="21"/>
        <v>0</v>
      </c>
      <c r="I58" s="49">
        <f t="shared" si="23"/>
        <v>831.66666666666674</v>
      </c>
      <c r="J58" s="4"/>
    </row>
    <row r="59" spans="1:16" ht="20" customHeight="1">
      <c r="A59" s="198"/>
      <c r="B59" s="4" t="s">
        <v>68</v>
      </c>
      <c r="C59" s="17">
        <f>10/6</f>
        <v>1.6666666666666667</v>
      </c>
      <c r="D59" s="6" t="s">
        <v>69</v>
      </c>
      <c r="E59" s="5">
        <v>98</v>
      </c>
      <c r="F59" s="5">
        <f t="shared" si="22"/>
        <v>163.33333333333334</v>
      </c>
      <c r="G59" s="5">
        <v>0</v>
      </c>
      <c r="H59" s="5">
        <f t="shared" si="21"/>
        <v>0</v>
      </c>
      <c r="I59" s="49">
        <f t="shared" si="23"/>
        <v>163.33333333333334</v>
      </c>
      <c r="J59" s="4"/>
    </row>
    <row r="60" spans="1:16" ht="20" customHeight="1">
      <c r="A60" s="198"/>
      <c r="B60" s="39" t="s">
        <v>255</v>
      </c>
      <c r="C60" s="26">
        <f>446.43/6</f>
        <v>74.405000000000001</v>
      </c>
      <c r="D60" s="27" t="s">
        <v>263</v>
      </c>
      <c r="E60" s="5">
        <v>0</v>
      </c>
      <c r="F60" s="5">
        <f t="shared" si="22"/>
        <v>0</v>
      </c>
      <c r="G60" s="5">
        <v>0</v>
      </c>
      <c r="H60" s="5">
        <f t="shared" si="21"/>
        <v>0</v>
      </c>
      <c r="I60" s="49">
        <f t="shared" si="23"/>
        <v>0</v>
      </c>
      <c r="J60" s="24"/>
    </row>
    <row r="61" spans="1:16" ht="20" customHeight="1">
      <c r="A61" s="198"/>
      <c r="B61" s="4" t="s">
        <v>266</v>
      </c>
      <c r="C61" s="30">
        <v>1</v>
      </c>
      <c r="D61" s="31" t="s">
        <v>264</v>
      </c>
      <c r="E61" s="5">
        <v>0</v>
      </c>
      <c r="F61" s="5">
        <f t="shared" si="22"/>
        <v>0</v>
      </c>
      <c r="G61" s="32">
        <v>1000</v>
      </c>
      <c r="H61" s="5">
        <f t="shared" si="21"/>
        <v>1000</v>
      </c>
      <c r="I61" s="49">
        <f t="shared" si="23"/>
        <v>1000</v>
      </c>
      <c r="J61" s="24"/>
    </row>
    <row r="62" spans="1:16" ht="20" customHeight="1">
      <c r="A62" s="198"/>
      <c r="B62" s="4" t="s">
        <v>258</v>
      </c>
      <c r="C62" s="30">
        <f>11/6</f>
        <v>1.8333333333333333</v>
      </c>
      <c r="D62" s="31" t="s">
        <v>21</v>
      </c>
      <c r="E62" s="5">
        <v>0</v>
      </c>
      <c r="F62" s="5">
        <f t="shared" si="22"/>
        <v>0</v>
      </c>
      <c r="G62" s="33">
        <v>300</v>
      </c>
      <c r="H62" s="5">
        <f t="shared" si="21"/>
        <v>550</v>
      </c>
      <c r="I62" s="49">
        <f t="shared" si="23"/>
        <v>550</v>
      </c>
      <c r="J62" s="24"/>
    </row>
    <row r="63" spans="1:16" ht="20" customHeight="1">
      <c r="A63" s="6"/>
      <c r="B63" s="4" t="s">
        <v>267</v>
      </c>
      <c r="C63" s="30">
        <f>8/6</f>
        <v>1.3333333333333333</v>
      </c>
      <c r="D63" s="31" t="s">
        <v>21</v>
      </c>
      <c r="E63" s="5">
        <v>0</v>
      </c>
      <c r="F63" s="5">
        <f t="shared" si="22"/>
        <v>0</v>
      </c>
      <c r="G63" s="11">
        <v>500</v>
      </c>
      <c r="H63" s="5">
        <f t="shared" si="21"/>
        <v>666.66666666666663</v>
      </c>
      <c r="I63" s="49">
        <f t="shared" si="23"/>
        <v>666.66666666666663</v>
      </c>
      <c r="J63" s="24"/>
    </row>
    <row r="64" spans="1:16" ht="20" customHeight="1">
      <c r="A64" s="6"/>
      <c r="B64" s="39" t="s">
        <v>268</v>
      </c>
      <c r="C64" s="30">
        <v>4</v>
      </c>
      <c r="D64" s="34" t="s">
        <v>123</v>
      </c>
      <c r="E64" s="5">
        <v>0</v>
      </c>
      <c r="F64" s="5">
        <f t="shared" si="22"/>
        <v>0</v>
      </c>
      <c r="G64" s="11">
        <v>80</v>
      </c>
      <c r="H64" s="5">
        <f t="shared" si="21"/>
        <v>320</v>
      </c>
      <c r="I64" s="49">
        <f t="shared" si="23"/>
        <v>320</v>
      </c>
      <c r="J64" s="24"/>
    </row>
    <row r="65" spans="1:11" s="137" customFormat="1" ht="20" customHeight="1">
      <c r="A65" s="199"/>
      <c r="B65" s="12" t="s">
        <v>70</v>
      </c>
      <c r="C65" s="13"/>
      <c r="D65" s="12"/>
      <c r="E65" s="13"/>
      <c r="F65" s="14">
        <f>SUM(F46:F64)</f>
        <v>19919.166666666672</v>
      </c>
      <c r="G65" s="14"/>
      <c r="H65" s="14">
        <f t="shared" ref="H65:I65" si="24">SUM(H46:H64)</f>
        <v>2536.6666666666665</v>
      </c>
      <c r="I65" s="14">
        <f t="shared" si="24"/>
        <v>22455.833333333339</v>
      </c>
      <c r="J65" s="13"/>
      <c r="K65" s="58">
        <f>H65+F65</f>
        <v>22455.833333333339</v>
      </c>
    </row>
    <row r="66" spans="1:11" s="136" customFormat="1" ht="20" customHeight="1">
      <c r="A66" s="201">
        <v>1</v>
      </c>
      <c r="B66" s="52" t="s">
        <v>71</v>
      </c>
      <c r="C66" s="53"/>
      <c r="D66" s="54" t="s">
        <v>11</v>
      </c>
      <c r="E66" s="55"/>
      <c r="F66" s="56">
        <f>F12+F16+F23+F30+F37+F44+F65</f>
        <v>110913.89039339942</v>
      </c>
      <c r="G66" s="56"/>
      <c r="H66" s="56">
        <f t="shared" ref="H66:I66" si="25">H12+H16+H23+H30+H37+H44+H65</f>
        <v>38008.666666666664</v>
      </c>
      <c r="I66" s="56">
        <f t="shared" si="25"/>
        <v>148922.55706006609</v>
      </c>
      <c r="J66" s="57"/>
      <c r="K66" s="58">
        <f>H66+F66</f>
        <v>148922.55706006609</v>
      </c>
    </row>
    <row r="67" spans="1:11" s="138" customFormat="1" ht="20" customHeight="1" thickBot="1">
      <c r="A67" s="202"/>
      <c r="B67" s="59"/>
      <c r="C67" s="60"/>
      <c r="D67" s="61"/>
      <c r="E67" s="62"/>
      <c r="F67" s="63"/>
      <c r="G67" s="63"/>
      <c r="H67" s="63"/>
      <c r="I67" s="63"/>
      <c r="J67" s="64"/>
      <c r="K67" s="65"/>
    </row>
    <row r="68" spans="1:11" s="140" customFormat="1" ht="20" customHeight="1" thickTop="1">
      <c r="A68" s="203">
        <v>2</v>
      </c>
      <c r="B68" s="66" t="s">
        <v>72</v>
      </c>
      <c r="C68" s="67"/>
      <c r="D68" s="188"/>
      <c r="E68" s="67"/>
      <c r="F68" s="67"/>
      <c r="G68" s="67"/>
      <c r="H68" s="67"/>
      <c r="I68" s="68"/>
      <c r="J68" s="67"/>
      <c r="K68" s="139"/>
    </row>
    <row r="69" spans="1:11" ht="20" customHeight="1">
      <c r="A69" s="198"/>
      <c r="B69" s="3" t="s">
        <v>73</v>
      </c>
      <c r="C69" s="4"/>
      <c r="D69" s="6"/>
      <c r="E69" s="4"/>
      <c r="F69" s="4"/>
      <c r="G69" s="4"/>
      <c r="H69" s="4"/>
      <c r="I69" s="48"/>
      <c r="J69" s="4"/>
    </row>
    <row r="70" spans="1:11" ht="20" customHeight="1">
      <c r="A70" s="198"/>
      <c r="B70" s="4" t="s">
        <v>74</v>
      </c>
      <c r="C70" s="5">
        <f>30/6</f>
        <v>5</v>
      </c>
      <c r="D70" s="6" t="s">
        <v>53</v>
      </c>
      <c r="E70" s="11">
        <v>1090</v>
      </c>
      <c r="F70" s="5">
        <f>E70*C70</f>
        <v>5450</v>
      </c>
      <c r="G70" s="5">
        <v>0</v>
      </c>
      <c r="H70" s="20">
        <f>G70*C70</f>
        <v>0</v>
      </c>
      <c r="I70" s="49">
        <f>H70+F70</f>
        <v>5450</v>
      </c>
      <c r="J70" s="4"/>
    </row>
    <row r="71" spans="1:11" ht="20" customHeight="1">
      <c r="A71" s="198"/>
      <c r="B71" s="4" t="s">
        <v>75</v>
      </c>
      <c r="C71" s="5">
        <f>12/6</f>
        <v>2</v>
      </c>
      <c r="D71" s="6" t="s">
        <v>53</v>
      </c>
      <c r="E71" s="11">
        <v>510</v>
      </c>
      <c r="F71" s="5">
        <f t="shared" ref="F71:F95" si="26">E71*C71</f>
        <v>1020</v>
      </c>
      <c r="G71" s="5">
        <v>0</v>
      </c>
      <c r="H71" s="20">
        <f t="shared" ref="H71:H95" si="27">G71*C71</f>
        <v>0</v>
      </c>
      <c r="I71" s="49">
        <f t="shared" ref="I71:I95" si="28">H71+F71</f>
        <v>1020</v>
      </c>
      <c r="J71" s="4"/>
    </row>
    <row r="72" spans="1:11" ht="20" customHeight="1">
      <c r="A72" s="6"/>
      <c r="B72" s="4" t="s">
        <v>76</v>
      </c>
      <c r="C72" s="5">
        <f>6/6</f>
        <v>1</v>
      </c>
      <c r="D72" s="6" t="s">
        <v>53</v>
      </c>
      <c r="E72" s="11">
        <v>234</v>
      </c>
      <c r="F72" s="5">
        <f t="shared" si="26"/>
        <v>234</v>
      </c>
      <c r="G72" s="5">
        <v>0</v>
      </c>
      <c r="H72" s="20">
        <f t="shared" si="27"/>
        <v>0</v>
      </c>
      <c r="I72" s="49">
        <f t="shared" si="28"/>
        <v>234</v>
      </c>
      <c r="J72" s="4"/>
    </row>
    <row r="73" spans="1:11" ht="20" customHeight="1">
      <c r="A73" s="198"/>
      <c r="B73" s="4" t="s">
        <v>77</v>
      </c>
      <c r="C73" s="5">
        <f>12/6</f>
        <v>2</v>
      </c>
      <c r="D73" s="6" t="s">
        <v>53</v>
      </c>
      <c r="E73" s="11">
        <v>144</v>
      </c>
      <c r="F73" s="5">
        <f t="shared" si="26"/>
        <v>288</v>
      </c>
      <c r="G73" s="5">
        <v>0</v>
      </c>
      <c r="H73" s="20">
        <f t="shared" si="27"/>
        <v>0</v>
      </c>
      <c r="I73" s="49">
        <f t="shared" si="28"/>
        <v>288</v>
      </c>
      <c r="J73" s="4"/>
    </row>
    <row r="74" spans="1:11" ht="20" customHeight="1">
      <c r="A74" s="198"/>
      <c r="B74" s="4" t="s">
        <v>78</v>
      </c>
      <c r="C74" s="5">
        <f>6/6</f>
        <v>1</v>
      </c>
      <c r="D74" s="6" t="s">
        <v>53</v>
      </c>
      <c r="E74" s="11">
        <v>53</v>
      </c>
      <c r="F74" s="5">
        <f t="shared" si="26"/>
        <v>53</v>
      </c>
      <c r="G74" s="5">
        <v>0</v>
      </c>
      <c r="H74" s="20">
        <f t="shared" si="27"/>
        <v>0</v>
      </c>
      <c r="I74" s="49">
        <f t="shared" si="28"/>
        <v>53</v>
      </c>
      <c r="J74" s="4"/>
    </row>
    <row r="75" spans="1:11" ht="20" customHeight="1">
      <c r="A75" s="6"/>
      <c r="B75" s="4" t="s">
        <v>79</v>
      </c>
      <c r="C75" s="5">
        <f>6/6</f>
        <v>1</v>
      </c>
      <c r="D75" s="6" t="s">
        <v>53</v>
      </c>
      <c r="E75" s="11">
        <v>48</v>
      </c>
      <c r="F75" s="5">
        <f t="shared" si="26"/>
        <v>48</v>
      </c>
      <c r="G75" s="5">
        <v>0</v>
      </c>
      <c r="H75" s="20">
        <f t="shared" si="27"/>
        <v>0</v>
      </c>
      <c r="I75" s="49">
        <f t="shared" si="28"/>
        <v>48</v>
      </c>
      <c r="J75" s="4"/>
    </row>
    <row r="76" spans="1:11" ht="20" customHeight="1">
      <c r="A76" s="6"/>
      <c r="B76" s="4" t="s">
        <v>80</v>
      </c>
      <c r="C76" s="5">
        <f>6/6</f>
        <v>1</v>
      </c>
      <c r="D76" s="6" t="s">
        <v>53</v>
      </c>
      <c r="E76" s="11">
        <v>64</v>
      </c>
      <c r="F76" s="5">
        <f t="shared" si="26"/>
        <v>64</v>
      </c>
      <c r="G76" s="5">
        <v>0</v>
      </c>
      <c r="H76" s="20">
        <f t="shared" si="27"/>
        <v>0</v>
      </c>
      <c r="I76" s="49">
        <f t="shared" si="28"/>
        <v>64</v>
      </c>
      <c r="J76" s="4"/>
    </row>
    <row r="77" spans="1:11" ht="20" customHeight="1">
      <c r="A77" s="198"/>
      <c r="B77" s="4" t="s">
        <v>81</v>
      </c>
      <c r="C77" s="5">
        <f>6/6</f>
        <v>1</v>
      </c>
      <c r="D77" s="6" t="s">
        <v>82</v>
      </c>
      <c r="E77" s="11">
        <v>84.6</v>
      </c>
      <c r="F77" s="5">
        <f t="shared" si="26"/>
        <v>84.6</v>
      </c>
      <c r="G77" s="5">
        <v>0</v>
      </c>
      <c r="H77" s="20">
        <f t="shared" si="27"/>
        <v>0</v>
      </c>
      <c r="I77" s="49">
        <f t="shared" si="28"/>
        <v>84.6</v>
      </c>
      <c r="J77" s="4"/>
    </row>
    <row r="78" spans="1:11" ht="20" customHeight="1">
      <c r="A78" s="198"/>
      <c r="B78" s="4" t="s">
        <v>83</v>
      </c>
      <c r="C78" s="5">
        <f>18/6</f>
        <v>3</v>
      </c>
      <c r="D78" s="6" t="s">
        <v>82</v>
      </c>
      <c r="E78" s="11">
        <v>84.6</v>
      </c>
      <c r="F78" s="5">
        <f t="shared" si="26"/>
        <v>253.79999999999998</v>
      </c>
      <c r="G78" s="5">
        <v>0</v>
      </c>
      <c r="H78" s="20">
        <f t="shared" si="27"/>
        <v>0</v>
      </c>
      <c r="I78" s="49">
        <f t="shared" si="28"/>
        <v>253.79999999999998</v>
      </c>
      <c r="J78" s="4"/>
    </row>
    <row r="79" spans="1:11" ht="20" customHeight="1">
      <c r="A79" s="198"/>
      <c r="B79" s="4" t="s">
        <v>84</v>
      </c>
      <c r="C79" s="5">
        <f>24/6</f>
        <v>4</v>
      </c>
      <c r="D79" s="6" t="s">
        <v>82</v>
      </c>
      <c r="E79" s="11">
        <v>22.8</v>
      </c>
      <c r="F79" s="5">
        <f t="shared" si="26"/>
        <v>91.2</v>
      </c>
      <c r="G79" s="5">
        <v>0</v>
      </c>
      <c r="H79" s="20">
        <f t="shared" si="27"/>
        <v>0</v>
      </c>
      <c r="I79" s="49">
        <f t="shared" si="28"/>
        <v>91.2</v>
      </c>
      <c r="J79" s="4"/>
    </row>
    <row r="80" spans="1:11" ht="20" customHeight="1">
      <c r="A80" s="198"/>
      <c r="B80" s="4" t="s">
        <v>85</v>
      </c>
      <c r="C80" s="5">
        <f>12/6</f>
        <v>2</v>
      </c>
      <c r="D80" s="6" t="s">
        <v>82</v>
      </c>
      <c r="E80" s="11">
        <v>31.3</v>
      </c>
      <c r="F80" s="5">
        <f t="shared" si="26"/>
        <v>62.6</v>
      </c>
      <c r="G80" s="5">
        <v>0</v>
      </c>
      <c r="H80" s="20">
        <f t="shared" si="27"/>
        <v>0</v>
      </c>
      <c r="I80" s="49">
        <f t="shared" si="28"/>
        <v>62.6</v>
      </c>
      <c r="J80" s="4"/>
    </row>
    <row r="81" spans="1:11" ht="20" customHeight="1">
      <c r="A81" s="198"/>
      <c r="B81" s="4" t="s">
        <v>86</v>
      </c>
      <c r="C81" s="5">
        <f>24/6</f>
        <v>4</v>
      </c>
      <c r="D81" s="6" t="s">
        <v>82</v>
      </c>
      <c r="E81" s="11">
        <v>13.9</v>
      </c>
      <c r="F81" s="5">
        <f t="shared" si="26"/>
        <v>55.6</v>
      </c>
      <c r="G81" s="5">
        <v>0</v>
      </c>
      <c r="H81" s="20">
        <f t="shared" si="27"/>
        <v>0</v>
      </c>
      <c r="I81" s="49">
        <f t="shared" si="28"/>
        <v>55.6</v>
      </c>
      <c r="J81" s="4"/>
    </row>
    <row r="82" spans="1:11" ht="20" customHeight="1">
      <c r="A82" s="198"/>
      <c r="B82" s="4" t="s">
        <v>87</v>
      </c>
      <c r="C82" s="5">
        <f>6/6</f>
        <v>1</v>
      </c>
      <c r="D82" s="6" t="s">
        <v>82</v>
      </c>
      <c r="E82" s="11">
        <v>8.0500000000000007</v>
      </c>
      <c r="F82" s="5">
        <f t="shared" si="26"/>
        <v>8.0500000000000007</v>
      </c>
      <c r="G82" s="5">
        <v>0</v>
      </c>
      <c r="H82" s="20">
        <f t="shared" si="27"/>
        <v>0</v>
      </c>
      <c r="I82" s="49">
        <f t="shared" si="28"/>
        <v>8.0500000000000007</v>
      </c>
      <c r="J82" s="4"/>
    </row>
    <row r="83" spans="1:11" ht="20" customHeight="1">
      <c r="A83" s="198"/>
      <c r="B83" s="4" t="s">
        <v>88</v>
      </c>
      <c r="C83" s="5">
        <f>12/6</f>
        <v>2</v>
      </c>
      <c r="D83" s="6" t="s">
        <v>82</v>
      </c>
      <c r="E83" s="11">
        <v>18.600000000000001</v>
      </c>
      <c r="F83" s="5">
        <f t="shared" si="26"/>
        <v>37.200000000000003</v>
      </c>
      <c r="G83" s="5">
        <v>0</v>
      </c>
      <c r="H83" s="20">
        <f t="shared" si="27"/>
        <v>0</v>
      </c>
      <c r="I83" s="49">
        <f t="shared" si="28"/>
        <v>37.200000000000003</v>
      </c>
      <c r="J83" s="4"/>
    </row>
    <row r="84" spans="1:11" ht="20" customHeight="1">
      <c r="A84" s="198"/>
      <c r="B84" s="4" t="s">
        <v>89</v>
      </c>
      <c r="C84" s="5">
        <f>6/6</f>
        <v>1</v>
      </c>
      <c r="D84" s="6" t="s">
        <v>82</v>
      </c>
      <c r="E84" s="11">
        <v>13.8</v>
      </c>
      <c r="F84" s="5">
        <f t="shared" si="26"/>
        <v>13.8</v>
      </c>
      <c r="G84" s="5">
        <v>0</v>
      </c>
      <c r="H84" s="20">
        <f t="shared" si="27"/>
        <v>0</v>
      </c>
      <c r="I84" s="49">
        <f t="shared" si="28"/>
        <v>13.8</v>
      </c>
      <c r="J84" s="4"/>
    </row>
    <row r="85" spans="1:11" ht="20" customHeight="1">
      <c r="A85" s="198"/>
      <c r="B85" s="4" t="s">
        <v>90</v>
      </c>
      <c r="C85" s="5">
        <f>6/6</f>
        <v>1</v>
      </c>
      <c r="D85" s="6" t="s">
        <v>82</v>
      </c>
      <c r="E85" s="11">
        <v>15</v>
      </c>
      <c r="F85" s="5">
        <f t="shared" si="26"/>
        <v>15</v>
      </c>
      <c r="G85" s="5">
        <v>0</v>
      </c>
      <c r="H85" s="20">
        <f t="shared" si="27"/>
        <v>0</v>
      </c>
      <c r="I85" s="49">
        <f t="shared" si="28"/>
        <v>15</v>
      </c>
      <c r="J85" s="4"/>
    </row>
    <row r="86" spans="1:11" ht="20" customHeight="1">
      <c r="A86" s="198"/>
      <c r="B86" s="4" t="s">
        <v>91</v>
      </c>
      <c r="C86" s="5">
        <f>6/6</f>
        <v>1</v>
      </c>
      <c r="D86" s="6" t="s">
        <v>82</v>
      </c>
      <c r="E86" s="11">
        <v>13</v>
      </c>
      <c r="F86" s="5">
        <f t="shared" si="26"/>
        <v>13</v>
      </c>
      <c r="G86" s="5">
        <v>0</v>
      </c>
      <c r="H86" s="20">
        <f t="shared" si="27"/>
        <v>0</v>
      </c>
      <c r="I86" s="49">
        <f t="shared" si="28"/>
        <v>13</v>
      </c>
      <c r="J86" s="4"/>
    </row>
    <row r="87" spans="1:11" ht="20" customHeight="1">
      <c r="A87" s="198"/>
      <c r="B87" s="4" t="s">
        <v>92</v>
      </c>
      <c r="C87" s="5">
        <f>6/6</f>
        <v>1</v>
      </c>
      <c r="D87" s="6" t="s">
        <v>82</v>
      </c>
      <c r="E87" s="11">
        <v>12</v>
      </c>
      <c r="F87" s="5">
        <f t="shared" si="26"/>
        <v>12</v>
      </c>
      <c r="G87" s="5">
        <v>0</v>
      </c>
      <c r="H87" s="20">
        <f t="shared" si="27"/>
        <v>0</v>
      </c>
      <c r="I87" s="49">
        <f t="shared" si="28"/>
        <v>12</v>
      </c>
      <c r="J87" s="4"/>
    </row>
    <row r="88" spans="1:11" ht="20" customHeight="1">
      <c r="A88" s="198"/>
      <c r="B88" s="4" t="s">
        <v>93</v>
      </c>
      <c r="C88" s="5">
        <f>6/6</f>
        <v>1</v>
      </c>
      <c r="D88" s="6" t="s">
        <v>82</v>
      </c>
      <c r="E88" s="11">
        <v>4.7</v>
      </c>
      <c r="F88" s="5">
        <f t="shared" si="26"/>
        <v>4.7</v>
      </c>
      <c r="G88" s="5">
        <v>0</v>
      </c>
      <c r="H88" s="20">
        <f t="shared" si="27"/>
        <v>0</v>
      </c>
      <c r="I88" s="49">
        <f t="shared" si="28"/>
        <v>4.7</v>
      </c>
      <c r="J88" s="4"/>
    </row>
    <row r="89" spans="1:11" ht="20" customHeight="1">
      <c r="A89" s="6"/>
      <c r="B89" s="4" t="s">
        <v>94</v>
      </c>
      <c r="C89" s="5">
        <f>7.5/6</f>
        <v>1.25</v>
      </c>
      <c r="D89" s="6" t="s">
        <v>95</v>
      </c>
      <c r="E89" s="11">
        <v>434</v>
      </c>
      <c r="F89" s="5">
        <f t="shared" si="26"/>
        <v>542.5</v>
      </c>
      <c r="G89" s="5">
        <v>0</v>
      </c>
      <c r="H89" s="20">
        <f t="shared" si="27"/>
        <v>0</v>
      </c>
      <c r="I89" s="49">
        <f t="shared" si="28"/>
        <v>542.5</v>
      </c>
      <c r="J89" s="4"/>
    </row>
    <row r="90" spans="1:11" ht="20" customHeight="1">
      <c r="A90" s="6"/>
      <c r="B90" s="4" t="s">
        <v>96</v>
      </c>
      <c r="C90" s="5">
        <f>6/6</f>
        <v>1</v>
      </c>
      <c r="D90" s="6" t="s">
        <v>66</v>
      </c>
      <c r="E90" s="11">
        <v>3600</v>
      </c>
      <c r="F90" s="5">
        <f t="shared" si="26"/>
        <v>3600</v>
      </c>
      <c r="G90" s="5">
        <v>0</v>
      </c>
      <c r="H90" s="20">
        <f t="shared" si="27"/>
        <v>0</v>
      </c>
      <c r="I90" s="49">
        <f t="shared" si="28"/>
        <v>3600</v>
      </c>
      <c r="J90" s="4"/>
    </row>
    <row r="91" spans="1:11" ht="20" customHeight="1">
      <c r="A91" s="198"/>
      <c r="B91" s="3" t="s">
        <v>280</v>
      </c>
      <c r="C91" s="5">
        <f>2/6</f>
        <v>0.33333333333333331</v>
      </c>
      <c r="D91" s="6" t="s">
        <v>97</v>
      </c>
      <c r="E91" s="5">
        <v>600</v>
      </c>
      <c r="F91" s="5">
        <f t="shared" si="26"/>
        <v>200</v>
      </c>
      <c r="G91" s="5">
        <v>0</v>
      </c>
      <c r="H91" s="20">
        <f t="shared" si="27"/>
        <v>0</v>
      </c>
      <c r="I91" s="49">
        <f t="shared" si="28"/>
        <v>200</v>
      </c>
      <c r="J91" s="4"/>
    </row>
    <row r="92" spans="1:11" ht="20" customHeight="1">
      <c r="A92" s="198"/>
      <c r="B92" s="4" t="s">
        <v>113</v>
      </c>
      <c r="C92" s="5">
        <f>6/6</f>
        <v>1</v>
      </c>
      <c r="D92" s="6" t="s">
        <v>66</v>
      </c>
      <c r="E92" s="5">
        <v>1100</v>
      </c>
      <c r="F92" s="5">
        <f t="shared" si="26"/>
        <v>1100</v>
      </c>
      <c r="G92" s="5">
        <v>0</v>
      </c>
      <c r="H92" s="20">
        <f t="shared" si="27"/>
        <v>0</v>
      </c>
      <c r="I92" s="49">
        <f t="shared" si="28"/>
        <v>1100</v>
      </c>
      <c r="J92" s="4"/>
    </row>
    <row r="93" spans="1:11" ht="20" customHeight="1">
      <c r="A93" s="198"/>
      <c r="B93" s="4" t="s">
        <v>98</v>
      </c>
      <c r="C93" s="5">
        <f>3.5/6</f>
        <v>0.58333333333333337</v>
      </c>
      <c r="D93" s="6" t="s">
        <v>97</v>
      </c>
      <c r="E93" s="5">
        <v>160</v>
      </c>
      <c r="F93" s="5">
        <f t="shared" si="26"/>
        <v>93.333333333333343</v>
      </c>
      <c r="G93" s="5">
        <v>0</v>
      </c>
      <c r="H93" s="20">
        <f t="shared" si="27"/>
        <v>0</v>
      </c>
      <c r="I93" s="49">
        <f t="shared" si="28"/>
        <v>93.333333333333343</v>
      </c>
      <c r="J93" s="4"/>
    </row>
    <row r="94" spans="1:11" ht="20" customHeight="1">
      <c r="A94" s="6"/>
      <c r="B94" s="4" t="s">
        <v>99</v>
      </c>
      <c r="C94" s="5">
        <f>12/6</f>
        <v>2</v>
      </c>
      <c r="D94" s="6" t="s">
        <v>100</v>
      </c>
      <c r="E94" s="11">
        <v>108</v>
      </c>
      <c r="F94" s="5">
        <f t="shared" si="26"/>
        <v>216</v>
      </c>
      <c r="G94" s="5">
        <v>0</v>
      </c>
      <c r="H94" s="20">
        <f t="shared" si="27"/>
        <v>0</v>
      </c>
      <c r="I94" s="49">
        <f t="shared" si="28"/>
        <v>216</v>
      </c>
      <c r="J94" s="4"/>
    </row>
    <row r="95" spans="1:11" ht="20" customHeight="1">
      <c r="A95" s="6"/>
      <c r="B95" s="4" t="s">
        <v>101</v>
      </c>
      <c r="C95" s="5">
        <f>12/6</f>
        <v>2</v>
      </c>
      <c r="D95" s="6" t="s">
        <v>102</v>
      </c>
      <c r="E95" s="11">
        <v>42</v>
      </c>
      <c r="F95" s="5">
        <f t="shared" si="26"/>
        <v>84</v>
      </c>
      <c r="G95" s="5">
        <v>0</v>
      </c>
      <c r="H95" s="20">
        <f t="shared" si="27"/>
        <v>0</v>
      </c>
      <c r="I95" s="49">
        <f t="shared" si="28"/>
        <v>84</v>
      </c>
      <c r="J95" s="4"/>
    </row>
    <row r="96" spans="1:11" s="137" customFormat="1" ht="20" customHeight="1">
      <c r="A96" s="199"/>
      <c r="B96" s="12" t="s">
        <v>103</v>
      </c>
      <c r="C96" s="18"/>
      <c r="D96" s="12"/>
      <c r="E96" s="19"/>
      <c r="F96" s="18">
        <f>SUM(F70:F95)</f>
        <v>13644.383333333335</v>
      </c>
      <c r="G96" s="18"/>
      <c r="H96" s="18">
        <f t="shared" ref="H96" si="29">SUM(H70:H95)</f>
        <v>0</v>
      </c>
      <c r="I96" s="18">
        <f>SUM(I70:I95)</f>
        <v>13644.383333333335</v>
      </c>
      <c r="J96" s="13"/>
      <c r="K96" s="58">
        <f>H96+F96</f>
        <v>13644.383333333335</v>
      </c>
    </row>
    <row r="97" spans="1:11" ht="20" customHeight="1">
      <c r="A97" s="6"/>
      <c r="B97" s="3" t="s">
        <v>114</v>
      </c>
      <c r="C97" s="5"/>
      <c r="D97" s="6"/>
      <c r="E97" s="10"/>
      <c r="F97" s="5"/>
      <c r="G97" s="10"/>
      <c r="H97" s="5"/>
      <c r="I97" s="49"/>
      <c r="J97" s="4"/>
    </row>
    <row r="98" spans="1:11" ht="20" customHeight="1">
      <c r="A98" s="198"/>
      <c r="B98" s="4" t="s">
        <v>104</v>
      </c>
      <c r="C98" s="5">
        <v>1</v>
      </c>
      <c r="D98" s="6" t="s">
        <v>105</v>
      </c>
      <c r="E98" s="5">
        <v>109</v>
      </c>
      <c r="F98" s="5">
        <f>E98*C98</f>
        <v>109</v>
      </c>
      <c r="G98" s="20">
        <v>6000</v>
      </c>
      <c r="H98" s="20">
        <f t="shared" ref="H98:H99" si="30">G98*C98</f>
        <v>6000</v>
      </c>
      <c r="I98" s="49">
        <f>H98+F98</f>
        <v>6109</v>
      </c>
      <c r="J98" s="4"/>
    </row>
    <row r="99" spans="1:11" ht="20" customHeight="1">
      <c r="A99" s="198"/>
      <c r="B99" s="4" t="s">
        <v>106</v>
      </c>
      <c r="C99" s="5">
        <f>20/6</f>
        <v>3.3333333333333335</v>
      </c>
      <c r="D99" s="6" t="s">
        <v>105</v>
      </c>
      <c r="E99" s="5">
        <v>75</v>
      </c>
      <c r="F99" s="5">
        <f>E99*C99</f>
        <v>250</v>
      </c>
      <c r="G99" s="5">
        <v>0</v>
      </c>
      <c r="H99" s="20">
        <f t="shared" si="30"/>
        <v>0</v>
      </c>
      <c r="I99" s="49">
        <f>H99+F99</f>
        <v>250</v>
      </c>
      <c r="J99" s="4"/>
    </row>
    <row r="100" spans="1:11" s="137" customFormat="1" ht="20" customHeight="1">
      <c r="A100" s="12"/>
      <c r="B100" s="12" t="s">
        <v>115</v>
      </c>
      <c r="C100" s="13"/>
      <c r="D100" s="12"/>
      <c r="E100" s="13"/>
      <c r="F100" s="14">
        <f>SUM(F98:F99)</f>
        <v>359</v>
      </c>
      <c r="G100" s="14"/>
      <c r="H100" s="14">
        <f t="shared" ref="H100" si="31">SUM(H98:H99)</f>
        <v>6000</v>
      </c>
      <c r="I100" s="14">
        <f>SUM(I98:I99)</f>
        <v>6359</v>
      </c>
      <c r="J100" s="13"/>
      <c r="K100" s="58">
        <f>H100+F100</f>
        <v>6359</v>
      </c>
    </row>
    <row r="101" spans="1:11" ht="20" customHeight="1">
      <c r="A101" s="198"/>
      <c r="B101" s="3" t="s">
        <v>210</v>
      </c>
      <c r="C101" s="4"/>
      <c r="D101" s="6"/>
      <c r="E101" s="4"/>
      <c r="F101" s="4"/>
      <c r="G101" s="4"/>
      <c r="H101" s="4"/>
      <c r="I101" s="48"/>
      <c r="J101" s="4"/>
    </row>
    <row r="102" spans="1:11" ht="20" customHeight="1">
      <c r="A102" s="198"/>
      <c r="B102" s="4" t="s">
        <v>211</v>
      </c>
      <c r="C102" s="5">
        <f>525/6</f>
        <v>87.5</v>
      </c>
      <c r="D102" s="6" t="s">
        <v>246</v>
      </c>
      <c r="E102" s="5">
        <v>5.5</v>
      </c>
      <c r="F102" s="5">
        <f>E102*C102</f>
        <v>481.25</v>
      </c>
      <c r="G102" s="5">
        <v>0</v>
      </c>
      <c r="H102" s="20">
        <f>G102*C102</f>
        <v>0</v>
      </c>
      <c r="I102" s="49">
        <f>H102+F102</f>
        <v>481.25</v>
      </c>
      <c r="J102" s="4"/>
    </row>
    <row r="103" spans="1:11" ht="20" customHeight="1">
      <c r="A103" s="198"/>
      <c r="B103" s="4" t="s">
        <v>212</v>
      </c>
      <c r="C103" s="5">
        <f>2/6</f>
        <v>0.33333333333333331</v>
      </c>
      <c r="D103" s="6" t="s">
        <v>214</v>
      </c>
      <c r="E103" s="5">
        <v>500</v>
      </c>
      <c r="F103" s="5">
        <f t="shared" ref="F103:F110" si="32">E103*C103</f>
        <v>166.66666666666666</v>
      </c>
      <c r="G103" s="5">
        <v>0</v>
      </c>
      <c r="H103" s="20">
        <f t="shared" ref="H103:H109" si="33">G103*C103</f>
        <v>0</v>
      </c>
      <c r="I103" s="49">
        <f t="shared" ref="I103:I110" si="34">H103+F103</f>
        <v>166.66666666666666</v>
      </c>
      <c r="J103" s="4"/>
    </row>
    <row r="104" spans="1:11" ht="20" customHeight="1">
      <c r="A104" s="198"/>
      <c r="B104" s="4" t="s">
        <v>213</v>
      </c>
      <c r="C104" s="5">
        <f>2/6</f>
        <v>0.33333333333333331</v>
      </c>
      <c r="D104" s="6" t="s">
        <v>214</v>
      </c>
      <c r="E104" s="5">
        <v>400</v>
      </c>
      <c r="F104" s="5">
        <f t="shared" si="32"/>
        <v>133.33333333333331</v>
      </c>
      <c r="G104" s="5">
        <v>0</v>
      </c>
      <c r="H104" s="20">
        <f t="shared" si="33"/>
        <v>0</v>
      </c>
      <c r="I104" s="49">
        <f t="shared" si="34"/>
        <v>133.33333333333331</v>
      </c>
      <c r="J104" s="4"/>
    </row>
    <row r="105" spans="1:11" ht="20" customHeight="1">
      <c r="A105" s="198"/>
      <c r="B105" s="4" t="s">
        <v>107</v>
      </c>
      <c r="C105" s="5">
        <f>20/6</f>
        <v>3.3333333333333335</v>
      </c>
      <c r="D105" s="6" t="s">
        <v>105</v>
      </c>
      <c r="E105" s="5">
        <v>92</v>
      </c>
      <c r="F105" s="5">
        <f t="shared" si="32"/>
        <v>306.66666666666669</v>
      </c>
      <c r="G105" s="5">
        <v>0</v>
      </c>
      <c r="H105" s="20">
        <f t="shared" si="33"/>
        <v>0</v>
      </c>
      <c r="I105" s="49">
        <f t="shared" si="34"/>
        <v>306.66666666666669</v>
      </c>
      <c r="J105" s="4"/>
    </row>
    <row r="106" spans="1:11" ht="20" customHeight="1">
      <c r="A106" s="198"/>
      <c r="B106" s="4" t="s">
        <v>108</v>
      </c>
      <c r="C106" s="5">
        <f>60/6</f>
        <v>10</v>
      </c>
      <c r="D106" s="6" t="s">
        <v>105</v>
      </c>
      <c r="E106" s="5">
        <v>61</v>
      </c>
      <c r="F106" s="5">
        <f t="shared" si="32"/>
        <v>610</v>
      </c>
      <c r="G106" s="5">
        <v>0</v>
      </c>
      <c r="H106" s="20">
        <f t="shared" si="33"/>
        <v>0</v>
      </c>
      <c r="I106" s="49">
        <f t="shared" si="34"/>
        <v>610</v>
      </c>
      <c r="J106" s="4"/>
    </row>
    <row r="107" spans="1:11" ht="20" customHeight="1">
      <c r="A107" s="198"/>
      <c r="B107" s="4" t="s">
        <v>245</v>
      </c>
      <c r="C107" s="5">
        <f>10/6</f>
        <v>1.6666666666666667</v>
      </c>
      <c r="D107" s="6" t="s">
        <v>53</v>
      </c>
      <c r="E107" s="11">
        <v>110</v>
      </c>
      <c r="F107" s="5">
        <f t="shared" si="32"/>
        <v>183.33333333333334</v>
      </c>
      <c r="G107" s="5">
        <v>0</v>
      </c>
      <c r="H107" s="20">
        <f t="shared" si="33"/>
        <v>0</v>
      </c>
      <c r="I107" s="49">
        <f t="shared" si="34"/>
        <v>183.33333333333334</v>
      </c>
      <c r="J107" s="4"/>
    </row>
    <row r="108" spans="1:11" ht="20" customHeight="1">
      <c r="A108" s="198"/>
      <c r="B108" s="4" t="s">
        <v>41</v>
      </c>
      <c r="C108" s="5">
        <f>10/6</f>
        <v>1.6666666666666667</v>
      </c>
      <c r="D108" s="6" t="s">
        <v>53</v>
      </c>
      <c r="E108" s="11">
        <v>64</v>
      </c>
      <c r="F108" s="5">
        <f t="shared" si="32"/>
        <v>106.66666666666667</v>
      </c>
      <c r="G108" s="5">
        <v>0</v>
      </c>
      <c r="H108" s="20">
        <f t="shared" si="33"/>
        <v>0</v>
      </c>
      <c r="I108" s="49">
        <f t="shared" si="34"/>
        <v>106.66666666666667</v>
      </c>
      <c r="J108" s="4"/>
    </row>
    <row r="109" spans="1:11" ht="20" customHeight="1">
      <c r="A109" s="198"/>
      <c r="B109" s="4" t="s">
        <v>215</v>
      </c>
      <c r="C109" s="5">
        <f>1/6</f>
        <v>0.16666666666666666</v>
      </c>
      <c r="D109" s="6" t="s">
        <v>97</v>
      </c>
      <c r="E109" s="5">
        <v>0</v>
      </c>
      <c r="F109" s="5">
        <f t="shared" si="32"/>
        <v>0</v>
      </c>
      <c r="G109" s="5">
        <v>0</v>
      </c>
      <c r="H109" s="20">
        <f t="shared" si="33"/>
        <v>0</v>
      </c>
      <c r="I109" s="49">
        <f t="shared" si="34"/>
        <v>0</v>
      </c>
      <c r="J109" s="4"/>
    </row>
    <row r="110" spans="1:11" ht="20" customHeight="1">
      <c r="A110" s="6"/>
      <c r="B110" s="4" t="s">
        <v>276</v>
      </c>
      <c r="C110" s="5">
        <v>1</v>
      </c>
      <c r="D110" s="6" t="s">
        <v>264</v>
      </c>
      <c r="E110" s="5">
        <v>0</v>
      </c>
      <c r="F110" s="5">
        <f t="shared" si="32"/>
        <v>0</v>
      </c>
      <c r="G110" s="70">
        <v>1012</v>
      </c>
      <c r="H110" s="20">
        <f>G110*C110</f>
        <v>1012</v>
      </c>
      <c r="I110" s="49">
        <f t="shared" si="34"/>
        <v>1012</v>
      </c>
      <c r="J110" s="4"/>
    </row>
    <row r="111" spans="1:11" s="141" customFormat="1" ht="20" customHeight="1">
      <c r="A111" s="12"/>
      <c r="B111" s="12" t="s">
        <v>128</v>
      </c>
      <c r="C111" s="12"/>
      <c r="D111" s="12"/>
      <c r="E111" s="12"/>
      <c r="F111" s="71">
        <f>SUM(F102:F110)</f>
        <v>1987.9166666666667</v>
      </c>
      <c r="G111" s="71"/>
      <c r="H111" s="71">
        <f t="shared" ref="H111:I111" si="35">SUM(H102:H110)</f>
        <v>1012</v>
      </c>
      <c r="I111" s="71">
        <f t="shared" si="35"/>
        <v>2999.916666666667</v>
      </c>
      <c r="J111" s="12"/>
      <c r="K111" s="58">
        <f>H111+F111</f>
        <v>2999.916666666667</v>
      </c>
    </row>
    <row r="112" spans="1:11" ht="20" customHeight="1">
      <c r="A112" s="198"/>
      <c r="B112" s="3" t="s">
        <v>216</v>
      </c>
      <c r="C112" s="4"/>
      <c r="D112" s="6"/>
      <c r="E112" s="4"/>
      <c r="F112" s="4"/>
      <c r="G112" s="4"/>
      <c r="H112" s="4"/>
      <c r="I112" s="48"/>
      <c r="J112" s="4"/>
    </row>
    <row r="113" spans="1:11" ht="20" customHeight="1">
      <c r="A113" s="198"/>
      <c r="B113" s="4" t="s">
        <v>217</v>
      </c>
      <c r="C113" s="5">
        <f>144/6</f>
        <v>24</v>
      </c>
      <c r="D113" s="6" t="s">
        <v>32</v>
      </c>
      <c r="E113" s="5">
        <v>45</v>
      </c>
      <c r="F113" s="5">
        <f>E113*C113</f>
        <v>1080</v>
      </c>
      <c r="G113" s="5">
        <v>80</v>
      </c>
      <c r="H113" s="5">
        <f>G113*C113</f>
        <v>1920</v>
      </c>
      <c r="I113" s="49">
        <f>H113+F113</f>
        <v>3000</v>
      </c>
      <c r="J113" s="4"/>
    </row>
    <row r="114" spans="1:11" ht="20" customHeight="1">
      <c r="A114" s="198"/>
      <c r="B114" s="4" t="s">
        <v>36</v>
      </c>
      <c r="C114" s="17">
        <f>17/6</f>
        <v>2.8333333333333335</v>
      </c>
      <c r="D114" s="6" t="s">
        <v>16</v>
      </c>
      <c r="E114" s="5">
        <v>1500</v>
      </c>
      <c r="F114" s="5">
        <f>E114*C114</f>
        <v>4250</v>
      </c>
      <c r="G114" s="5">
        <v>0</v>
      </c>
      <c r="H114" s="5">
        <f>G114*C114</f>
        <v>0</v>
      </c>
      <c r="I114" s="49">
        <f>H114+F114</f>
        <v>4250</v>
      </c>
      <c r="J114" s="4"/>
    </row>
    <row r="115" spans="1:11" s="141" customFormat="1" ht="20" customHeight="1">
      <c r="A115" s="12"/>
      <c r="B115" s="12" t="s">
        <v>134</v>
      </c>
      <c r="C115" s="12"/>
      <c r="D115" s="12"/>
      <c r="E115" s="12"/>
      <c r="F115" s="71">
        <f>SUM(F113:F114)</f>
        <v>5330</v>
      </c>
      <c r="G115" s="71"/>
      <c r="H115" s="71">
        <f t="shared" ref="H115:I115" si="36">SUM(H113:H114)</f>
        <v>1920</v>
      </c>
      <c r="I115" s="71">
        <f t="shared" si="36"/>
        <v>7250</v>
      </c>
      <c r="J115" s="12"/>
      <c r="K115" s="58">
        <f>H115+F115</f>
        <v>7250</v>
      </c>
    </row>
    <row r="116" spans="1:11" ht="20" customHeight="1">
      <c r="A116" s="198"/>
      <c r="B116" s="3" t="s">
        <v>247</v>
      </c>
      <c r="C116" s="5"/>
      <c r="D116" s="6"/>
      <c r="E116" s="10"/>
      <c r="F116" s="5"/>
      <c r="G116" s="5"/>
      <c r="H116" s="5"/>
      <c r="I116" s="49"/>
      <c r="J116" s="4"/>
    </row>
    <row r="117" spans="1:11" ht="20" customHeight="1">
      <c r="A117" s="198"/>
      <c r="B117" s="4" t="s">
        <v>43</v>
      </c>
      <c r="C117" s="5">
        <f>0.05/6</f>
        <v>8.3333333333333332E-3</v>
      </c>
      <c r="D117" s="6" t="s">
        <v>42</v>
      </c>
      <c r="E117" s="11">
        <v>137</v>
      </c>
      <c r="F117" s="5">
        <f>C117*1000/4.99*E117</f>
        <v>228.79091516366066</v>
      </c>
      <c r="G117" s="5">
        <v>0</v>
      </c>
      <c r="H117" s="20">
        <f>G117*C117</f>
        <v>0</v>
      </c>
      <c r="I117" s="49">
        <f>H117+F117</f>
        <v>228.79091516366066</v>
      </c>
      <c r="J117" s="4"/>
    </row>
    <row r="118" spans="1:11" ht="20" customHeight="1">
      <c r="A118" s="198"/>
      <c r="B118" s="4" t="s">
        <v>44</v>
      </c>
      <c r="C118" s="5">
        <f>0.04/6</f>
        <v>6.6666666666666671E-3</v>
      </c>
      <c r="D118" s="6" t="s">
        <v>42</v>
      </c>
      <c r="E118" s="11">
        <v>240</v>
      </c>
      <c r="F118" s="5">
        <f>C118*1000/8.88*E118</f>
        <v>180.18018018018017</v>
      </c>
      <c r="G118" s="5">
        <v>0</v>
      </c>
      <c r="H118" s="20">
        <f t="shared" ref="H118:H120" si="37">G118*C118</f>
        <v>0</v>
      </c>
      <c r="I118" s="49">
        <f t="shared" ref="I118:I121" si="38">H118+F118</f>
        <v>180.18018018018017</v>
      </c>
      <c r="J118" s="4"/>
    </row>
    <row r="119" spans="1:11" ht="20" customHeight="1">
      <c r="A119" s="6"/>
      <c r="B119" s="4" t="s">
        <v>111</v>
      </c>
      <c r="C119" s="5">
        <f>13/6</f>
        <v>2.1666666666666665</v>
      </c>
      <c r="D119" s="6" t="s">
        <v>16</v>
      </c>
      <c r="E119" s="11">
        <v>1600</v>
      </c>
      <c r="F119" s="5">
        <f>E119*C119</f>
        <v>3466.6666666666665</v>
      </c>
      <c r="G119" s="5">
        <v>0</v>
      </c>
      <c r="H119" s="20">
        <f t="shared" si="37"/>
        <v>0</v>
      </c>
      <c r="I119" s="49">
        <f t="shared" si="38"/>
        <v>3466.6666666666665</v>
      </c>
      <c r="J119" s="4"/>
    </row>
    <row r="120" spans="1:11" ht="20" customHeight="1">
      <c r="A120" s="6"/>
      <c r="B120" s="4" t="s">
        <v>49</v>
      </c>
      <c r="C120" s="5">
        <f>130/6</f>
        <v>21.666666666666668</v>
      </c>
      <c r="D120" s="6" t="s">
        <v>32</v>
      </c>
      <c r="E120" s="11">
        <v>74.2</v>
      </c>
      <c r="F120" s="5">
        <f>E120*C120</f>
        <v>1607.6666666666667</v>
      </c>
      <c r="G120" s="5">
        <v>0</v>
      </c>
      <c r="H120" s="20">
        <f t="shared" si="37"/>
        <v>0</v>
      </c>
      <c r="I120" s="49">
        <f t="shared" si="38"/>
        <v>1607.6666666666667</v>
      </c>
      <c r="J120" s="4"/>
    </row>
    <row r="121" spans="1:11" ht="20" customHeight="1">
      <c r="A121" s="6"/>
      <c r="B121" s="4" t="s">
        <v>275</v>
      </c>
      <c r="C121" s="5">
        <v>1</v>
      </c>
      <c r="D121" s="6" t="s">
        <v>264</v>
      </c>
      <c r="E121" s="5">
        <v>0</v>
      </c>
      <c r="F121" s="5">
        <f>E121*C121</f>
        <v>0</v>
      </c>
      <c r="G121" s="70">
        <v>2500</v>
      </c>
      <c r="H121" s="20">
        <f>G121*C121</f>
        <v>2500</v>
      </c>
      <c r="I121" s="49">
        <f t="shared" si="38"/>
        <v>2500</v>
      </c>
      <c r="J121" s="4"/>
    </row>
    <row r="122" spans="1:11" s="141" customFormat="1" ht="20" customHeight="1">
      <c r="A122" s="12"/>
      <c r="B122" s="12" t="s">
        <v>162</v>
      </c>
      <c r="C122" s="12"/>
      <c r="D122" s="12"/>
      <c r="E122" s="12"/>
      <c r="F122" s="71">
        <f>SUM(F117:F121)</f>
        <v>5483.3044286771737</v>
      </c>
      <c r="G122" s="71"/>
      <c r="H122" s="71">
        <f t="shared" ref="H122:I122" si="39">SUM(H117:H121)</f>
        <v>2500</v>
      </c>
      <c r="I122" s="71">
        <f t="shared" si="39"/>
        <v>7983.3044286771737</v>
      </c>
      <c r="J122" s="12"/>
      <c r="K122" s="58">
        <f>H122+F122</f>
        <v>7983.3044286771737</v>
      </c>
    </row>
    <row r="123" spans="1:11" ht="20" customHeight="1">
      <c r="A123" s="198"/>
      <c r="B123" s="3" t="s">
        <v>223</v>
      </c>
      <c r="C123" s="4"/>
      <c r="D123" s="6"/>
      <c r="E123" s="4"/>
      <c r="F123" s="4"/>
      <c r="G123" s="4"/>
      <c r="H123" s="4"/>
      <c r="I123" s="48"/>
      <c r="J123" s="4"/>
    </row>
    <row r="124" spans="1:11" ht="20" customHeight="1">
      <c r="A124" s="198"/>
      <c r="B124" s="4" t="s">
        <v>117</v>
      </c>
      <c r="C124" s="5">
        <f>624/6</f>
        <v>104</v>
      </c>
      <c r="D124" s="6" t="s">
        <v>60</v>
      </c>
      <c r="E124" s="11">
        <v>67</v>
      </c>
      <c r="F124" s="5">
        <f>E124*C124</f>
        <v>6968</v>
      </c>
      <c r="G124" s="5">
        <v>0</v>
      </c>
      <c r="H124" s="20">
        <f>G124*C124</f>
        <v>0</v>
      </c>
      <c r="I124" s="49">
        <f>H124+F124</f>
        <v>6968</v>
      </c>
      <c r="J124" s="4"/>
    </row>
    <row r="125" spans="1:11" ht="20" customHeight="1">
      <c r="A125" s="198"/>
      <c r="B125" s="4" t="s">
        <v>118</v>
      </c>
      <c r="C125" s="5">
        <f>156/6</f>
        <v>26</v>
      </c>
      <c r="D125" s="6" t="s">
        <v>60</v>
      </c>
      <c r="E125" s="11">
        <v>82</v>
      </c>
      <c r="F125" s="5">
        <f t="shared" ref="F125:F136" si="40">E125*C125</f>
        <v>2132</v>
      </c>
      <c r="G125" s="5">
        <v>0</v>
      </c>
      <c r="H125" s="20">
        <f t="shared" ref="H125:H134" si="41">G125*C125</f>
        <v>0</v>
      </c>
      <c r="I125" s="49">
        <f t="shared" ref="I125:I136" si="42">H125+F125</f>
        <v>2132</v>
      </c>
      <c r="J125" s="4"/>
    </row>
    <row r="126" spans="1:11" ht="20" customHeight="1">
      <c r="A126" s="6"/>
      <c r="B126" s="4" t="s">
        <v>156</v>
      </c>
      <c r="C126" s="5">
        <f>15/6</f>
        <v>2.5</v>
      </c>
      <c r="D126" s="6" t="s">
        <v>125</v>
      </c>
      <c r="E126" s="11">
        <v>870</v>
      </c>
      <c r="F126" s="5">
        <f t="shared" si="40"/>
        <v>2175</v>
      </c>
      <c r="G126" s="5">
        <v>0</v>
      </c>
      <c r="H126" s="20">
        <f t="shared" si="41"/>
        <v>0</v>
      </c>
      <c r="I126" s="49">
        <f t="shared" si="42"/>
        <v>2175</v>
      </c>
      <c r="J126" s="4"/>
    </row>
    <row r="127" spans="1:11" ht="20" customHeight="1">
      <c r="A127" s="198"/>
      <c r="B127" s="4" t="s">
        <v>126</v>
      </c>
      <c r="C127" s="5">
        <v>1</v>
      </c>
      <c r="D127" s="6" t="s">
        <v>60</v>
      </c>
      <c r="E127" s="11">
        <v>53</v>
      </c>
      <c r="F127" s="5">
        <f t="shared" si="40"/>
        <v>53</v>
      </c>
      <c r="G127" s="5">
        <v>0</v>
      </c>
      <c r="H127" s="20">
        <f t="shared" si="41"/>
        <v>0</v>
      </c>
      <c r="I127" s="49">
        <f t="shared" si="42"/>
        <v>53</v>
      </c>
      <c r="J127" s="4"/>
    </row>
    <row r="128" spans="1:11" ht="20" customHeight="1">
      <c r="A128" s="198"/>
      <c r="B128" s="4" t="s">
        <v>127</v>
      </c>
      <c r="C128" s="5">
        <v>2</v>
      </c>
      <c r="D128" s="6" t="s">
        <v>60</v>
      </c>
      <c r="E128" s="11">
        <v>63</v>
      </c>
      <c r="F128" s="5">
        <f t="shared" si="40"/>
        <v>126</v>
      </c>
      <c r="G128" s="5">
        <v>0</v>
      </c>
      <c r="H128" s="20">
        <f t="shared" si="41"/>
        <v>0</v>
      </c>
      <c r="I128" s="49">
        <f t="shared" si="42"/>
        <v>126</v>
      </c>
      <c r="J128" s="4"/>
    </row>
    <row r="129" spans="1:11" ht="20" customHeight="1">
      <c r="A129" s="198"/>
      <c r="B129" s="4" t="s">
        <v>116</v>
      </c>
      <c r="C129" s="5">
        <v>4</v>
      </c>
      <c r="D129" s="6" t="s">
        <v>60</v>
      </c>
      <c r="E129" s="11">
        <v>137</v>
      </c>
      <c r="F129" s="5">
        <f t="shared" si="40"/>
        <v>548</v>
      </c>
      <c r="G129" s="5">
        <v>0</v>
      </c>
      <c r="H129" s="20">
        <f t="shared" si="41"/>
        <v>0</v>
      </c>
      <c r="I129" s="49">
        <f t="shared" si="42"/>
        <v>548</v>
      </c>
      <c r="J129" s="4"/>
    </row>
    <row r="130" spans="1:11" ht="20" customHeight="1">
      <c r="A130" s="6"/>
      <c r="B130" s="4" t="s">
        <v>119</v>
      </c>
      <c r="C130" s="5">
        <f>106/6</f>
        <v>17.666666666666668</v>
      </c>
      <c r="D130" s="6" t="s">
        <v>60</v>
      </c>
      <c r="E130" s="5">
        <v>39</v>
      </c>
      <c r="F130" s="5">
        <f t="shared" si="40"/>
        <v>689</v>
      </c>
      <c r="G130" s="5">
        <v>0</v>
      </c>
      <c r="H130" s="20">
        <f t="shared" si="41"/>
        <v>0</v>
      </c>
      <c r="I130" s="49">
        <f t="shared" si="42"/>
        <v>689</v>
      </c>
      <c r="J130" s="4"/>
    </row>
    <row r="131" spans="1:11" ht="20" customHeight="1">
      <c r="A131" s="6"/>
      <c r="B131" s="4" t="s">
        <v>120</v>
      </c>
      <c r="C131" s="5">
        <v>44</v>
      </c>
      <c r="D131" s="6" t="s">
        <v>60</v>
      </c>
      <c r="E131" s="5">
        <v>39</v>
      </c>
      <c r="F131" s="5">
        <f t="shared" si="40"/>
        <v>1716</v>
      </c>
      <c r="G131" s="5">
        <v>0</v>
      </c>
      <c r="H131" s="20">
        <f t="shared" si="41"/>
        <v>0</v>
      </c>
      <c r="I131" s="49">
        <f t="shared" si="42"/>
        <v>1716</v>
      </c>
      <c r="J131" s="4"/>
    </row>
    <row r="132" spans="1:11" ht="20" customHeight="1">
      <c r="A132" s="6"/>
      <c r="B132" s="4" t="s">
        <v>121</v>
      </c>
      <c r="C132" s="5">
        <v>1</v>
      </c>
      <c r="D132" s="6" t="s">
        <v>60</v>
      </c>
      <c r="E132" s="5">
        <v>52</v>
      </c>
      <c r="F132" s="5">
        <f t="shared" si="40"/>
        <v>52</v>
      </c>
      <c r="G132" s="5">
        <v>0</v>
      </c>
      <c r="H132" s="20">
        <f t="shared" si="41"/>
        <v>0</v>
      </c>
      <c r="I132" s="49">
        <f t="shared" si="42"/>
        <v>52</v>
      </c>
      <c r="J132" s="4"/>
    </row>
    <row r="133" spans="1:11" ht="20" customHeight="1">
      <c r="A133" s="6"/>
      <c r="B133" s="4" t="s">
        <v>124</v>
      </c>
      <c r="C133" s="5">
        <f>14/6</f>
        <v>2.3333333333333335</v>
      </c>
      <c r="D133" s="6" t="s">
        <v>125</v>
      </c>
      <c r="E133" s="5">
        <v>170</v>
      </c>
      <c r="F133" s="5">
        <f t="shared" si="40"/>
        <v>396.66666666666669</v>
      </c>
      <c r="G133" s="5">
        <v>0</v>
      </c>
      <c r="H133" s="20">
        <f t="shared" si="41"/>
        <v>0</v>
      </c>
      <c r="I133" s="49">
        <f t="shared" si="42"/>
        <v>396.66666666666669</v>
      </c>
      <c r="J133" s="4"/>
    </row>
    <row r="134" spans="1:11" ht="20" customHeight="1">
      <c r="A134" s="6"/>
      <c r="B134" s="4" t="s">
        <v>155</v>
      </c>
      <c r="C134" s="5">
        <f>3/6</f>
        <v>0.5</v>
      </c>
      <c r="D134" s="6" t="s">
        <v>97</v>
      </c>
      <c r="E134" s="5">
        <v>1359</v>
      </c>
      <c r="F134" s="5">
        <f t="shared" si="40"/>
        <v>679.5</v>
      </c>
      <c r="G134" s="5">
        <v>0</v>
      </c>
      <c r="H134" s="20">
        <f t="shared" si="41"/>
        <v>0</v>
      </c>
      <c r="I134" s="49">
        <f t="shared" si="42"/>
        <v>679.5</v>
      </c>
      <c r="J134" s="4"/>
    </row>
    <row r="135" spans="1:11" ht="20" customHeight="1">
      <c r="A135" s="6"/>
      <c r="B135" s="4" t="s">
        <v>122</v>
      </c>
      <c r="C135" s="5">
        <f>19.2/2</f>
        <v>9.6</v>
      </c>
      <c r="D135" s="6" t="s">
        <v>123</v>
      </c>
      <c r="E135" s="5">
        <v>0</v>
      </c>
      <c r="F135" s="5">
        <f>E135*C135</f>
        <v>0</v>
      </c>
      <c r="G135" s="5">
        <v>400</v>
      </c>
      <c r="H135" s="5">
        <f>C135*G135</f>
        <v>3840</v>
      </c>
      <c r="I135" s="49">
        <f t="shared" si="42"/>
        <v>3840</v>
      </c>
      <c r="J135" s="4"/>
    </row>
    <row r="136" spans="1:11" ht="20" customHeight="1">
      <c r="A136" s="6"/>
      <c r="B136" s="4" t="s">
        <v>274</v>
      </c>
      <c r="C136" s="5">
        <v>57.5</v>
      </c>
      <c r="D136" s="6" t="s">
        <v>32</v>
      </c>
      <c r="E136" s="5">
        <v>0</v>
      </c>
      <c r="F136" s="5">
        <f t="shared" si="40"/>
        <v>0</v>
      </c>
      <c r="G136" s="70">
        <v>70</v>
      </c>
      <c r="H136" s="5">
        <f>C136*G136</f>
        <v>4025</v>
      </c>
      <c r="I136" s="49">
        <f t="shared" si="42"/>
        <v>4025</v>
      </c>
      <c r="J136" s="4"/>
    </row>
    <row r="137" spans="1:11" s="137" customFormat="1" ht="20" customHeight="1">
      <c r="A137" s="12"/>
      <c r="B137" s="12" t="s">
        <v>218</v>
      </c>
      <c r="C137" s="13"/>
      <c r="D137" s="12"/>
      <c r="E137" s="13"/>
      <c r="F137" s="14">
        <f>SUM(F124:F136)</f>
        <v>15535.166666666666</v>
      </c>
      <c r="G137" s="14"/>
      <c r="H137" s="14">
        <f t="shared" ref="H137:I137" si="43">SUM(H124:H136)</f>
        <v>7865</v>
      </c>
      <c r="I137" s="14">
        <f t="shared" si="43"/>
        <v>23400.166666666664</v>
      </c>
      <c r="J137" s="13"/>
      <c r="K137" s="58">
        <f>H137+F137</f>
        <v>23400.166666666664</v>
      </c>
    </row>
    <row r="138" spans="1:11" ht="20" customHeight="1">
      <c r="A138" s="198"/>
      <c r="B138" s="3" t="s">
        <v>224</v>
      </c>
      <c r="C138" s="4"/>
      <c r="D138" s="6"/>
      <c r="E138" s="4"/>
      <c r="F138" s="4"/>
      <c r="G138" s="4"/>
      <c r="H138" s="4"/>
      <c r="I138" s="48"/>
      <c r="J138" s="4"/>
    </row>
    <row r="139" spans="1:11" ht="20" customHeight="1">
      <c r="A139" s="198"/>
      <c r="B139" s="4" t="s">
        <v>130</v>
      </c>
      <c r="C139" s="5">
        <v>7</v>
      </c>
      <c r="D139" s="6" t="s">
        <v>32</v>
      </c>
      <c r="E139" s="5">
        <v>0</v>
      </c>
      <c r="F139" s="5">
        <f>E139*C139</f>
        <v>0</v>
      </c>
      <c r="G139" s="5">
        <f>320</f>
        <v>320</v>
      </c>
      <c r="H139" s="20">
        <f>G139*C139</f>
        <v>2240</v>
      </c>
      <c r="I139" s="49">
        <f>H139+F139</f>
        <v>2240</v>
      </c>
      <c r="J139" s="24" t="s">
        <v>132</v>
      </c>
    </row>
    <row r="140" spans="1:11" ht="20" customHeight="1">
      <c r="A140" s="198"/>
      <c r="B140" s="4" t="s">
        <v>131</v>
      </c>
      <c r="C140" s="5">
        <v>18</v>
      </c>
      <c r="D140" s="6" t="s">
        <v>32</v>
      </c>
      <c r="E140" s="5">
        <v>0</v>
      </c>
      <c r="F140" s="5">
        <f t="shared" ref="F140:F145" si="44">E140*C140</f>
        <v>0</v>
      </c>
      <c r="G140" s="5">
        <v>280</v>
      </c>
      <c r="H140" s="20">
        <f t="shared" ref="H140:H145" si="45">G140*C140</f>
        <v>5040</v>
      </c>
      <c r="I140" s="49">
        <f t="shared" ref="I140:I145" si="46">H140+F140</f>
        <v>5040</v>
      </c>
      <c r="J140" s="24" t="s">
        <v>133</v>
      </c>
    </row>
    <row r="141" spans="1:11" ht="20" customHeight="1">
      <c r="A141" s="198"/>
      <c r="B141" s="4" t="s">
        <v>129</v>
      </c>
      <c r="C141" s="5">
        <f>180/6</f>
        <v>30</v>
      </c>
      <c r="D141" s="6" t="s">
        <v>32</v>
      </c>
      <c r="E141" s="5">
        <v>0</v>
      </c>
      <c r="F141" s="5">
        <f t="shared" si="44"/>
        <v>0</v>
      </c>
      <c r="G141" s="5">
        <v>240</v>
      </c>
      <c r="H141" s="20">
        <f t="shared" si="45"/>
        <v>7200</v>
      </c>
      <c r="I141" s="49">
        <f t="shared" si="46"/>
        <v>7200</v>
      </c>
      <c r="J141" s="24" t="s">
        <v>133</v>
      </c>
    </row>
    <row r="142" spans="1:11" ht="20" customHeight="1">
      <c r="A142" s="198"/>
      <c r="B142" s="4" t="s">
        <v>135</v>
      </c>
      <c r="C142" s="5">
        <v>57.6</v>
      </c>
      <c r="D142" s="6" t="s">
        <v>123</v>
      </c>
      <c r="E142" s="5">
        <v>0</v>
      </c>
      <c r="F142" s="5">
        <f t="shared" si="44"/>
        <v>0</v>
      </c>
      <c r="G142" s="5">
        <v>70</v>
      </c>
      <c r="H142" s="20">
        <f t="shared" si="45"/>
        <v>4032</v>
      </c>
      <c r="I142" s="49">
        <f t="shared" si="46"/>
        <v>4032</v>
      </c>
      <c r="J142" s="4"/>
    </row>
    <row r="143" spans="1:11" ht="20" customHeight="1">
      <c r="A143" s="198"/>
      <c r="B143" s="4" t="s">
        <v>137</v>
      </c>
      <c r="C143" s="5">
        <v>1</v>
      </c>
      <c r="D143" s="6" t="s">
        <v>136</v>
      </c>
      <c r="E143" s="225">
        <v>8067</v>
      </c>
      <c r="F143" s="225">
        <f t="shared" si="44"/>
        <v>8067</v>
      </c>
      <c r="G143" s="5">
        <v>2000</v>
      </c>
      <c r="H143" s="20">
        <f t="shared" si="45"/>
        <v>2000</v>
      </c>
      <c r="I143" s="49">
        <f t="shared" si="46"/>
        <v>10067</v>
      </c>
      <c r="J143" s="4"/>
    </row>
    <row r="144" spans="1:11" ht="20" customHeight="1">
      <c r="A144" s="198"/>
      <c r="B144" s="4" t="s">
        <v>139</v>
      </c>
      <c r="C144" s="5">
        <v>8</v>
      </c>
      <c r="D144" s="6" t="s">
        <v>32</v>
      </c>
      <c r="E144" s="5">
        <v>0</v>
      </c>
      <c r="F144" s="5">
        <f t="shared" si="44"/>
        <v>0</v>
      </c>
      <c r="G144" s="5">
        <v>280</v>
      </c>
      <c r="H144" s="20">
        <f t="shared" si="45"/>
        <v>2240</v>
      </c>
      <c r="I144" s="49">
        <f t="shared" si="46"/>
        <v>2240</v>
      </c>
      <c r="J144" s="4"/>
    </row>
    <row r="145" spans="1:11" ht="20" customHeight="1">
      <c r="A145" s="6"/>
      <c r="B145" s="4" t="s">
        <v>138</v>
      </c>
      <c r="C145" s="5">
        <v>8</v>
      </c>
      <c r="D145" s="6" t="s">
        <v>32</v>
      </c>
      <c r="E145" s="5">
        <v>0</v>
      </c>
      <c r="F145" s="5">
        <f t="shared" si="44"/>
        <v>0</v>
      </c>
      <c r="G145" s="5">
        <v>965</v>
      </c>
      <c r="H145" s="20">
        <f t="shared" si="45"/>
        <v>7720</v>
      </c>
      <c r="I145" s="49">
        <f t="shared" si="46"/>
        <v>7720</v>
      </c>
      <c r="J145" s="4"/>
    </row>
    <row r="146" spans="1:11" s="137" customFormat="1" ht="20" customHeight="1">
      <c r="A146" s="12"/>
      <c r="B146" s="12" t="s">
        <v>177</v>
      </c>
      <c r="C146" s="13"/>
      <c r="D146" s="12"/>
      <c r="E146" s="13"/>
      <c r="F146" s="14">
        <f>SUM(F139:F145)</f>
        <v>8067</v>
      </c>
      <c r="G146" s="14"/>
      <c r="H146" s="14">
        <f t="shared" ref="H146:I146" si="47">SUM(H139:H145)</f>
        <v>30472</v>
      </c>
      <c r="I146" s="14">
        <f t="shared" si="47"/>
        <v>38539</v>
      </c>
      <c r="J146" s="13"/>
      <c r="K146" s="58">
        <f>H146+F146</f>
        <v>38539</v>
      </c>
    </row>
    <row r="147" spans="1:11" ht="20" customHeight="1">
      <c r="A147" s="198"/>
      <c r="B147" s="3" t="s">
        <v>225</v>
      </c>
      <c r="C147" s="4"/>
      <c r="D147" s="6"/>
      <c r="E147" s="4"/>
      <c r="F147" s="4"/>
      <c r="G147" s="4"/>
      <c r="H147" s="4"/>
      <c r="I147" s="48"/>
      <c r="J147" s="4"/>
    </row>
    <row r="148" spans="1:11" ht="20" customHeight="1">
      <c r="A148" s="198"/>
      <c r="B148" s="4" t="s">
        <v>140</v>
      </c>
      <c r="C148" s="5">
        <v>1</v>
      </c>
      <c r="D148" s="6" t="s">
        <v>141</v>
      </c>
      <c r="E148" s="5">
        <v>1869</v>
      </c>
      <c r="F148" s="5">
        <f>E148*C148</f>
        <v>1869</v>
      </c>
      <c r="G148" s="5">
        <v>0</v>
      </c>
      <c r="H148" s="5">
        <f>G148*C148</f>
        <v>0</v>
      </c>
      <c r="I148" s="49">
        <f>H148+F148</f>
        <v>1869</v>
      </c>
      <c r="J148" s="4"/>
    </row>
    <row r="149" spans="1:11" ht="20" customHeight="1">
      <c r="A149" s="198"/>
      <c r="B149" s="4" t="s">
        <v>142</v>
      </c>
      <c r="C149" s="5">
        <v>1</v>
      </c>
      <c r="D149" s="6" t="s">
        <v>141</v>
      </c>
      <c r="E149" s="5">
        <v>640</v>
      </c>
      <c r="F149" s="5">
        <f t="shared" ref="F149:F165" si="48">E149*C149</f>
        <v>640</v>
      </c>
      <c r="G149" s="5">
        <v>0</v>
      </c>
      <c r="H149" s="5">
        <f t="shared" ref="H149:H165" si="49">G149*C149</f>
        <v>0</v>
      </c>
      <c r="I149" s="49">
        <f t="shared" ref="I149:I165" si="50">H149+F149</f>
        <v>640</v>
      </c>
      <c r="J149" s="4"/>
    </row>
    <row r="150" spans="1:11" ht="20" customHeight="1">
      <c r="A150" s="198"/>
      <c r="B150" s="4" t="s">
        <v>158</v>
      </c>
      <c r="C150" s="5">
        <v>1</v>
      </c>
      <c r="D150" s="6" t="s">
        <v>141</v>
      </c>
      <c r="E150" s="5">
        <v>664</v>
      </c>
      <c r="F150" s="5">
        <f t="shared" si="48"/>
        <v>664</v>
      </c>
      <c r="G150" s="5">
        <v>0</v>
      </c>
      <c r="H150" s="5">
        <f t="shared" si="49"/>
        <v>0</v>
      </c>
      <c r="I150" s="49">
        <f t="shared" si="50"/>
        <v>664</v>
      </c>
      <c r="J150" s="4"/>
    </row>
    <row r="151" spans="1:11" ht="20" customHeight="1">
      <c r="A151" s="198"/>
      <c r="B151" s="4" t="s">
        <v>157</v>
      </c>
      <c r="C151" s="5">
        <v>1</v>
      </c>
      <c r="D151" s="6" t="s">
        <v>141</v>
      </c>
      <c r="E151" s="5">
        <v>159</v>
      </c>
      <c r="F151" s="5">
        <f t="shared" si="48"/>
        <v>159</v>
      </c>
      <c r="G151" s="5">
        <v>0</v>
      </c>
      <c r="H151" s="5">
        <f t="shared" si="49"/>
        <v>0</v>
      </c>
      <c r="I151" s="49">
        <f t="shared" si="50"/>
        <v>159</v>
      </c>
      <c r="J151" s="4"/>
    </row>
    <row r="152" spans="1:11" ht="20" customHeight="1">
      <c r="A152" s="198"/>
      <c r="B152" s="4" t="s">
        <v>159</v>
      </c>
      <c r="C152" s="5">
        <v>1</v>
      </c>
      <c r="D152" s="6" t="s">
        <v>141</v>
      </c>
      <c r="E152" s="5">
        <v>425</v>
      </c>
      <c r="F152" s="5">
        <f t="shared" si="48"/>
        <v>425</v>
      </c>
      <c r="G152" s="5">
        <v>0</v>
      </c>
      <c r="H152" s="5">
        <f t="shared" si="49"/>
        <v>0</v>
      </c>
      <c r="I152" s="49">
        <f t="shared" si="50"/>
        <v>425</v>
      </c>
      <c r="J152" s="4"/>
    </row>
    <row r="153" spans="1:11" ht="20" customHeight="1">
      <c r="A153" s="198"/>
      <c r="B153" s="4" t="s">
        <v>143</v>
      </c>
      <c r="C153" s="5">
        <v>1</v>
      </c>
      <c r="D153" s="6" t="s">
        <v>141</v>
      </c>
      <c r="E153" s="5">
        <v>183</v>
      </c>
      <c r="F153" s="5">
        <f t="shared" si="48"/>
        <v>183</v>
      </c>
      <c r="G153" s="5">
        <v>0</v>
      </c>
      <c r="H153" s="5">
        <f t="shared" si="49"/>
        <v>0</v>
      </c>
      <c r="I153" s="49">
        <f t="shared" si="50"/>
        <v>183</v>
      </c>
      <c r="J153" s="4"/>
    </row>
    <row r="154" spans="1:11" ht="20" customHeight="1">
      <c r="A154" s="198"/>
      <c r="B154" s="4" t="s">
        <v>144</v>
      </c>
      <c r="C154" s="5">
        <v>1</v>
      </c>
      <c r="D154" s="6" t="s">
        <v>100</v>
      </c>
      <c r="E154" s="5">
        <v>151</v>
      </c>
      <c r="F154" s="5">
        <f t="shared" si="48"/>
        <v>151</v>
      </c>
      <c r="G154" s="5">
        <v>0</v>
      </c>
      <c r="H154" s="5">
        <f t="shared" si="49"/>
        <v>0</v>
      </c>
      <c r="I154" s="49">
        <f t="shared" si="50"/>
        <v>151</v>
      </c>
      <c r="J154" s="4"/>
    </row>
    <row r="155" spans="1:11" ht="20" customHeight="1">
      <c r="A155" s="198"/>
      <c r="B155" s="4" t="s">
        <v>145</v>
      </c>
      <c r="C155" s="5">
        <v>1</v>
      </c>
      <c r="D155" s="6" t="s">
        <v>146</v>
      </c>
      <c r="E155" s="5">
        <v>0</v>
      </c>
      <c r="F155" s="5">
        <f t="shared" si="48"/>
        <v>0</v>
      </c>
      <c r="G155" s="5">
        <v>0</v>
      </c>
      <c r="H155" s="5">
        <f t="shared" si="49"/>
        <v>0</v>
      </c>
      <c r="I155" s="49">
        <f t="shared" si="50"/>
        <v>0</v>
      </c>
      <c r="J155" s="4"/>
    </row>
    <row r="156" spans="1:11" ht="20" customHeight="1">
      <c r="A156" s="198"/>
      <c r="B156" s="4" t="s">
        <v>160</v>
      </c>
      <c r="C156" s="5">
        <v>1</v>
      </c>
      <c r="D156" s="6" t="s">
        <v>100</v>
      </c>
      <c r="E156" s="5">
        <v>77</v>
      </c>
      <c r="F156" s="5">
        <f t="shared" si="48"/>
        <v>77</v>
      </c>
      <c r="G156" s="5">
        <v>0</v>
      </c>
      <c r="H156" s="5">
        <f t="shared" si="49"/>
        <v>0</v>
      </c>
      <c r="I156" s="49">
        <f t="shared" si="50"/>
        <v>77</v>
      </c>
      <c r="J156" s="4"/>
    </row>
    <row r="157" spans="1:11" ht="20" customHeight="1">
      <c r="A157" s="198"/>
      <c r="B157" s="4" t="s">
        <v>147</v>
      </c>
      <c r="C157" s="5">
        <v>1</v>
      </c>
      <c r="D157" s="6" t="s">
        <v>100</v>
      </c>
      <c r="E157" s="5">
        <v>234</v>
      </c>
      <c r="F157" s="5">
        <f t="shared" si="48"/>
        <v>234</v>
      </c>
      <c r="G157" s="5">
        <v>0</v>
      </c>
      <c r="H157" s="5">
        <f t="shared" si="49"/>
        <v>0</v>
      </c>
      <c r="I157" s="49">
        <f t="shared" si="50"/>
        <v>234</v>
      </c>
      <c r="J157" s="4"/>
    </row>
    <row r="158" spans="1:11" ht="20" customHeight="1">
      <c r="A158" s="198"/>
      <c r="B158" s="4" t="s">
        <v>161</v>
      </c>
      <c r="C158" s="5">
        <v>1</v>
      </c>
      <c r="D158" s="6" t="s">
        <v>100</v>
      </c>
      <c r="E158" s="5">
        <v>151</v>
      </c>
      <c r="F158" s="5">
        <f t="shared" si="48"/>
        <v>151</v>
      </c>
      <c r="G158" s="5">
        <v>0</v>
      </c>
      <c r="H158" s="5">
        <f t="shared" si="49"/>
        <v>0</v>
      </c>
      <c r="I158" s="49">
        <f t="shared" si="50"/>
        <v>151</v>
      </c>
      <c r="J158" s="4"/>
    </row>
    <row r="159" spans="1:11" ht="20" customHeight="1">
      <c r="A159" s="198"/>
      <c r="B159" s="4" t="s">
        <v>148</v>
      </c>
      <c r="C159" s="5">
        <v>1</v>
      </c>
      <c r="D159" s="6" t="s">
        <v>100</v>
      </c>
      <c r="E159" s="5">
        <v>584</v>
      </c>
      <c r="F159" s="5">
        <f t="shared" si="48"/>
        <v>584</v>
      </c>
      <c r="G159" s="5">
        <v>0</v>
      </c>
      <c r="H159" s="5">
        <f t="shared" si="49"/>
        <v>0</v>
      </c>
      <c r="I159" s="49">
        <f t="shared" si="50"/>
        <v>584</v>
      </c>
      <c r="J159" s="4"/>
    </row>
    <row r="160" spans="1:11" ht="20" customHeight="1">
      <c r="A160" s="198"/>
      <c r="B160" s="4" t="s">
        <v>149</v>
      </c>
      <c r="C160" s="5">
        <v>2</v>
      </c>
      <c r="D160" s="6" t="s">
        <v>100</v>
      </c>
      <c r="E160" s="5">
        <v>140</v>
      </c>
      <c r="F160" s="5">
        <f t="shared" si="48"/>
        <v>280</v>
      </c>
      <c r="G160" s="5">
        <v>0</v>
      </c>
      <c r="H160" s="5">
        <f t="shared" si="49"/>
        <v>0</v>
      </c>
      <c r="I160" s="49">
        <f t="shared" si="50"/>
        <v>280</v>
      </c>
      <c r="J160" s="4"/>
    </row>
    <row r="161" spans="1:11" ht="20" customHeight="1">
      <c r="A161" s="198"/>
      <c r="B161" s="4" t="s">
        <v>150</v>
      </c>
      <c r="C161" s="5">
        <v>1</v>
      </c>
      <c r="D161" s="6" t="s">
        <v>100</v>
      </c>
      <c r="E161" s="5">
        <v>45</v>
      </c>
      <c r="F161" s="5">
        <f t="shared" si="48"/>
        <v>45</v>
      </c>
      <c r="G161" s="5">
        <v>0</v>
      </c>
      <c r="H161" s="5">
        <f t="shared" si="49"/>
        <v>0</v>
      </c>
      <c r="I161" s="49">
        <f t="shared" si="50"/>
        <v>45</v>
      </c>
      <c r="J161" s="4"/>
    </row>
    <row r="162" spans="1:11" ht="20" customHeight="1">
      <c r="A162" s="198"/>
      <c r="B162" s="4" t="s">
        <v>151</v>
      </c>
      <c r="C162" s="5">
        <v>1</v>
      </c>
      <c r="D162" s="6" t="s">
        <v>100</v>
      </c>
      <c r="E162" s="5">
        <v>215</v>
      </c>
      <c r="F162" s="5">
        <f t="shared" si="48"/>
        <v>215</v>
      </c>
      <c r="G162" s="5">
        <v>0</v>
      </c>
      <c r="H162" s="5">
        <f t="shared" si="49"/>
        <v>0</v>
      </c>
      <c r="I162" s="49">
        <f t="shared" si="50"/>
        <v>215</v>
      </c>
      <c r="J162" s="4"/>
    </row>
    <row r="163" spans="1:11" ht="20" customHeight="1">
      <c r="A163" s="198"/>
      <c r="B163" s="4" t="s">
        <v>152</v>
      </c>
      <c r="C163" s="5">
        <v>1</v>
      </c>
      <c r="D163" s="6" t="s">
        <v>100</v>
      </c>
      <c r="E163" s="5">
        <v>0</v>
      </c>
      <c r="F163" s="5">
        <f t="shared" si="48"/>
        <v>0</v>
      </c>
      <c r="G163" s="5">
        <v>0</v>
      </c>
      <c r="H163" s="5">
        <f t="shared" si="49"/>
        <v>0</v>
      </c>
      <c r="I163" s="49">
        <f t="shared" si="50"/>
        <v>0</v>
      </c>
      <c r="J163" s="4"/>
    </row>
    <row r="164" spans="1:11" ht="20" customHeight="1">
      <c r="A164" s="6"/>
      <c r="B164" s="4" t="s">
        <v>153</v>
      </c>
      <c r="C164" s="5">
        <v>2</v>
      </c>
      <c r="D164" s="6" t="s">
        <v>100</v>
      </c>
      <c r="E164" s="4">
        <v>110</v>
      </c>
      <c r="F164" s="5">
        <f t="shared" si="48"/>
        <v>220</v>
      </c>
      <c r="G164" s="5">
        <v>0</v>
      </c>
      <c r="H164" s="5">
        <f t="shared" si="49"/>
        <v>0</v>
      </c>
      <c r="I164" s="49">
        <f t="shared" si="50"/>
        <v>220</v>
      </c>
      <c r="J164" s="4"/>
    </row>
    <row r="165" spans="1:11" ht="20" customHeight="1">
      <c r="A165" s="6"/>
      <c r="B165" s="4" t="s">
        <v>273</v>
      </c>
      <c r="C165" s="5">
        <v>1</v>
      </c>
      <c r="D165" s="6" t="s">
        <v>264</v>
      </c>
      <c r="E165" s="5">
        <v>0</v>
      </c>
      <c r="F165" s="5">
        <f t="shared" si="48"/>
        <v>0</v>
      </c>
      <c r="G165" s="70">
        <v>810</v>
      </c>
      <c r="H165" s="5">
        <f t="shared" si="49"/>
        <v>810</v>
      </c>
      <c r="I165" s="49">
        <f t="shared" si="50"/>
        <v>810</v>
      </c>
      <c r="J165" s="4"/>
    </row>
    <row r="166" spans="1:11" s="137" customFormat="1" ht="20" customHeight="1">
      <c r="A166" s="12"/>
      <c r="B166" s="12" t="s">
        <v>154</v>
      </c>
      <c r="C166" s="13"/>
      <c r="D166" s="12"/>
      <c r="E166" s="13"/>
      <c r="F166" s="14">
        <f>SUM(F148:F165)</f>
        <v>5897</v>
      </c>
      <c r="G166" s="14"/>
      <c r="H166" s="14">
        <f t="shared" ref="H166:I166" si="51">SUM(H148:H165)</f>
        <v>810</v>
      </c>
      <c r="I166" s="14">
        <f t="shared" si="51"/>
        <v>6707</v>
      </c>
      <c r="J166" s="13"/>
      <c r="K166" s="58">
        <f>H166+F166</f>
        <v>6707</v>
      </c>
    </row>
    <row r="167" spans="1:11" ht="20" customHeight="1">
      <c r="A167" s="198"/>
      <c r="B167" s="3" t="s">
        <v>226</v>
      </c>
      <c r="C167" s="4"/>
      <c r="D167" s="6"/>
      <c r="E167" s="4"/>
      <c r="F167" s="4"/>
      <c r="G167" s="4"/>
      <c r="H167" s="4"/>
      <c r="I167" s="48"/>
      <c r="J167" s="4"/>
    </row>
    <row r="168" spans="1:11" ht="20" customHeight="1">
      <c r="A168" s="198"/>
      <c r="B168" s="4" t="s">
        <v>163</v>
      </c>
      <c r="C168" s="5">
        <v>1</v>
      </c>
      <c r="D168" s="6" t="s">
        <v>141</v>
      </c>
      <c r="E168" s="5">
        <v>0</v>
      </c>
      <c r="F168" s="5">
        <f>E168*C168</f>
        <v>0</v>
      </c>
      <c r="G168" s="5">
        <v>8000</v>
      </c>
      <c r="H168" s="5">
        <f>G168*C168</f>
        <v>8000</v>
      </c>
      <c r="I168" s="49">
        <f>H168+F168</f>
        <v>8000</v>
      </c>
      <c r="J168" s="24" t="s">
        <v>172</v>
      </c>
    </row>
    <row r="169" spans="1:11" ht="20" customHeight="1">
      <c r="A169" s="198"/>
      <c r="B169" s="4" t="s">
        <v>164</v>
      </c>
      <c r="C169" s="5">
        <v>1</v>
      </c>
      <c r="D169" s="6" t="s">
        <v>141</v>
      </c>
      <c r="E169" s="5">
        <v>2670</v>
      </c>
      <c r="F169" s="5">
        <f t="shared" ref="F169:F176" si="52">E169*C169</f>
        <v>2670</v>
      </c>
      <c r="G169" s="5">
        <v>400</v>
      </c>
      <c r="H169" s="5">
        <f t="shared" ref="H169:H176" si="53">G169*C169</f>
        <v>400</v>
      </c>
      <c r="I169" s="49">
        <f t="shared" ref="I169:I176" si="54">H169+F169</f>
        <v>3070</v>
      </c>
      <c r="J169" s="4"/>
    </row>
    <row r="170" spans="1:11" ht="20" customHeight="1">
      <c r="A170" s="198"/>
      <c r="B170" s="4" t="s">
        <v>165</v>
      </c>
      <c r="C170" s="5">
        <v>1</v>
      </c>
      <c r="D170" s="6" t="s">
        <v>141</v>
      </c>
      <c r="E170" s="5">
        <v>2670</v>
      </c>
      <c r="F170" s="5">
        <f t="shared" si="52"/>
        <v>2670</v>
      </c>
      <c r="G170" s="5">
        <v>400</v>
      </c>
      <c r="H170" s="5">
        <f t="shared" si="53"/>
        <v>400</v>
      </c>
      <c r="I170" s="49">
        <f t="shared" si="54"/>
        <v>3070</v>
      </c>
      <c r="J170" s="4"/>
    </row>
    <row r="171" spans="1:11" ht="20" customHeight="1">
      <c r="A171" s="198"/>
      <c r="B171" s="4" t="s">
        <v>166</v>
      </c>
      <c r="C171" s="5">
        <v>2</v>
      </c>
      <c r="D171" s="6" t="s">
        <v>141</v>
      </c>
      <c r="E171" s="5">
        <v>1458</v>
      </c>
      <c r="F171" s="5">
        <f t="shared" si="52"/>
        <v>2916</v>
      </c>
      <c r="G171" s="5">
        <v>400</v>
      </c>
      <c r="H171" s="5">
        <f t="shared" si="53"/>
        <v>800</v>
      </c>
      <c r="I171" s="49">
        <f t="shared" si="54"/>
        <v>3716</v>
      </c>
      <c r="J171" s="4"/>
    </row>
    <row r="172" spans="1:11" ht="20" customHeight="1">
      <c r="A172" s="198"/>
      <c r="B172" s="4" t="s">
        <v>169</v>
      </c>
      <c r="C172" s="5">
        <v>1</v>
      </c>
      <c r="D172" s="6" t="s">
        <v>141</v>
      </c>
      <c r="E172" s="5">
        <v>0</v>
      </c>
      <c r="F172" s="5">
        <f t="shared" si="52"/>
        <v>0</v>
      </c>
      <c r="G172" s="5">
        <v>3300</v>
      </c>
      <c r="H172" s="5">
        <f t="shared" si="53"/>
        <v>3300</v>
      </c>
      <c r="I172" s="49">
        <f t="shared" si="54"/>
        <v>3300</v>
      </c>
      <c r="J172" s="24" t="s">
        <v>172</v>
      </c>
    </row>
    <row r="173" spans="1:11" ht="20" customHeight="1">
      <c r="A173" s="198"/>
      <c r="B173" s="4" t="s">
        <v>167</v>
      </c>
      <c r="C173" s="5">
        <v>1</v>
      </c>
      <c r="D173" s="6" t="s">
        <v>141</v>
      </c>
      <c r="E173" s="5">
        <v>0</v>
      </c>
      <c r="F173" s="5">
        <f t="shared" si="52"/>
        <v>0</v>
      </c>
      <c r="G173" s="5">
        <v>2500</v>
      </c>
      <c r="H173" s="5">
        <f t="shared" si="53"/>
        <v>2500</v>
      </c>
      <c r="I173" s="49">
        <f t="shared" si="54"/>
        <v>2500</v>
      </c>
      <c r="J173" s="24" t="s">
        <v>172</v>
      </c>
    </row>
    <row r="174" spans="1:11" ht="20" customHeight="1">
      <c r="A174" s="198"/>
      <c r="B174" s="4" t="s">
        <v>168</v>
      </c>
      <c r="C174" s="5">
        <v>1</v>
      </c>
      <c r="D174" s="6" t="s">
        <v>141</v>
      </c>
      <c r="E174" s="5">
        <v>0</v>
      </c>
      <c r="F174" s="5">
        <f t="shared" si="52"/>
        <v>0</v>
      </c>
      <c r="G174" s="5">
        <v>1200</v>
      </c>
      <c r="H174" s="5">
        <f t="shared" si="53"/>
        <v>1200</v>
      </c>
      <c r="I174" s="49">
        <f t="shared" si="54"/>
        <v>1200</v>
      </c>
      <c r="J174" s="24" t="s">
        <v>172</v>
      </c>
    </row>
    <row r="175" spans="1:11" ht="20" customHeight="1">
      <c r="A175" s="198"/>
      <c r="B175" s="4" t="s">
        <v>170</v>
      </c>
      <c r="C175" s="5">
        <v>1</v>
      </c>
      <c r="D175" s="6" t="s">
        <v>141</v>
      </c>
      <c r="E175" s="5">
        <v>0</v>
      </c>
      <c r="F175" s="5">
        <f t="shared" si="52"/>
        <v>0</v>
      </c>
      <c r="G175" s="5">
        <v>4400</v>
      </c>
      <c r="H175" s="5">
        <f t="shared" si="53"/>
        <v>4400</v>
      </c>
      <c r="I175" s="49">
        <f t="shared" si="54"/>
        <v>4400</v>
      </c>
      <c r="J175" s="24" t="s">
        <v>172</v>
      </c>
    </row>
    <row r="176" spans="1:11" ht="20" customHeight="1">
      <c r="A176" s="198"/>
      <c r="B176" s="4" t="s">
        <v>171</v>
      </c>
      <c r="C176" s="5">
        <v>1</v>
      </c>
      <c r="D176" s="6" t="s">
        <v>141</v>
      </c>
      <c r="E176" s="5">
        <v>0</v>
      </c>
      <c r="F176" s="5">
        <f t="shared" si="52"/>
        <v>0</v>
      </c>
      <c r="G176" s="5">
        <v>5300</v>
      </c>
      <c r="H176" s="5">
        <f t="shared" si="53"/>
        <v>5300</v>
      </c>
      <c r="I176" s="49">
        <f t="shared" si="54"/>
        <v>5300</v>
      </c>
      <c r="J176" s="24" t="s">
        <v>172</v>
      </c>
    </row>
    <row r="177" spans="1:11" s="137" customFormat="1" ht="20" customHeight="1">
      <c r="A177" s="12"/>
      <c r="B177" s="12" t="s">
        <v>178</v>
      </c>
      <c r="C177" s="13"/>
      <c r="D177" s="12"/>
      <c r="E177" s="13"/>
      <c r="F177" s="14">
        <f>SUM(F168:F176)</f>
        <v>8256</v>
      </c>
      <c r="G177" s="14"/>
      <c r="H177" s="14">
        <f t="shared" ref="H177" si="55">SUM(H168:H176)</f>
        <v>26300</v>
      </c>
      <c r="I177" s="14">
        <f>SUM(I168:I176)</f>
        <v>34556</v>
      </c>
      <c r="J177" s="13"/>
      <c r="K177" s="58">
        <f>H177+F177</f>
        <v>34556</v>
      </c>
    </row>
    <row r="178" spans="1:11" ht="20" customHeight="1">
      <c r="A178" s="198"/>
      <c r="B178" s="3" t="s">
        <v>227</v>
      </c>
      <c r="C178" s="4"/>
      <c r="D178" s="6"/>
      <c r="E178" s="4"/>
      <c r="F178" s="4"/>
      <c r="G178" s="4"/>
      <c r="H178" s="4"/>
      <c r="I178" s="48"/>
      <c r="J178" s="4"/>
    </row>
    <row r="179" spans="1:11" ht="20" customHeight="1">
      <c r="A179" s="198"/>
      <c r="B179" s="4" t="s">
        <v>173</v>
      </c>
      <c r="C179" s="5">
        <f>192/6</f>
        <v>32</v>
      </c>
      <c r="D179" s="6" t="s">
        <v>32</v>
      </c>
      <c r="E179" s="5">
        <v>250</v>
      </c>
      <c r="F179" s="5">
        <f>E179*C179</f>
        <v>8000</v>
      </c>
      <c r="G179" s="5">
        <v>150</v>
      </c>
      <c r="H179" s="5">
        <f>G179*C179</f>
        <v>4800</v>
      </c>
      <c r="I179" s="49">
        <f>H179+F179</f>
        <v>12800</v>
      </c>
      <c r="J179" s="4"/>
    </row>
    <row r="180" spans="1:11" ht="20" customHeight="1">
      <c r="A180" s="198"/>
      <c r="B180" s="4" t="s">
        <v>174</v>
      </c>
      <c r="C180" s="5">
        <f>24/6</f>
        <v>4</v>
      </c>
      <c r="D180" s="6" t="s">
        <v>32</v>
      </c>
      <c r="E180" s="5">
        <v>250</v>
      </c>
      <c r="F180" s="5">
        <f t="shared" ref="F180:F183" si="56">E180*C180</f>
        <v>1000</v>
      </c>
      <c r="G180" s="5">
        <v>150</v>
      </c>
      <c r="H180" s="5">
        <f t="shared" ref="H180:H183" si="57">G180*C180</f>
        <v>600</v>
      </c>
      <c r="I180" s="49">
        <f t="shared" ref="I180:I183" si="58">H180+F180</f>
        <v>1600</v>
      </c>
      <c r="J180" s="4"/>
    </row>
    <row r="181" spans="1:11" ht="20" customHeight="1">
      <c r="A181" s="198"/>
      <c r="B181" s="4" t="s">
        <v>175</v>
      </c>
      <c r="C181" s="5">
        <f>36/6</f>
        <v>6</v>
      </c>
      <c r="D181" s="6" t="s">
        <v>32</v>
      </c>
      <c r="E181" s="5">
        <v>300</v>
      </c>
      <c r="F181" s="5">
        <f t="shared" si="56"/>
        <v>1800</v>
      </c>
      <c r="G181" s="5">
        <v>150</v>
      </c>
      <c r="H181" s="5">
        <f t="shared" si="57"/>
        <v>900</v>
      </c>
      <c r="I181" s="49">
        <f t="shared" si="58"/>
        <v>2700</v>
      </c>
      <c r="J181" s="4"/>
    </row>
    <row r="182" spans="1:11" ht="20" customHeight="1">
      <c r="A182" s="198"/>
      <c r="B182" s="4" t="s">
        <v>265</v>
      </c>
      <c r="C182" s="5">
        <f>144/6</f>
        <v>24</v>
      </c>
      <c r="D182" s="6" t="s">
        <v>32</v>
      </c>
      <c r="E182" s="5">
        <v>250</v>
      </c>
      <c r="F182" s="5">
        <f t="shared" si="56"/>
        <v>6000</v>
      </c>
      <c r="G182" s="5">
        <v>170</v>
      </c>
      <c r="H182" s="5">
        <f t="shared" si="57"/>
        <v>4080</v>
      </c>
      <c r="I182" s="49">
        <f t="shared" si="58"/>
        <v>10080</v>
      </c>
      <c r="J182" s="4"/>
    </row>
    <row r="183" spans="1:11" ht="20" customHeight="1">
      <c r="A183" s="198"/>
      <c r="B183" s="4" t="s">
        <v>176</v>
      </c>
      <c r="C183" s="5">
        <f>144/6</f>
        <v>24</v>
      </c>
      <c r="D183" s="6" t="s">
        <v>32</v>
      </c>
      <c r="E183" s="5">
        <v>38</v>
      </c>
      <c r="F183" s="5">
        <f t="shared" si="56"/>
        <v>912</v>
      </c>
      <c r="G183" s="5">
        <v>1000</v>
      </c>
      <c r="H183" s="5">
        <f t="shared" si="57"/>
        <v>24000</v>
      </c>
      <c r="I183" s="49">
        <f t="shared" si="58"/>
        <v>24912</v>
      </c>
      <c r="J183" s="4"/>
    </row>
    <row r="184" spans="1:11" s="134" customFormat="1" ht="20" customHeight="1">
      <c r="A184" s="189"/>
      <c r="B184" s="12" t="s">
        <v>219</v>
      </c>
      <c r="C184" s="76"/>
      <c r="D184" s="189"/>
      <c r="E184" s="76"/>
      <c r="F184" s="14">
        <f>SUM(F179:F183)</f>
        <v>17712</v>
      </c>
      <c r="G184" s="14"/>
      <c r="H184" s="14">
        <f t="shared" ref="H184:I184" si="59">SUM(H179:H183)</f>
        <v>34380</v>
      </c>
      <c r="I184" s="14">
        <f t="shared" si="59"/>
        <v>52092</v>
      </c>
      <c r="J184" s="76"/>
      <c r="K184" s="58">
        <f>H184+F184</f>
        <v>52092</v>
      </c>
    </row>
    <row r="185" spans="1:11" ht="20" customHeight="1">
      <c r="A185" s="198"/>
      <c r="B185" s="3" t="s">
        <v>228</v>
      </c>
      <c r="C185" s="4"/>
      <c r="D185" s="6"/>
      <c r="E185" s="4"/>
      <c r="F185" s="74"/>
      <c r="G185" s="77"/>
      <c r="H185" s="74"/>
      <c r="I185" s="75"/>
      <c r="J185" s="4"/>
    </row>
    <row r="186" spans="1:11" ht="20" customHeight="1">
      <c r="A186" s="198"/>
      <c r="B186" s="4" t="s">
        <v>185</v>
      </c>
      <c r="C186" s="5">
        <v>93.16</v>
      </c>
      <c r="D186" s="6" t="s">
        <v>32</v>
      </c>
      <c r="E186" s="5">
        <v>60</v>
      </c>
      <c r="F186" s="5">
        <f>E186*C186</f>
        <v>5589.5999999999995</v>
      </c>
      <c r="G186" s="5">
        <v>25</v>
      </c>
      <c r="H186" s="5">
        <f>G186*C186</f>
        <v>2329</v>
      </c>
      <c r="I186" s="49">
        <f>H186+F186</f>
        <v>7918.5999999999995</v>
      </c>
      <c r="J186" s="4"/>
    </row>
    <row r="187" spans="1:11" ht="20" customHeight="1">
      <c r="A187" s="198"/>
      <c r="B187" s="4" t="s">
        <v>186</v>
      </c>
      <c r="C187" s="5">
        <v>111</v>
      </c>
      <c r="D187" s="6" t="s">
        <v>32</v>
      </c>
      <c r="E187" s="5">
        <v>60</v>
      </c>
      <c r="F187" s="5">
        <f t="shared" ref="F187:F199" si="60">E187*C187</f>
        <v>6660</v>
      </c>
      <c r="G187" s="5">
        <v>25</v>
      </c>
      <c r="H187" s="5">
        <f t="shared" ref="H187:H199" si="61">G187*C187</f>
        <v>2775</v>
      </c>
      <c r="I187" s="49">
        <f t="shared" ref="I187:I199" si="62">H187+F187</f>
        <v>9435</v>
      </c>
      <c r="J187" s="4"/>
    </row>
    <row r="188" spans="1:11" ht="20" customHeight="1">
      <c r="A188" s="198"/>
      <c r="B188" s="4" t="s">
        <v>187</v>
      </c>
      <c r="C188" s="5">
        <v>46.28</v>
      </c>
      <c r="D188" s="6" t="s">
        <v>32</v>
      </c>
      <c r="E188" s="5">
        <v>45</v>
      </c>
      <c r="F188" s="5">
        <f t="shared" si="60"/>
        <v>2082.6</v>
      </c>
      <c r="G188" s="5">
        <v>25</v>
      </c>
      <c r="H188" s="5">
        <f t="shared" si="61"/>
        <v>1157</v>
      </c>
      <c r="I188" s="49">
        <f t="shared" si="62"/>
        <v>3239.6</v>
      </c>
      <c r="J188" s="4"/>
    </row>
    <row r="189" spans="1:11" ht="20" customHeight="1">
      <c r="A189" s="198"/>
      <c r="B189" s="4" t="s">
        <v>188</v>
      </c>
      <c r="C189" s="5">
        <v>7.5</v>
      </c>
      <c r="D189" s="6" t="s">
        <v>32</v>
      </c>
      <c r="E189" s="5">
        <v>45</v>
      </c>
      <c r="F189" s="5">
        <f t="shared" si="60"/>
        <v>337.5</v>
      </c>
      <c r="G189" s="5">
        <v>25</v>
      </c>
      <c r="H189" s="5">
        <f t="shared" si="61"/>
        <v>187.5</v>
      </c>
      <c r="I189" s="49">
        <f t="shared" si="62"/>
        <v>525</v>
      </c>
      <c r="J189" s="4"/>
    </row>
    <row r="190" spans="1:11" ht="20" customHeight="1">
      <c r="A190" s="198"/>
      <c r="B190" s="4" t="s">
        <v>249</v>
      </c>
      <c r="C190" s="5">
        <v>27</v>
      </c>
      <c r="D190" s="6" t="s">
        <v>32</v>
      </c>
      <c r="E190" s="5">
        <v>45</v>
      </c>
      <c r="F190" s="5">
        <f t="shared" si="60"/>
        <v>1215</v>
      </c>
      <c r="G190" s="5">
        <v>25</v>
      </c>
      <c r="H190" s="5">
        <f t="shared" si="61"/>
        <v>675</v>
      </c>
      <c r="I190" s="49">
        <f t="shared" si="62"/>
        <v>1890</v>
      </c>
      <c r="J190" s="4"/>
    </row>
    <row r="191" spans="1:11" ht="20" customHeight="1">
      <c r="A191" s="198"/>
      <c r="B191" s="4" t="s">
        <v>250</v>
      </c>
      <c r="C191" s="5">
        <v>25.62</v>
      </c>
      <c r="D191" s="6" t="s">
        <v>32</v>
      </c>
      <c r="E191" s="5">
        <v>45</v>
      </c>
      <c r="F191" s="5">
        <f t="shared" si="60"/>
        <v>1152.9000000000001</v>
      </c>
      <c r="G191" s="5">
        <v>25</v>
      </c>
      <c r="H191" s="5">
        <f t="shared" si="61"/>
        <v>640.5</v>
      </c>
      <c r="I191" s="49">
        <f t="shared" si="62"/>
        <v>1793.4</v>
      </c>
      <c r="J191" s="4"/>
    </row>
    <row r="192" spans="1:11" ht="20" customHeight="1">
      <c r="A192" s="198"/>
      <c r="B192" s="4" t="s">
        <v>248</v>
      </c>
      <c r="C192" s="5">
        <v>5</v>
      </c>
      <c r="D192" s="6" t="s">
        <v>32</v>
      </c>
      <c r="E192" s="5">
        <v>45</v>
      </c>
      <c r="F192" s="5">
        <f t="shared" si="60"/>
        <v>225</v>
      </c>
      <c r="G192" s="5">
        <v>25</v>
      </c>
      <c r="H192" s="5">
        <f t="shared" si="61"/>
        <v>125</v>
      </c>
      <c r="I192" s="49">
        <f t="shared" si="62"/>
        <v>350</v>
      </c>
      <c r="J192" s="4"/>
    </row>
    <row r="193" spans="1:11" ht="20" customHeight="1">
      <c r="A193" s="198"/>
      <c r="B193" s="78" t="s">
        <v>269</v>
      </c>
      <c r="C193" s="79">
        <v>4.47</v>
      </c>
      <c r="D193" s="6" t="s">
        <v>32</v>
      </c>
      <c r="E193" s="5">
        <v>45</v>
      </c>
      <c r="F193" s="5">
        <f t="shared" si="60"/>
        <v>201.14999999999998</v>
      </c>
      <c r="G193" s="5">
        <v>25</v>
      </c>
      <c r="H193" s="5">
        <f t="shared" si="61"/>
        <v>111.75</v>
      </c>
      <c r="I193" s="49">
        <f t="shared" si="62"/>
        <v>312.89999999999998</v>
      </c>
      <c r="J193" s="4"/>
    </row>
    <row r="194" spans="1:11" ht="20" customHeight="1">
      <c r="A194" s="198"/>
      <c r="B194" s="78" t="s">
        <v>270</v>
      </c>
      <c r="C194" s="79">
        <v>8</v>
      </c>
      <c r="D194" s="6" t="s">
        <v>32</v>
      </c>
      <c r="E194" s="5">
        <v>45</v>
      </c>
      <c r="F194" s="5">
        <f t="shared" si="60"/>
        <v>360</v>
      </c>
      <c r="G194" s="5">
        <v>25</v>
      </c>
      <c r="H194" s="5">
        <f t="shared" si="61"/>
        <v>200</v>
      </c>
      <c r="I194" s="49">
        <f t="shared" si="62"/>
        <v>560</v>
      </c>
      <c r="J194" s="4"/>
    </row>
    <row r="195" spans="1:11" ht="20" customHeight="1">
      <c r="A195" s="198"/>
      <c r="B195" s="4" t="s">
        <v>251</v>
      </c>
      <c r="C195" s="5">
        <v>5</v>
      </c>
      <c r="D195" s="6" t="s">
        <v>32</v>
      </c>
      <c r="E195" s="5">
        <v>45</v>
      </c>
      <c r="F195" s="5">
        <f t="shared" si="60"/>
        <v>225</v>
      </c>
      <c r="G195" s="5">
        <v>25</v>
      </c>
      <c r="H195" s="5">
        <f t="shared" si="61"/>
        <v>125</v>
      </c>
      <c r="I195" s="49">
        <f t="shared" si="62"/>
        <v>350</v>
      </c>
      <c r="J195" s="4"/>
    </row>
    <row r="196" spans="1:11" ht="20" customHeight="1">
      <c r="A196" s="198"/>
      <c r="B196" s="4" t="s">
        <v>252</v>
      </c>
      <c r="C196" s="5">
        <v>6.24</v>
      </c>
      <c r="D196" s="6" t="s">
        <v>32</v>
      </c>
      <c r="E196" s="5">
        <v>45</v>
      </c>
      <c r="F196" s="5">
        <f t="shared" si="60"/>
        <v>280.8</v>
      </c>
      <c r="G196" s="5">
        <v>25</v>
      </c>
      <c r="H196" s="5">
        <f t="shared" si="61"/>
        <v>156</v>
      </c>
      <c r="I196" s="49">
        <f t="shared" si="62"/>
        <v>436.8</v>
      </c>
      <c r="J196" s="4"/>
    </row>
    <row r="197" spans="1:11" ht="20" customHeight="1">
      <c r="A197" s="198"/>
      <c r="B197" s="4" t="s">
        <v>253</v>
      </c>
      <c r="C197" s="5">
        <v>1</v>
      </c>
      <c r="D197" s="6" t="s">
        <v>254</v>
      </c>
      <c r="E197" s="5">
        <v>0</v>
      </c>
      <c r="F197" s="5">
        <f t="shared" si="60"/>
        <v>0</v>
      </c>
      <c r="G197" s="5">
        <v>2000</v>
      </c>
      <c r="H197" s="5">
        <f t="shared" si="61"/>
        <v>2000</v>
      </c>
      <c r="I197" s="49">
        <f t="shared" si="62"/>
        <v>2000</v>
      </c>
      <c r="J197" s="4"/>
    </row>
    <row r="198" spans="1:11" ht="20" customHeight="1">
      <c r="A198" s="198"/>
      <c r="B198" s="4" t="s">
        <v>189</v>
      </c>
      <c r="C198" s="5">
        <v>226.08</v>
      </c>
      <c r="D198" s="6" t="s">
        <v>32</v>
      </c>
      <c r="E198" s="5">
        <v>15</v>
      </c>
      <c r="F198" s="5">
        <f t="shared" si="60"/>
        <v>3391.2000000000003</v>
      </c>
      <c r="G198" s="5">
        <v>20</v>
      </c>
      <c r="H198" s="5">
        <f t="shared" si="61"/>
        <v>4521.6000000000004</v>
      </c>
      <c r="I198" s="49">
        <f t="shared" si="62"/>
        <v>7912.8000000000011</v>
      </c>
      <c r="J198" s="4"/>
    </row>
    <row r="199" spans="1:11" ht="20" customHeight="1">
      <c r="A199" s="198"/>
      <c r="B199" s="4" t="s">
        <v>190</v>
      </c>
      <c r="C199" s="5">
        <v>1</v>
      </c>
      <c r="D199" s="6" t="s">
        <v>136</v>
      </c>
      <c r="E199" s="5">
        <v>0</v>
      </c>
      <c r="F199" s="5">
        <f t="shared" si="60"/>
        <v>0</v>
      </c>
      <c r="G199" s="5">
        <v>100</v>
      </c>
      <c r="H199" s="5">
        <f t="shared" si="61"/>
        <v>100</v>
      </c>
      <c r="I199" s="49">
        <f t="shared" si="62"/>
        <v>100</v>
      </c>
      <c r="J199" s="4"/>
    </row>
    <row r="200" spans="1:11" s="134" customFormat="1" ht="20" customHeight="1">
      <c r="A200" s="189"/>
      <c r="B200" s="12" t="s">
        <v>220</v>
      </c>
      <c r="C200" s="76"/>
      <c r="D200" s="189"/>
      <c r="E200" s="76"/>
      <c r="F200" s="14">
        <f>SUM(F186:F199)</f>
        <v>21720.75</v>
      </c>
      <c r="G200" s="14"/>
      <c r="H200" s="14">
        <f t="shared" ref="H200:I200" si="63">SUM(H186:H199)</f>
        <v>15103.35</v>
      </c>
      <c r="I200" s="14">
        <f t="shared" si="63"/>
        <v>36824.1</v>
      </c>
      <c r="J200" s="76"/>
      <c r="K200" s="58">
        <f>H200+F200</f>
        <v>36824.1</v>
      </c>
    </row>
    <row r="201" spans="1:11" ht="20" customHeight="1">
      <c r="A201" s="198"/>
      <c r="B201" s="3" t="s">
        <v>229</v>
      </c>
      <c r="C201" s="4"/>
      <c r="D201" s="6"/>
      <c r="E201" s="4"/>
      <c r="F201" s="4"/>
      <c r="G201" s="4"/>
      <c r="H201" s="4"/>
      <c r="I201" s="48"/>
      <c r="J201" s="4"/>
    </row>
    <row r="202" spans="1:11" ht="20" customHeight="1">
      <c r="A202" s="198"/>
      <c r="B202" s="4" t="s">
        <v>52</v>
      </c>
      <c r="C202" s="5">
        <f>48/6</f>
        <v>8</v>
      </c>
      <c r="D202" s="6" t="s">
        <v>53</v>
      </c>
      <c r="E202" s="11">
        <v>225</v>
      </c>
      <c r="F202" s="5">
        <f>E202*C202</f>
        <v>1800</v>
      </c>
      <c r="G202" s="70">
        <v>0</v>
      </c>
      <c r="H202" s="70">
        <f>G202*C202</f>
        <v>0</v>
      </c>
      <c r="I202" s="49">
        <f>H202+F202</f>
        <v>1800</v>
      </c>
      <c r="J202" s="4"/>
    </row>
    <row r="203" spans="1:11" ht="20" customHeight="1">
      <c r="A203" s="198"/>
      <c r="B203" s="4" t="s">
        <v>179</v>
      </c>
      <c r="C203" s="5">
        <f>48/6</f>
        <v>8</v>
      </c>
      <c r="D203" s="6" t="s">
        <v>141</v>
      </c>
      <c r="E203" s="11">
        <v>25</v>
      </c>
      <c r="F203" s="5">
        <f t="shared" ref="F203:F213" si="64">E203*C203</f>
        <v>200</v>
      </c>
      <c r="G203" s="70">
        <v>0</v>
      </c>
      <c r="H203" s="70">
        <f t="shared" ref="H203:H213" si="65">G203*C203</f>
        <v>0</v>
      </c>
      <c r="I203" s="49">
        <f t="shared" ref="I203:I213" si="66">H203+F203</f>
        <v>200</v>
      </c>
      <c r="J203" s="4"/>
    </row>
    <row r="204" spans="1:11" ht="20" customHeight="1">
      <c r="A204" s="198"/>
      <c r="B204" s="4" t="s">
        <v>180</v>
      </c>
      <c r="C204" s="5">
        <f>12/6</f>
        <v>2</v>
      </c>
      <c r="D204" s="6" t="s">
        <v>141</v>
      </c>
      <c r="E204" s="11">
        <v>99</v>
      </c>
      <c r="F204" s="5">
        <f t="shared" si="64"/>
        <v>198</v>
      </c>
      <c r="G204" s="70">
        <v>0</v>
      </c>
      <c r="H204" s="70">
        <f t="shared" si="65"/>
        <v>0</v>
      </c>
      <c r="I204" s="49">
        <f t="shared" si="66"/>
        <v>198</v>
      </c>
      <c r="J204" s="4"/>
    </row>
    <row r="205" spans="1:11" ht="20" customHeight="1">
      <c r="A205" s="198"/>
      <c r="B205" s="4" t="s">
        <v>181</v>
      </c>
      <c r="C205" s="5">
        <f>12/6</f>
        <v>2</v>
      </c>
      <c r="D205" s="6" t="s">
        <v>141</v>
      </c>
      <c r="E205" s="11">
        <v>99</v>
      </c>
      <c r="F205" s="5">
        <f t="shared" si="64"/>
        <v>198</v>
      </c>
      <c r="G205" s="70">
        <v>0</v>
      </c>
      <c r="H205" s="70">
        <f t="shared" si="65"/>
        <v>0</v>
      </c>
      <c r="I205" s="49">
        <f t="shared" si="66"/>
        <v>198</v>
      </c>
      <c r="J205" s="4"/>
    </row>
    <row r="206" spans="1:11" ht="20" customHeight="1">
      <c r="A206" s="198"/>
      <c r="B206" s="4" t="s">
        <v>182</v>
      </c>
      <c r="C206" s="5">
        <f>1/6</f>
        <v>0.16666666666666666</v>
      </c>
      <c r="D206" s="6" t="s">
        <v>53</v>
      </c>
      <c r="E206" s="11">
        <v>335</v>
      </c>
      <c r="F206" s="5">
        <f t="shared" si="64"/>
        <v>55.833333333333329</v>
      </c>
      <c r="G206" s="70">
        <v>0</v>
      </c>
      <c r="H206" s="70">
        <f t="shared" si="65"/>
        <v>0</v>
      </c>
      <c r="I206" s="49">
        <f t="shared" si="66"/>
        <v>55.833333333333329</v>
      </c>
      <c r="J206" s="4"/>
    </row>
    <row r="207" spans="1:11" ht="20" customHeight="1">
      <c r="A207" s="6"/>
      <c r="B207" s="4" t="s">
        <v>63</v>
      </c>
      <c r="C207" s="5">
        <f>1/6</f>
        <v>0.16666666666666666</v>
      </c>
      <c r="D207" s="6" t="s">
        <v>64</v>
      </c>
      <c r="E207" s="5">
        <v>1240</v>
      </c>
      <c r="F207" s="5">
        <f t="shared" si="64"/>
        <v>206.66666666666666</v>
      </c>
      <c r="G207" s="70">
        <v>0</v>
      </c>
      <c r="H207" s="70">
        <f t="shared" si="65"/>
        <v>0</v>
      </c>
      <c r="I207" s="49">
        <f t="shared" si="66"/>
        <v>206.66666666666666</v>
      </c>
      <c r="J207" s="4"/>
    </row>
    <row r="208" spans="1:11" ht="20" customHeight="1">
      <c r="A208" s="198"/>
      <c r="B208" s="4" t="s">
        <v>65</v>
      </c>
      <c r="C208" s="5">
        <f>2/6</f>
        <v>0.33333333333333331</v>
      </c>
      <c r="D208" s="6" t="s">
        <v>66</v>
      </c>
      <c r="E208" s="11">
        <v>1089</v>
      </c>
      <c r="F208" s="5">
        <f t="shared" si="64"/>
        <v>363</v>
      </c>
      <c r="G208" s="70">
        <v>0</v>
      </c>
      <c r="H208" s="70">
        <f t="shared" si="65"/>
        <v>0</v>
      </c>
      <c r="I208" s="49">
        <f t="shared" si="66"/>
        <v>363</v>
      </c>
      <c r="J208" s="4"/>
    </row>
    <row r="209" spans="1:11" ht="20" customHeight="1">
      <c r="A209" s="198"/>
      <c r="B209" s="4" t="s">
        <v>68</v>
      </c>
      <c r="C209" s="5">
        <v>0.17</v>
      </c>
      <c r="D209" s="6" t="s">
        <v>64</v>
      </c>
      <c r="E209" s="5">
        <v>1595</v>
      </c>
      <c r="F209" s="5">
        <f t="shared" si="64"/>
        <v>271.15000000000003</v>
      </c>
      <c r="G209" s="70">
        <v>0</v>
      </c>
      <c r="H209" s="70">
        <f t="shared" si="65"/>
        <v>0</v>
      </c>
      <c r="I209" s="49">
        <f t="shared" si="66"/>
        <v>271.15000000000003</v>
      </c>
      <c r="J209" s="4"/>
    </row>
    <row r="210" spans="1:11" ht="20" customHeight="1">
      <c r="A210" s="198"/>
      <c r="B210" s="4" t="s">
        <v>67</v>
      </c>
      <c r="C210" s="5">
        <f>4/6</f>
        <v>0.66666666666666663</v>
      </c>
      <c r="D210" s="6" t="s">
        <v>66</v>
      </c>
      <c r="E210" s="11">
        <v>389</v>
      </c>
      <c r="F210" s="5">
        <f t="shared" si="64"/>
        <v>259.33333333333331</v>
      </c>
      <c r="G210" s="70">
        <v>0</v>
      </c>
      <c r="H210" s="70">
        <f t="shared" si="65"/>
        <v>0</v>
      </c>
      <c r="I210" s="49">
        <f t="shared" si="66"/>
        <v>259.33333333333331</v>
      </c>
      <c r="J210" s="4"/>
    </row>
    <row r="211" spans="1:11" ht="20" customHeight="1">
      <c r="A211" s="198"/>
      <c r="B211" s="4" t="s">
        <v>183</v>
      </c>
      <c r="C211" s="5">
        <v>0.17</v>
      </c>
      <c r="D211" s="6" t="s">
        <v>125</v>
      </c>
      <c r="E211" s="5">
        <v>357</v>
      </c>
      <c r="F211" s="5">
        <f t="shared" si="64"/>
        <v>60.690000000000005</v>
      </c>
      <c r="G211" s="70">
        <v>0</v>
      </c>
      <c r="H211" s="70">
        <f t="shared" si="65"/>
        <v>0</v>
      </c>
      <c r="I211" s="49">
        <f t="shared" si="66"/>
        <v>60.690000000000005</v>
      </c>
      <c r="J211" s="4"/>
    </row>
    <row r="212" spans="1:11" ht="20" customHeight="1">
      <c r="A212" s="198"/>
      <c r="B212" s="4" t="s">
        <v>184</v>
      </c>
      <c r="C212" s="5">
        <v>0.17</v>
      </c>
      <c r="D212" s="6" t="s">
        <v>125</v>
      </c>
      <c r="E212" s="5">
        <v>329</v>
      </c>
      <c r="F212" s="5">
        <f t="shared" si="64"/>
        <v>55.930000000000007</v>
      </c>
      <c r="G212" s="70">
        <v>0</v>
      </c>
      <c r="H212" s="70">
        <f t="shared" si="65"/>
        <v>0</v>
      </c>
      <c r="I212" s="49">
        <f t="shared" si="66"/>
        <v>55.930000000000007</v>
      </c>
      <c r="J212" s="4"/>
    </row>
    <row r="213" spans="1:11" ht="20" customHeight="1">
      <c r="A213" s="198"/>
      <c r="B213" s="4" t="s">
        <v>272</v>
      </c>
      <c r="C213" s="5">
        <v>1</v>
      </c>
      <c r="D213" s="6" t="s">
        <v>264</v>
      </c>
      <c r="E213" s="5">
        <v>0</v>
      </c>
      <c r="F213" s="5">
        <f t="shared" si="64"/>
        <v>0</v>
      </c>
      <c r="G213" s="70">
        <v>1600</v>
      </c>
      <c r="H213" s="70">
        <f t="shared" si="65"/>
        <v>1600</v>
      </c>
      <c r="I213" s="49">
        <f t="shared" si="66"/>
        <v>1600</v>
      </c>
      <c r="J213" s="4"/>
    </row>
    <row r="214" spans="1:11" s="134" customFormat="1" ht="20" customHeight="1">
      <c r="A214" s="189"/>
      <c r="B214" s="12" t="s">
        <v>230</v>
      </c>
      <c r="C214" s="76"/>
      <c r="D214" s="189"/>
      <c r="E214" s="76"/>
      <c r="F214" s="14">
        <f>SUM(F202:F213)</f>
        <v>3668.6033333333335</v>
      </c>
      <c r="G214" s="14"/>
      <c r="H214" s="14">
        <f t="shared" ref="H214:I214" si="67">SUM(H202:H213)</f>
        <v>1600</v>
      </c>
      <c r="I214" s="14">
        <f t="shared" si="67"/>
        <v>5268.6033333333335</v>
      </c>
      <c r="J214" s="76"/>
      <c r="K214" s="58">
        <f>H214+F214</f>
        <v>5268.6033333333335</v>
      </c>
    </row>
    <row r="215" spans="1:11" s="84" customFormat="1" ht="20" customHeight="1">
      <c r="A215" s="204">
        <v>2</v>
      </c>
      <c r="B215" s="81" t="s">
        <v>109</v>
      </c>
      <c r="C215" s="80"/>
      <c r="D215" s="81" t="s">
        <v>11</v>
      </c>
      <c r="E215" s="82"/>
      <c r="F215" s="82">
        <f>F96+F100+F111+F115+F122+F137+F146+F166+F177+F184+F200+F214</f>
        <v>107661.12442867717</v>
      </c>
      <c r="G215" s="82"/>
      <c r="H215" s="82">
        <f t="shared" ref="H215:I215" si="68">H96+H100+H111+H115+H122+H137+H146+H166+H177+H184+H200+H214</f>
        <v>127962.35</v>
      </c>
      <c r="I215" s="82">
        <f t="shared" si="68"/>
        <v>235623.47442867717</v>
      </c>
      <c r="J215" s="83"/>
      <c r="K215" s="58">
        <f>H215+F215</f>
        <v>235623.47442867717</v>
      </c>
    </row>
    <row r="216" spans="1:11" s="90" customFormat="1" ht="20" customHeight="1" thickBot="1">
      <c r="A216" s="205"/>
      <c r="B216" s="87"/>
      <c r="C216" s="86"/>
      <c r="D216" s="87"/>
      <c r="E216" s="88"/>
      <c r="F216" s="88"/>
      <c r="G216" s="88"/>
      <c r="H216" s="88"/>
      <c r="I216" s="88"/>
      <c r="J216" s="89"/>
      <c r="K216" s="65"/>
    </row>
    <row r="217" spans="1:11" s="96" customFormat="1" ht="20" customHeight="1" thickTop="1">
      <c r="A217" s="206">
        <v>3</v>
      </c>
      <c r="B217" s="92" t="s">
        <v>191</v>
      </c>
      <c r="C217" s="93"/>
      <c r="D217" s="190"/>
      <c r="E217" s="93"/>
      <c r="F217" s="93"/>
      <c r="G217" s="93"/>
      <c r="H217" s="93"/>
      <c r="I217" s="94"/>
      <c r="J217" s="93"/>
      <c r="K217" s="95"/>
    </row>
    <row r="218" spans="1:11" ht="20" customHeight="1">
      <c r="A218" s="198"/>
      <c r="B218" s="3" t="s">
        <v>192</v>
      </c>
      <c r="C218" s="4"/>
      <c r="D218" s="6"/>
      <c r="E218" s="4"/>
      <c r="F218" s="4"/>
      <c r="G218" s="4"/>
      <c r="H218" s="4"/>
      <c r="I218" s="48"/>
      <c r="J218" s="4"/>
    </row>
    <row r="219" spans="1:11" ht="20" customHeight="1">
      <c r="A219" s="198"/>
      <c r="B219" s="4" t="s">
        <v>207</v>
      </c>
      <c r="C219" s="5">
        <f>90/6</f>
        <v>15</v>
      </c>
      <c r="D219" s="6" t="s">
        <v>141</v>
      </c>
      <c r="E219" s="5">
        <v>31</v>
      </c>
      <c r="F219" s="5">
        <f>E219*C219</f>
        <v>465</v>
      </c>
      <c r="G219" s="33">
        <v>0</v>
      </c>
      <c r="H219" s="98">
        <f>C219*G219</f>
        <v>0</v>
      </c>
      <c r="I219" s="49">
        <f>H219+F219</f>
        <v>465</v>
      </c>
      <c r="J219" s="4"/>
    </row>
    <row r="220" spans="1:11" ht="20" customHeight="1">
      <c r="A220" s="198"/>
      <c r="B220" s="4" t="s">
        <v>242</v>
      </c>
      <c r="C220" s="5">
        <f>96/6</f>
        <v>16</v>
      </c>
      <c r="D220" s="6" t="s">
        <v>141</v>
      </c>
      <c r="E220" s="5">
        <v>65</v>
      </c>
      <c r="F220" s="5">
        <f t="shared" ref="F220:F223" si="69">E220*C220</f>
        <v>1040</v>
      </c>
      <c r="G220" s="33">
        <v>0</v>
      </c>
      <c r="H220" s="98">
        <f t="shared" ref="H220:H223" si="70">C220*G220</f>
        <v>0</v>
      </c>
      <c r="I220" s="49">
        <f t="shared" ref="I220:I223" si="71">H220+F220</f>
        <v>1040</v>
      </c>
      <c r="J220" s="4"/>
    </row>
    <row r="221" spans="1:11" ht="20" customHeight="1">
      <c r="A221" s="198"/>
      <c r="B221" s="4" t="s">
        <v>208</v>
      </c>
      <c r="C221" s="5">
        <v>1</v>
      </c>
      <c r="D221" s="6" t="s">
        <v>141</v>
      </c>
      <c r="E221" s="5">
        <v>109</v>
      </c>
      <c r="F221" s="5">
        <f t="shared" si="69"/>
        <v>109</v>
      </c>
      <c r="G221" s="33">
        <v>0</v>
      </c>
      <c r="H221" s="98">
        <f t="shared" si="70"/>
        <v>0</v>
      </c>
      <c r="I221" s="49">
        <f t="shared" si="71"/>
        <v>109</v>
      </c>
      <c r="J221" s="4"/>
    </row>
    <row r="222" spans="1:11" ht="20" customHeight="1">
      <c r="A222" s="6"/>
      <c r="B222" s="4" t="s">
        <v>209</v>
      </c>
      <c r="C222" s="5">
        <v>1</v>
      </c>
      <c r="D222" s="6" t="s">
        <v>141</v>
      </c>
      <c r="E222" s="5">
        <v>349</v>
      </c>
      <c r="F222" s="5">
        <f t="shared" si="69"/>
        <v>349</v>
      </c>
      <c r="G222" s="33">
        <v>0</v>
      </c>
      <c r="H222" s="98">
        <f t="shared" si="70"/>
        <v>0</v>
      </c>
      <c r="I222" s="49">
        <f t="shared" si="71"/>
        <v>349</v>
      </c>
      <c r="J222" s="4"/>
    </row>
    <row r="223" spans="1:11" ht="20" customHeight="1">
      <c r="A223" s="6"/>
      <c r="B223" s="4" t="s">
        <v>193</v>
      </c>
      <c r="C223" s="5">
        <v>1</v>
      </c>
      <c r="D223" s="6" t="s">
        <v>141</v>
      </c>
      <c r="E223" s="5">
        <v>0</v>
      </c>
      <c r="F223" s="5">
        <f t="shared" si="69"/>
        <v>0</v>
      </c>
      <c r="G223" s="33">
        <v>0</v>
      </c>
      <c r="H223" s="98">
        <f t="shared" si="70"/>
        <v>0</v>
      </c>
      <c r="I223" s="49">
        <f t="shared" si="71"/>
        <v>0</v>
      </c>
      <c r="J223" s="4"/>
    </row>
    <row r="224" spans="1:11" ht="20" customHeight="1">
      <c r="A224" s="99"/>
      <c r="B224" s="99" t="s">
        <v>200</v>
      </c>
      <c r="C224" s="21"/>
      <c r="D224" s="99"/>
      <c r="E224" s="21"/>
      <c r="F224" s="21">
        <f>SUM(F219:F223)</f>
        <v>1963</v>
      </c>
      <c r="G224" s="21"/>
      <c r="H224" s="21">
        <f t="shared" ref="H224:I224" si="72">SUM(H219:H223)</f>
        <v>0</v>
      </c>
      <c r="I224" s="21">
        <f t="shared" si="72"/>
        <v>1963</v>
      </c>
      <c r="J224" s="100"/>
      <c r="K224" s="58">
        <f>H224+F224</f>
        <v>1963</v>
      </c>
    </row>
    <row r="225" spans="1:11" ht="20" customHeight="1">
      <c r="A225" s="198"/>
      <c r="B225" s="3" t="s">
        <v>201</v>
      </c>
      <c r="C225" s="4"/>
      <c r="D225" s="6"/>
      <c r="E225" s="5"/>
      <c r="F225" s="5"/>
      <c r="G225" s="33"/>
      <c r="H225" s="98"/>
      <c r="I225" s="49"/>
      <c r="J225" s="4"/>
    </row>
    <row r="226" spans="1:11" ht="20" customHeight="1">
      <c r="A226" s="198"/>
      <c r="B226" s="4" t="s">
        <v>232</v>
      </c>
      <c r="C226" s="5">
        <v>3</v>
      </c>
      <c r="D226" s="6" t="s">
        <v>141</v>
      </c>
      <c r="E226" s="5">
        <v>0</v>
      </c>
      <c r="F226" s="5">
        <f>E226*C226</f>
        <v>0</v>
      </c>
      <c r="G226" s="33">
        <v>0</v>
      </c>
      <c r="H226" s="98">
        <f>C226*G226</f>
        <v>0</v>
      </c>
      <c r="I226" s="49">
        <f>H226+F226</f>
        <v>0</v>
      </c>
      <c r="J226" s="4"/>
    </row>
    <row r="227" spans="1:11" ht="20" customHeight="1">
      <c r="A227" s="198"/>
      <c r="B227" s="4" t="s">
        <v>233</v>
      </c>
      <c r="C227" s="5">
        <v>3</v>
      </c>
      <c r="D227" s="6" t="s">
        <v>141</v>
      </c>
      <c r="E227" s="5">
        <v>0</v>
      </c>
      <c r="F227" s="5">
        <f t="shared" ref="F227:F231" si="73">E227*C227</f>
        <v>0</v>
      </c>
      <c r="G227" s="33">
        <v>0</v>
      </c>
      <c r="H227" s="98">
        <f t="shared" ref="H227:H231" si="74">C227*G227</f>
        <v>0</v>
      </c>
      <c r="I227" s="49">
        <f t="shared" ref="I227:I231" si="75">H227+F227</f>
        <v>0</v>
      </c>
      <c r="J227" s="4"/>
    </row>
    <row r="228" spans="1:11" ht="20" customHeight="1">
      <c r="A228" s="198"/>
      <c r="B228" s="4" t="s">
        <v>234</v>
      </c>
      <c r="C228" s="5">
        <v>2</v>
      </c>
      <c r="D228" s="6" t="s">
        <v>141</v>
      </c>
      <c r="E228" s="5">
        <v>0</v>
      </c>
      <c r="F228" s="5">
        <f t="shared" si="73"/>
        <v>0</v>
      </c>
      <c r="G228" s="33">
        <v>0</v>
      </c>
      <c r="H228" s="98">
        <f t="shared" si="74"/>
        <v>0</v>
      </c>
      <c r="I228" s="49">
        <f t="shared" si="75"/>
        <v>0</v>
      </c>
      <c r="J228" s="4"/>
    </row>
    <row r="229" spans="1:11" ht="20" customHeight="1">
      <c r="A229" s="6"/>
      <c r="B229" s="4" t="s">
        <v>194</v>
      </c>
      <c r="C229" s="5">
        <f>66/6</f>
        <v>11</v>
      </c>
      <c r="D229" s="6" t="s">
        <v>141</v>
      </c>
      <c r="E229" s="5">
        <v>0</v>
      </c>
      <c r="F229" s="5">
        <f t="shared" si="73"/>
        <v>0</v>
      </c>
      <c r="G229" s="33">
        <v>0</v>
      </c>
      <c r="H229" s="98">
        <f t="shared" si="74"/>
        <v>0</v>
      </c>
      <c r="I229" s="49">
        <f t="shared" si="75"/>
        <v>0</v>
      </c>
      <c r="J229" s="4"/>
    </row>
    <row r="230" spans="1:11" ht="20" customHeight="1">
      <c r="A230" s="6"/>
      <c r="B230" s="4" t="s">
        <v>195</v>
      </c>
      <c r="C230" s="5">
        <f>18/6</f>
        <v>3</v>
      </c>
      <c r="D230" s="6" t="s">
        <v>141</v>
      </c>
      <c r="E230" s="5">
        <v>0</v>
      </c>
      <c r="F230" s="5">
        <f t="shared" si="73"/>
        <v>0</v>
      </c>
      <c r="G230" s="33">
        <v>0</v>
      </c>
      <c r="H230" s="98">
        <f t="shared" si="74"/>
        <v>0</v>
      </c>
      <c r="I230" s="49">
        <f t="shared" si="75"/>
        <v>0</v>
      </c>
      <c r="J230" s="4"/>
    </row>
    <row r="231" spans="1:11" ht="20" customHeight="1">
      <c r="A231" s="6"/>
      <c r="B231" s="4" t="s">
        <v>196</v>
      </c>
      <c r="C231" s="5">
        <f>6/6</f>
        <v>1</v>
      </c>
      <c r="D231" s="6" t="s">
        <v>141</v>
      </c>
      <c r="E231" s="5">
        <v>0</v>
      </c>
      <c r="F231" s="5">
        <f t="shared" si="73"/>
        <v>0</v>
      </c>
      <c r="G231" s="33">
        <v>0</v>
      </c>
      <c r="H231" s="98">
        <f t="shared" si="74"/>
        <v>0</v>
      </c>
      <c r="I231" s="49">
        <f t="shared" si="75"/>
        <v>0</v>
      </c>
      <c r="J231" s="4"/>
    </row>
    <row r="232" spans="1:11" ht="20" customHeight="1">
      <c r="A232" s="99"/>
      <c r="B232" s="99" t="s">
        <v>202</v>
      </c>
      <c r="C232" s="21"/>
      <c r="D232" s="99"/>
      <c r="E232" s="21"/>
      <c r="F232" s="21">
        <f>SUM(F225:F231)</f>
        <v>0</v>
      </c>
      <c r="G232" s="21"/>
      <c r="H232" s="21">
        <f t="shared" ref="H232:I232" si="76">SUM(H225:H231)</f>
        <v>0</v>
      </c>
      <c r="I232" s="21">
        <f t="shared" si="76"/>
        <v>0</v>
      </c>
      <c r="J232" s="100"/>
      <c r="K232" s="58">
        <f>H232+F232</f>
        <v>0</v>
      </c>
    </row>
    <row r="233" spans="1:11" ht="20" customHeight="1">
      <c r="A233" s="198"/>
      <c r="B233" s="3" t="s">
        <v>203</v>
      </c>
      <c r="C233" s="4"/>
      <c r="D233" s="6"/>
      <c r="E233" s="5"/>
      <c r="F233" s="5"/>
      <c r="G233" s="33"/>
      <c r="H233" s="98"/>
      <c r="I233" s="49"/>
      <c r="J233" s="4"/>
    </row>
    <row r="234" spans="1:11" ht="20" customHeight="1">
      <c r="A234" s="198"/>
      <c r="B234" s="4" t="s">
        <v>231</v>
      </c>
      <c r="C234" s="5">
        <v>1</v>
      </c>
      <c r="D234" s="6" t="s">
        <v>136</v>
      </c>
      <c r="E234" s="5">
        <v>0</v>
      </c>
      <c r="F234" s="5">
        <f>E234*C234</f>
        <v>0</v>
      </c>
      <c r="G234" s="33">
        <v>0</v>
      </c>
      <c r="H234" s="98">
        <f>C234*G234</f>
        <v>0</v>
      </c>
      <c r="I234" s="49">
        <f>H234+F234</f>
        <v>0</v>
      </c>
      <c r="J234" s="4"/>
    </row>
    <row r="235" spans="1:11" ht="20" customHeight="1">
      <c r="A235" s="99"/>
      <c r="B235" s="99" t="s">
        <v>204</v>
      </c>
      <c r="C235" s="21"/>
      <c r="D235" s="99"/>
      <c r="E235" s="21"/>
      <c r="F235" s="21">
        <f>SUM(F234)</f>
        <v>0</v>
      </c>
      <c r="G235" s="21"/>
      <c r="H235" s="21">
        <f t="shared" ref="H235:I235" si="77">SUM(H234)</f>
        <v>0</v>
      </c>
      <c r="I235" s="21">
        <f t="shared" si="77"/>
        <v>0</v>
      </c>
      <c r="J235" s="100"/>
      <c r="K235" s="58">
        <f>H235+F235</f>
        <v>0</v>
      </c>
    </row>
    <row r="236" spans="1:11" ht="20" customHeight="1">
      <c r="A236" s="198"/>
      <c r="B236" s="3" t="s">
        <v>205</v>
      </c>
      <c r="C236" s="4"/>
      <c r="D236" s="6"/>
      <c r="E236" s="5"/>
      <c r="F236" s="5"/>
      <c r="G236" s="33"/>
      <c r="H236" s="98"/>
      <c r="I236" s="49"/>
      <c r="J236" s="4"/>
    </row>
    <row r="237" spans="1:11" ht="20" customHeight="1">
      <c r="A237" s="198"/>
      <c r="B237" s="4" t="s">
        <v>197</v>
      </c>
      <c r="C237" s="5">
        <v>1</v>
      </c>
      <c r="D237" s="6" t="s">
        <v>141</v>
      </c>
      <c r="E237" s="5">
        <v>0</v>
      </c>
      <c r="F237" s="5">
        <f>E237*C237</f>
        <v>0</v>
      </c>
      <c r="G237" s="33">
        <v>0</v>
      </c>
      <c r="H237" s="98">
        <f>C237*G237</f>
        <v>0</v>
      </c>
      <c r="I237" s="49">
        <f>H237+F237</f>
        <v>0</v>
      </c>
      <c r="J237" s="4"/>
    </row>
    <row r="238" spans="1:11" ht="20" customHeight="1">
      <c r="A238" s="198"/>
      <c r="B238" s="4" t="s">
        <v>198</v>
      </c>
      <c r="C238" s="5">
        <v>1</v>
      </c>
      <c r="D238" s="6" t="s">
        <v>141</v>
      </c>
      <c r="E238" s="5">
        <v>0</v>
      </c>
      <c r="F238" s="5">
        <f t="shared" ref="F238:F239" si="78">E238*C238</f>
        <v>0</v>
      </c>
      <c r="G238" s="33">
        <v>0</v>
      </c>
      <c r="H238" s="98">
        <f t="shared" ref="H238:H239" si="79">C238*G238</f>
        <v>0</v>
      </c>
      <c r="I238" s="49">
        <f t="shared" ref="I238:I239" si="80">H238+F238</f>
        <v>0</v>
      </c>
      <c r="J238" s="4"/>
    </row>
    <row r="239" spans="1:11" ht="20" customHeight="1">
      <c r="A239" s="6"/>
      <c r="B239" s="15" t="s">
        <v>271</v>
      </c>
      <c r="C239" s="5">
        <v>1</v>
      </c>
      <c r="D239" s="6" t="s">
        <v>264</v>
      </c>
      <c r="E239" s="5">
        <v>0</v>
      </c>
      <c r="F239" s="5">
        <f t="shared" si="78"/>
        <v>0</v>
      </c>
      <c r="G239" s="70">
        <v>29850</v>
      </c>
      <c r="H239" s="98">
        <f t="shared" si="79"/>
        <v>29850</v>
      </c>
      <c r="I239" s="49">
        <f t="shared" si="80"/>
        <v>29850</v>
      </c>
      <c r="J239" s="4"/>
    </row>
    <row r="240" spans="1:11" ht="20" customHeight="1">
      <c r="A240" s="99"/>
      <c r="B240" s="99" t="s">
        <v>206</v>
      </c>
      <c r="C240" s="21"/>
      <c r="D240" s="99"/>
      <c r="E240" s="21"/>
      <c r="F240" s="21">
        <f>SUM(F237:F239)</f>
        <v>0</v>
      </c>
      <c r="G240" s="21"/>
      <c r="H240" s="21">
        <f t="shared" ref="H240:I240" si="81">SUM(H237:H239)</f>
        <v>29850</v>
      </c>
      <c r="I240" s="21">
        <f t="shared" si="81"/>
        <v>29850</v>
      </c>
      <c r="J240" s="21"/>
      <c r="K240" s="58">
        <f>H240+F240</f>
        <v>29850</v>
      </c>
    </row>
    <row r="241" spans="1:11" s="105" customFormat="1" ht="20" customHeight="1">
      <c r="A241" s="207">
        <v>3</v>
      </c>
      <c r="B241" s="102" t="s">
        <v>199</v>
      </c>
      <c r="C241" s="101"/>
      <c r="D241" s="102" t="s">
        <v>11</v>
      </c>
      <c r="E241" s="103"/>
      <c r="F241" s="103">
        <f>F224+F232+F235+F240</f>
        <v>1963</v>
      </c>
      <c r="G241" s="103"/>
      <c r="H241" s="103">
        <f t="shared" ref="H241:I241" si="82">H224+H232+H235+H240</f>
        <v>29850</v>
      </c>
      <c r="I241" s="103">
        <f t="shared" si="82"/>
        <v>31813</v>
      </c>
      <c r="J241" s="104"/>
      <c r="K241" s="58">
        <f>H241+F241</f>
        <v>31813</v>
      </c>
    </row>
    <row r="242" spans="1:11" s="90" customFormat="1" ht="20" customHeight="1">
      <c r="A242" s="205"/>
      <c r="B242" s="87"/>
      <c r="C242" s="86"/>
      <c r="D242" s="87"/>
      <c r="E242" s="88"/>
      <c r="F242" s="88"/>
      <c r="G242" s="88"/>
      <c r="H242" s="88"/>
      <c r="I242" s="88"/>
      <c r="J242" s="89"/>
      <c r="K242" s="106"/>
    </row>
    <row r="243" spans="1:11" s="111" customFormat="1" ht="20" customHeight="1">
      <c r="A243" s="208">
        <v>4</v>
      </c>
      <c r="B243" s="107" t="s">
        <v>278</v>
      </c>
      <c r="C243" s="108"/>
      <c r="D243" s="191"/>
      <c r="E243" s="108"/>
      <c r="F243" s="108"/>
      <c r="G243" s="108"/>
      <c r="H243" s="108"/>
      <c r="I243" s="109"/>
      <c r="J243" s="108"/>
      <c r="K243" s="110"/>
    </row>
    <row r="244" spans="1:11" ht="20" customHeight="1">
      <c r="A244" s="198"/>
      <c r="B244" s="4" t="s">
        <v>235</v>
      </c>
      <c r="C244" s="5">
        <v>1</v>
      </c>
      <c r="D244" s="6" t="s">
        <v>53</v>
      </c>
      <c r="E244" s="11">
        <v>1105</v>
      </c>
      <c r="F244" s="5">
        <f>E244*C244</f>
        <v>1105</v>
      </c>
      <c r="G244" s="33">
        <v>0</v>
      </c>
      <c r="H244" s="98">
        <f>C244*G244</f>
        <v>0</v>
      </c>
      <c r="I244" s="112">
        <f>H244+F244</f>
        <v>1105</v>
      </c>
      <c r="J244" s="24"/>
    </row>
    <row r="245" spans="1:11" ht="20" customHeight="1">
      <c r="A245" s="6"/>
      <c r="B245" s="4" t="s">
        <v>236</v>
      </c>
      <c r="C245" s="5">
        <f>11/6</f>
        <v>1.8333333333333333</v>
      </c>
      <c r="D245" s="6" t="s">
        <v>53</v>
      </c>
      <c r="E245" s="11">
        <v>810</v>
      </c>
      <c r="F245" s="5">
        <f t="shared" ref="F245:F265" si="83">E245*C245</f>
        <v>1485</v>
      </c>
      <c r="G245" s="33">
        <v>0</v>
      </c>
      <c r="H245" s="98">
        <f t="shared" ref="H245:H265" si="84">C245*G245</f>
        <v>0</v>
      </c>
      <c r="I245" s="112">
        <f t="shared" ref="I245:I265" si="85">H245+F245</f>
        <v>1485</v>
      </c>
      <c r="J245" s="24"/>
    </row>
    <row r="246" spans="1:11" ht="20" customHeight="1">
      <c r="A246" s="6"/>
      <c r="B246" s="4" t="s">
        <v>238</v>
      </c>
      <c r="C246" s="5">
        <f>12/6</f>
        <v>2</v>
      </c>
      <c r="D246" s="6" t="s">
        <v>53</v>
      </c>
      <c r="E246" s="11">
        <v>610</v>
      </c>
      <c r="F246" s="5">
        <f t="shared" si="83"/>
        <v>1220</v>
      </c>
      <c r="G246" s="33">
        <v>0</v>
      </c>
      <c r="H246" s="98">
        <f t="shared" si="84"/>
        <v>0</v>
      </c>
      <c r="I246" s="112">
        <f t="shared" si="85"/>
        <v>1220</v>
      </c>
      <c r="J246" s="24"/>
    </row>
    <row r="247" spans="1:11" ht="20" customHeight="1">
      <c r="A247" s="6"/>
      <c r="B247" s="4" t="s">
        <v>237</v>
      </c>
      <c r="C247" s="5">
        <f>18/3</f>
        <v>6</v>
      </c>
      <c r="D247" s="6" t="s">
        <v>53</v>
      </c>
      <c r="E247" s="11">
        <v>395</v>
      </c>
      <c r="F247" s="5">
        <f t="shared" si="83"/>
        <v>2370</v>
      </c>
      <c r="G247" s="33">
        <v>0</v>
      </c>
      <c r="H247" s="98">
        <f t="shared" si="84"/>
        <v>0</v>
      </c>
      <c r="I247" s="112">
        <f t="shared" si="85"/>
        <v>2370</v>
      </c>
      <c r="J247" s="24"/>
    </row>
    <row r="248" spans="1:11" ht="20" customHeight="1">
      <c r="A248" s="198"/>
      <c r="B248" s="4" t="s">
        <v>239</v>
      </c>
      <c r="C248" s="5">
        <f>7/6</f>
        <v>1.1666666666666667</v>
      </c>
      <c r="D248" s="6" t="s">
        <v>60</v>
      </c>
      <c r="E248" s="11">
        <v>49</v>
      </c>
      <c r="F248" s="5">
        <f t="shared" si="83"/>
        <v>57.166666666666671</v>
      </c>
      <c r="G248" s="33">
        <v>0</v>
      </c>
      <c r="H248" s="98">
        <f t="shared" si="84"/>
        <v>0</v>
      </c>
      <c r="I248" s="112">
        <f t="shared" si="85"/>
        <v>57.166666666666671</v>
      </c>
      <c r="J248" s="24"/>
    </row>
    <row r="249" spans="1:11" ht="20" customHeight="1">
      <c r="A249" s="198"/>
      <c r="B249" s="4" t="s">
        <v>240</v>
      </c>
      <c r="C249" s="5">
        <f>7/6</f>
        <v>1.1666666666666667</v>
      </c>
      <c r="D249" s="6" t="s">
        <v>60</v>
      </c>
      <c r="E249" s="11">
        <v>39</v>
      </c>
      <c r="F249" s="5">
        <f t="shared" si="83"/>
        <v>45.5</v>
      </c>
      <c r="G249" s="33">
        <v>0</v>
      </c>
      <c r="H249" s="98">
        <f t="shared" si="84"/>
        <v>0</v>
      </c>
      <c r="I249" s="112">
        <f t="shared" si="85"/>
        <v>45.5</v>
      </c>
      <c r="J249" s="24"/>
    </row>
    <row r="250" spans="1:11" ht="20" customHeight="1">
      <c r="A250" s="198"/>
      <c r="B250" s="4" t="s">
        <v>241</v>
      </c>
      <c r="C250" s="5">
        <f>2/6</f>
        <v>0.33333333333333331</v>
      </c>
      <c r="D250" s="6" t="s">
        <v>53</v>
      </c>
      <c r="E250" s="11">
        <v>285</v>
      </c>
      <c r="F250" s="5">
        <f t="shared" si="83"/>
        <v>95</v>
      </c>
      <c r="G250" s="33">
        <v>0</v>
      </c>
      <c r="H250" s="98">
        <f t="shared" si="84"/>
        <v>0</v>
      </c>
      <c r="I250" s="112">
        <f t="shared" si="85"/>
        <v>95</v>
      </c>
      <c r="J250" s="24"/>
    </row>
    <row r="251" spans="1:11" ht="20" customHeight="1">
      <c r="A251" s="198"/>
      <c r="B251" s="4" t="s">
        <v>222</v>
      </c>
      <c r="C251" s="5">
        <f>13/6</f>
        <v>2.1666666666666665</v>
      </c>
      <c r="D251" s="6" t="s">
        <v>53</v>
      </c>
      <c r="E251" s="11">
        <v>250</v>
      </c>
      <c r="F251" s="5">
        <f t="shared" si="83"/>
        <v>541.66666666666663</v>
      </c>
      <c r="G251" s="33">
        <v>0</v>
      </c>
      <c r="H251" s="98">
        <f t="shared" si="84"/>
        <v>0</v>
      </c>
      <c r="I251" s="112">
        <f t="shared" si="85"/>
        <v>541.66666666666663</v>
      </c>
      <c r="J251" s="24"/>
    </row>
    <row r="252" spans="1:11" ht="20" customHeight="1">
      <c r="A252" s="198"/>
      <c r="B252" s="4" t="s">
        <v>243</v>
      </c>
      <c r="C252" s="5">
        <f>51/6</f>
        <v>8.5</v>
      </c>
      <c r="D252" s="6" t="s">
        <v>123</v>
      </c>
      <c r="E252" s="11">
        <v>212</v>
      </c>
      <c r="F252" s="5">
        <f t="shared" si="83"/>
        <v>1802</v>
      </c>
      <c r="G252" s="33">
        <v>0</v>
      </c>
      <c r="H252" s="98">
        <f t="shared" si="84"/>
        <v>0</v>
      </c>
      <c r="I252" s="112">
        <f t="shared" si="85"/>
        <v>1802</v>
      </c>
      <c r="J252" s="24"/>
    </row>
    <row r="253" spans="1:11" ht="20" customHeight="1">
      <c r="A253" s="198"/>
      <c r="B253" s="4" t="s">
        <v>244</v>
      </c>
      <c r="C253" s="5">
        <f>200/6</f>
        <v>33.333333333333336</v>
      </c>
      <c r="D253" s="6" t="s">
        <v>82</v>
      </c>
      <c r="E253" s="11">
        <v>2.7</v>
      </c>
      <c r="F253" s="5">
        <f t="shared" si="83"/>
        <v>90.000000000000014</v>
      </c>
      <c r="G253" s="33">
        <v>0</v>
      </c>
      <c r="H253" s="98">
        <f t="shared" si="84"/>
        <v>0</v>
      </c>
      <c r="I253" s="112">
        <f t="shared" si="85"/>
        <v>90.000000000000014</v>
      </c>
      <c r="J253" s="24"/>
    </row>
    <row r="254" spans="1:11" ht="20" customHeight="1">
      <c r="A254" s="198"/>
      <c r="B254" s="4" t="s">
        <v>63</v>
      </c>
      <c r="C254" s="5">
        <f>1/6</f>
        <v>0.16666666666666666</v>
      </c>
      <c r="D254" s="6" t="s">
        <v>64</v>
      </c>
      <c r="E254" s="5">
        <v>1500</v>
      </c>
      <c r="F254" s="5">
        <f t="shared" si="83"/>
        <v>250</v>
      </c>
      <c r="G254" s="33">
        <v>0</v>
      </c>
      <c r="H254" s="98">
        <f t="shared" si="84"/>
        <v>0</v>
      </c>
      <c r="I254" s="112">
        <f t="shared" si="85"/>
        <v>250</v>
      </c>
      <c r="J254" s="4"/>
    </row>
    <row r="255" spans="1:11" ht="20" customHeight="1">
      <c r="A255" s="198"/>
      <c r="B255" s="4" t="s">
        <v>65</v>
      </c>
      <c r="C255" s="5">
        <v>0.5</v>
      </c>
      <c r="D255" s="6" t="s">
        <v>66</v>
      </c>
      <c r="E255" s="11">
        <v>1189</v>
      </c>
      <c r="F255" s="5">
        <f t="shared" si="83"/>
        <v>594.5</v>
      </c>
      <c r="G255" s="33">
        <v>0</v>
      </c>
      <c r="H255" s="98">
        <f t="shared" si="84"/>
        <v>0</v>
      </c>
      <c r="I255" s="112">
        <f t="shared" si="85"/>
        <v>594.5</v>
      </c>
      <c r="J255" s="4"/>
    </row>
    <row r="256" spans="1:11" ht="20" customHeight="1">
      <c r="A256" s="198"/>
      <c r="B256" s="4" t="s">
        <v>67</v>
      </c>
      <c r="C256" s="5">
        <f>1/6</f>
        <v>0.16666666666666666</v>
      </c>
      <c r="D256" s="6" t="s">
        <v>66</v>
      </c>
      <c r="E256" s="11">
        <v>499</v>
      </c>
      <c r="F256" s="5">
        <f t="shared" si="83"/>
        <v>83.166666666666657</v>
      </c>
      <c r="G256" s="33">
        <v>0</v>
      </c>
      <c r="H256" s="98">
        <f t="shared" si="84"/>
        <v>0</v>
      </c>
      <c r="I256" s="112">
        <f t="shared" si="85"/>
        <v>83.166666666666657</v>
      </c>
      <c r="J256" s="4"/>
    </row>
    <row r="257" spans="1:11" ht="20" customHeight="1">
      <c r="A257" s="198"/>
      <c r="B257" s="4" t="s">
        <v>68</v>
      </c>
      <c r="C257" s="113">
        <v>1</v>
      </c>
      <c r="D257" s="6" t="s">
        <v>69</v>
      </c>
      <c r="E257" s="5">
        <v>98</v>
      </c>
      <c r="F257" s="5">
        <f t="shared" si="83"/>
        <v>98</v>
      </c>
      <c r="G257" s="33">
        <v>0</v>
      </c>
      <c r="H257" s="98">
        <f t="shared" si="84"/>
        <v>0</v>
      </c>
      <c r="I257" s="112">
        <f t="shared" si="85"/>
        <v>98</v>
      </c>
      <c r="J257" s="4"/>
    </row>
    <row r="258" spans="1:11" s="119" customFormat="1" ht="20" customHeight="1">
      <c r="A258" s="209"/>
      <c r="B258" s="114" t="s">
        <v>255</v>
      </c>
      <c r="C258" s="115">
        <v>80</v>
      </c>
      <c r="D258" s="31" t="s">
        <v>263</v>
      </c>
      <c r="E258" s="115">
        <v>0</v>
      </c>
      <c r="F258" s="5">
        <f t="shared" si="83"/>
        <v>0</v>
      </c>
      <c r="G258" s="116">
        <v>23.291666666666668</v>
      </c>
      <c r="H258" s="98">
        <f t="shared" si="84"/>
        <v>1863.3333333333335</v>
      </c>
      <c r="I258" s="112">
        <f t="shared" si="85"/>
        <v>1863.3333333333335</v>
      </c>
      <c r="J258" s="117"/>
      <c r="K258" s="118"/>
    </row>
    <row r="259" spans="1:11" s="119" customFormat="1" ht="20" customHeight="1">
      <c r="A259" s="31"/>
      <c r="B259" s="120" t="s">
        <v>256</v>
      </c>
      <c r="C259" s="115">
        <v>250</v>
      </c>
      <c r="D259" s="34" t="s">
        <v>123</v>
      </c>
      <c r="E259" s="115">
        <v>0</v>
      </c>
      <c r="F259" s="5">
        <f t="shared" si="83"/>
        <v>0</v>
      </c>
      <c r="G259" s="121">
        <v>6.4533333333333331</v>
      </c>
      <c r="H259" s="98">
        <f t="shared" si="84"/>
        <v>1613.3333333333333</v>
      </c>
      <c r="I259" s="112">
        <f t="shared" si="85"/>
        <v>1613.3333333333333</v>
      </c>
      <c r="J259" s="117"/>
      <c r="K259" s="118"/>
    </row>
    <row r="260" spans="1:11" s="119" customFormat="1" ht="20" customHeight="1">
      <c r="A260" s="31"/>
      <c r="B260" s="122" t="s">
        <v>257</v>
      </c>
      <c r="C260" s="115">
        <v>35</v>
      </c>
      <c r="D260" s="31" t="s">
        <v>123</v>
      </c>
      <c r="E260" s="115">
        <v>0</v>
      </c>
      <c r="F260" s="5">
        <f t="shared" si="83"/>
        <v>0</v>
      </c>
      <c r="G260" s="121">
        <v>17.5</v>
      </c>
      <c r="H260" s="98">
        <f t="shared" si="84"/>
        <v>612.5</v>
      </c>
      <c r="I260" s="112">
        <f t="shared" si="85"/>
        <v>612.5</v>
      </c>
      <c r="J260" s="117"/>
      <c r="K260" s="118"/>
    </row>
    <row r="261" spans="1:11" s="119" customFormat="1" ht="20" customHeight="1">
      <c r="A261" s="31"/>
      <c r="B261" s="114" t="s">
        <v>258</v>
      </c>
      <c r="C261" s="123">
        <v>500</v>
      </c>
      <c r="D261" s="31" t="s">
        <v>21</v>
      </c>
      <c r="E261" s="115">
        <v>0</v>
      </c>
      <c r="F261" s="5">
        <f t="shared" si="83"/>
        <v>0</v>
      </c>
      <c r="G261" s="116">
        <v>1.3333333333333333</v>
      </c>
      <c r="H261" s="98">
        <f t="shared" si="84"/>
        <v>666.66666666666663</v>
      </c>
      <c r="I261" s="112">
        <f t="shared" si="85"/>
        <v>666.66666666666663</v>
      </c>
      <c r="J261" s="117"/>
      <c r="K261" s="118"/>
    </row>
    <row r="262" spans="1:11" s="119" customFormat="1" ht="20" customHeight="1">
      <c r="A262" s="209"/>
      <c r="B262" s="120" t="s">
        <v>259</v>
      </c>
      <c r="C262" s="124">
        <v>35</v>
      </c>
      <c r="D262" s="34" t="s">
        <v>263</v>
      </c>
      <c r="E262" s="115">
        <v>0</v>
      </c>
      <c r="F262" s="5">
        <f t="shared" si="83"/>
        <v>0</v>
      </c>
      <c r="G262" s="125">
        <v>18.900000000000002</v>
      </c>
      <c r="H262" s="98">
        <f t="shared" si="84"/>
        <v>661.50000000000011</v>
      </c>
      <c r="I262" s="112">
        <f t="shared" si="85"/>
        <v>661.50000000000011</v>
      </c>
      <c r="J262" s="117"/>
      <c r="K262" s="118"/>
    </row>
    <row r="263" spans="1:11" s="119" customFormat="1" ht="20" customHeight="1">
      <c r="A263" s="209"/>
      <c r="B263" s="122" t="s">
        <v>260</v>
      </c>
      <c r="C263" s="124">
        <v>25</v>
      </c>
      <c r="D263" s="31" t="s">
        <v>263</v>
      </c>
      <c r="E263" s="115">
        <v>0</v>
      </c>
      <c r="F263" s="5">
        <f t="shared" si="83"/>
        <v>0</v>
      </c>
      <c r="G263" s="125">
        <v>18.900000000000002</v>
      </c>
      <c r="H263" s="98">
        <f t="shared" si="84"/>
        <v>472.50000000000006</v>
      </c>
      <c r="I263" s="112">
        <f t="shared" si="85"/>
        <v>472.50000000000006</v>
      </c>
      <c r="J263" s="117"/>
      <c r="K263" s="118"/>
    </row>
    <row r="264" spans="1:11" s="119" customFormat="1" ht="20" customHeight="1">
      <c r="A264" s="209"/>
      <c r="B264" s="122" t="s">
        <v>261</v>
      </c>
      <c r="C264" s="124">
        <v>300</v>
      </c>
      <c r="D264" s="192" t="s">
        <v>264</v>
      </c>
      <c r="E264" s="115">
        <v>0</v>
      </c>
      <c r="F264" s="5">
        <f t="shared" si="83"/>
        <v>0</v>
      </c>
      <c r="G264" s="121">
        <v>1</v>
      </c>
      <c r="H264" s="98">
        <f t="shared" si="84"/>
        <v>300</v>
      </c>
      <c r="I264" s="112">
        <f t="shared" si="85"/>
        <v>300</v>
      </c>
      <c r="J264" s="117"/>
      <c r="K264" s="118"/>
    </row>
    <row r="265" spans="1:11" s="119" customFormat="1" ht="20" customHeight="1">
      <c r="A265" s="209"/>
      <c r="B265" s="114" t="s">
        <v>262</v>
      </c>
      <c r="C265" s="124">
        <v>55</v>
      </c>
      <c r="D265" s="34" t="s">
        <v>123</v>
      </c>
      <c r="E265" s="115">
        <v>0</v>
      </c>
      <c r="F265" s="5">
        <f t="shared" si="83"/>
        <v>0</v>
      </c>
      <c r="G265" s="116">
        <v>6.47</v>
      </c>
      <c r="H265" s="98">
        <f t="shared" si="84"/>
        <v>355.84999999999997</v>
      </c>
      <c r="I265" s="112">
        <f t="shared" si="85"/>
        <v>355.84999999999997</v>
      </c>
      <c r="J265" s="117"/>
      <c r="K265" s="118"/>
    </row>
    <row r="266" spans="1:11" s="131" customFormat="1" ht="20" customHeight="1">
      <c r="A266" s="210">
        <v>4</v>
      </c>
      <c r="B266" s="127" t="s">
        <v>221</v>
      </c>
      <c r="C266" s="126"/>
      <c r="D266" s="127" t="s">
        <v>11</v>
      </c>
      <c r="E266" s="128"/>
      <c r="F266" s="129">
        <f>SUM(F244:F265)</f>
        <v>9837</v>
      </c>
      <c r="G266" s="129"/>
      <c r="H266" s="129">
        <f t="shared" ref="H266:I266" si="86">SUM(H244:H265)</f>
        <v>6545.6833333333343</v>
      </c>
      <c r="I266" s="129">
        <f t="shared" si="86"/>
        <v>16382.683333333334</v>
      </c>
      <c r="J266" s="130"/>
      <c r="K266" s="58">
        <f>H266+F266</f>
        <v>16382.683333333334</v>
      </c>
    </row>
    <row r="269" spans="1:11" ht="20" customHeight="1">
      <c r="A269" s="193">
        <f>A66</f>
        <v>1</v>
      </c>
      <c r="B269" s="143" t="str">
        <f>B66</f>
        <v>รวมค่างานโครงสร้างวิศวกรรมทั้งหมด</v>
      </c>
      <c r="C269" s="143"/>
      <c r="D269" s="193" t="str">
        <f>D66</f>
        <v>รวม</v>
      </c>
      <c r="E269" s="143"/>
      <c r="F269" s="144">
        <f>F66</f>
        <v>110913.89039339942</v>
      </c>
      <c r="G269" s="144"/>
      <c r="H269" s="144">
        <f>H66</f>
        <v>38008.666666666664</v>
      </c>
      <c r="I269" s="144">
        <f>I66</f>
        <v>148922.55706006609</v>
      </c>
      <c r="J269" s="143"/>
    </row>
    <row r="270" spans="1:11" ht="20" customHeight="1">
      <c r="A270" s="193">
        <f>A215</f>
        <v>2</v>
      </c>
      <c r="B270" s="143" t="str">
        <f>B215</f>
        <v>รวมค่างานสถาปัตยกรรมทั้งหมด</v>
      </c>
      <c r="C270" s="143"/>
      <c r="D270" s="193" t="str">
        <f>D215</f>
        <v>รวม</v>
      </c>
      <c r="E270" s="143"/>
      <c r="F270" s="144">
        <f>F215</f>
        <v>107661.12442867717</v>
      </c>
      <c r="G270" s="144"/>
      <c r="H270" s="144">
        <f>H215</f>
        <v>127962.35</v>
      </c>
      <c r="I270" s="144">
        <f>I215</f>
        <v>235623.47442867717</v>
      </c>
      <c r="J270" s="143"/>
    </row>
    <row r="271" spans="1:11" ht="20" customHeight="1">
      <c r="A271" s="193">
        <f>A241</f>
        <v>3</v>
      </c>
      <c r="B271" s="143" t="str">
        <f>B241</f>
        <v xml:space="preserve">รวมค่างานระบบไฟฟ้าและสื่อสารทั้งหมด </v>
      </c>
      <c r="C271" s="143"/>
      <c r="D271" s="193" t="str">
        <f>D241</f>
        <v>รวม</v>
      </c>
      <c r="E271" s="143"/>
      <c r="F271" s="144">
        <f>F241</f>
        <v>1963</v>
      </c>
      <c r="G271" s="144"/>
      <c r="H271" s="144">
        <f>H241</f>
        <v>29850</v>
      </c>
      <c r="I271" s="144">
        <f>I241</f>
        <v>31813</v>
      </c>
      <c r="J271" s="143"/>
    </row>
    <row r="272" spans="1:11" ht="20" customHeight="1">
      <c r="A272" s="193">
        <f>A266</f>
        <v>4</v>
      </c>
      <c r="B272" s="143" t="str">
        <f>B266</f>
        <v xml:space="preserve">รวมค่างานต่อเติมหลังคาที่จอดรถหน้าทั้งหมด </v>
      </c>
      <c r="C272" s="143"/>
      <c r="D272" s="193" t="str">
        <f>D266</f>
        <v>รวม</v>
      </c>
      <c r="E272" s="143"/>
      <c r="F272" s="144">
        <f>F266</f>
        <v>9837</v>
      </c>
      <c r="G272" s="144"/>
      <c r="H272" s="144">
        <f>H266</f>
        <v>6545.6833333333343</v>
      </c>
      <c r="I272" s="144">
        <f>I266</f>
        <v>16382.683333333334</v>
      </c>
      <c r="J272" s="143"/>
    </row>
    <row r="273" spans="1:11" ht="20" customHeight="1">
      <c r="A273" s="229" t="s">
        <v>279</v>
      </c>
      <c r="B273" s="230"/>
      <c r="C273" s="230"/>
      <c r="D273" s="231"/>
      <c r="E273" s="145"/>
      <c r="F273" s="146">
        <f t="shared" ref="F273:H273" si="87">SUM(F269:F272)</f>
        <v>230375.0148220766</v>
      </c>
      <c r="G273" s="146"/>
      <c r="H273" s="146">
        <f t="shared" si="87"/>
        <v>202366.7</v>
      </c>
      <c r="I273" s="147">
        <f>SUM(I269:I272)</f>
        <v>432741.71482207661</v>
      </c>
      <c r="J273" s="145"/>
      <c r="K273" s="73">
        <f>SUM(K1:K272)</f>
        <v>849100.7463108201</v>
      </c>
    </row>
    <row r="274" spans="1:11" ht="20" customHeight="1">
      <c r="F274" s="73"/>
      <c r="G274" s="73"/>
      <c r="H274" s="73"/>
      <c r="I274" s="142"/>
    </row>
    <row r="275" spans="1:11" ht="20" customHeight="1">
      <c r="F275" s="73"/>
      <c r="G275" s="73"/>
      <c r="H275" s="73"/>
      <c r="I275" s="142"/>
    </row>
    <row r="276" spans="1:11" ht="20" customHeight="1">
      <c r="F276" s="148"/>
      <c r="G276" s="148"/>
      <c r="H276" s="148"/>
      <c r="I276" s="149"/>
    </row>
  </sheetData>
  <mergeCells count="9">
    <mergeCell ref="E4:F4"/>
    <mergeCell ref="G4:H4"/>
    <mergeCell ref="J4:J5"/>
    <mergeCell ref="A1:J1"/>
    <mergeCell ref="A273:D273"/>
    <mergeCell ref="A4:A5"/>
    <mergeCell ref="B4:B5"/>
    <mergeCell ref="C4:C5"/>
    <mergeCell ref="D4:D5"/>
  </mergeCells>
  <pageMargins left="0.7" right="0.7" top="0.75" bottom="0.75" header="0.3" footer="0.3"/>
  <pageSetup paperSize="9" scale="86" orientation="landscape" horizontalDpi="300" verticalDpi="300" r:id="rId1"/>
  <rowBreaks count="2" manualBreakCount="2">
    <brk id="51" max="9" man="1"/>
    <brk id="245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32AE-6773-4CAB-96F8-47B29FD27811}">
  <dimension ref="B3:H31"/>
  <sheetViews>
    <sheetView workbookViewId="0">
      <selection activeCell="K14" sqref="K13:K14"/>
    </sheetView>
  </sheetViews>
  <sheetFormatPr defaultRowHeight="14.25"/>
  <cols>
    <col min="2" max="2" width="5.19921875" style="235" customWidth="1"/>
    <col min="3" max="3" width="23.19921875" customWidth="1"/>
    <col min="4" max="4" width="29.1328125" customWidth="1"/>
    <col min="7" max="7" width="24.53125" customWidth="1"/>
    <col min="8" max="8" width="26.46484375" customWidth="1"/>
  </cols>
  <sheetData>
    <row r="3" spans="2:8">
      <c r="B3" s="238" t="s">
        <v>321</v>
      </c>
      <c r="C3" s="238"/>
      <c r="D3" s="238"/>
      <c r="F3" s="238" t="s">
        <v>320</v>
      </c>
      <c r="G3" s="238"/>
      <c r="H3" s="238"/>
    </row>
    <row r="5" spans="2:8">
      <c r="B5" s="236" t="s">
        <v>309</v>
      </c>
      <c r="C5" s="236" t="s">
        <v>1</v>
      </c>
      <c r="D5" s="236" t="s">
        <v>288</v>
      </c>
      <c r="F5" s="236" t="s">
        <v>309</v>
      </c>
      <c r="G5" s="236" t="s">
        <v>1</v>
      </c>
      <c r="H5" s="236" t="s">
        <v>288</v>
      </c>
    </row>
    <row r="6" spans="2:8">
      <c r="B6" s="236">
        <v>1</v>
      </c>
      <c r="C6" s="237" t="s">
        <v>315</v>
      </c>
      <c r="D6" s="239" t="s">
        <v>324</v>
      </c>
      <c r="F6" s="236">
        <v>1</v>
      </c>
      <c r="G6" s="237" t="s">
        <v>315</v>
      </c>
      <c r="H6" s="239" t="s">
        <v>324</v>
      </c>
    </row>
    <row r="7" spans="2:8">
      <c r="B7" s="236">
        <v>2</v>
      </c>
      <c r="C7" s="237" t="s">
        <v>310</v>
      </c>
      <c r="D7" s="239" t="s">
        <v>324</v>
      </c>
      <c r="F7" s="236">
        <v>2</v>
      </c>
      <c r="G7" s="237" t="s">
        <v>310</v>
      </c>
      <c r="H7" s="239" t="s">
        <v>324</v>
      </c>
    </row>
    <row r="8" spans="2:8">
      <c r="B8" s="236">
        <v>3</v>
      </c>
      <c r="C8" s="237" t="s">
        <v>317</v>
      </c>
      <c r="D8" s="239" t="s">
        <v>324</v>
      </c>
      <c r="F8" s="236">
        <v>3</v>
      </c>
      <c r="G8" s="237" t="s">
        <v>317</v>
      </c>
      <c r="H8" s="239" t="s">
        <v>324</v>
      </c>
    </row>
    <row r="9" spans="2:8">
      <c r="B9" s="236">
        <v>4</v>
      </c>
      <c r="C9" s="237" t="s">
        <v>318</v>
      </c>
      <c r="D9" s="239" t="s">
        <v>324</v>
      </c>
      <c r="F9" s="236">
        <v>4</v>
      </c>
      <c r="G9" s="237" t="s">
        <v>318</v>
      </c>
      <c r="H9" s="239" t="s">
        <v>324</v>
      </c>
    </row>
    <row r="10" spans="2:8">
      <c r="B10" s="236">
        <v>5</v>
      </c>
      <c r="C10" s="237" t="s">
        <v>311</v>
      </c>
      <c r="D10" s="239" t="s">
        <v>324</v>
      </c>
      <c r="F10" s="236">
        <v>5</v>
      </c>
      <c r="G10" s="237" t="s">
        <v>311</v>
      </c>
      <c r="H10" s="239" t="s">
        <v>324</v>
      </c>
    </row>
    <row r="11" spans="2:8">
      <c r="B11" s="236">
        <v>6</v>
      </c>
      <c r="C11" s="237" t="s">
        <v>312</v>
      </c>
      <c r="D11" s="239" t="s">
        <v>324</v>
      </c>
      <c r="F11" s="236">
        <v>6</v>
      </c>
      <c r="G11" s="237" t="s">
        <v>312</v>
      </c>
      <c r="H11" s="239" t="s">
        <v>324</v>
      </c>
    </row>
    <row r="12" spans="2:8">
      <c r="B12" s="236">
        <v>7</v>
      </c>
      <c r="C12" s="237" t="s">
        <v>316</v>
      </c>
      <c r="D12" s="239" t="s">
        <v>324</v>
      </c>
      <c r="F12" s="236">
        <v>7</v>
      </c>
      <c r="G12" s="237" t="s">
        <v>316</v>
      </c>
      <c r="H12" s="239" t="s">
        <v>324</v>
      </c>
    </row>
    <row r="13" spans="2:8">
      <c r="B13" s="236">
        <v>8</v>
      </c>
      <c r="C13" s="237" t="s">
        <v>319</v>
      </c>
      <c r="D13" s="239" t="s">
        <v>324</v>
      </c>
      <c r="F13" s="236">
        <v>8</v>
      </c>
      <c r="G13" s="237" t="s">
        <v>319</v>
      </c>
      <c r="H13" s="239" t="s">
        <v>324</v>
      </c>
    </row>
    <row r="14" spans="2:8">
      <c r="B14" s="236">
        <v>9</v>
      </c>
      <c r="C14" s="237" t="s">
        <v>313</v>
      </c>
      <c r="D14" s="239" t="s">
        <v>324</v>
      </c>
      <c r="F14" s="236">
        <v>9</v>
      </c>
      <c r="G14" s="237" t="s">
        <v>313</v>
      </c>
      <c r="H14" s="239" t="s">
        <v>324</v>
      </c>
    </row>
    <row r="15" spans="2:8">
      <c r="B15" s="236">
        <v>10</v>
      </c>
      <c r="C15" s="237" t="s">
        <v>314</v>
      </c>
      <c r="D15" s="239" t="s">
        <v>324</v>
      </c>
      <c r="F15" s="236">
        <v>10</v>
      </c>
      <c r="G15" s="237" t="s">
        <v>314</v>
      </c>
      <c r="H15" s="239" t="s">
        <v>324</v>
      </c>
    </row>
    <row r="16" spans="2:8">
      <c r="B16" s="236">
        <v>11</v>
      </c>
      <c r="C16" s="237" t="s">
        <v>323</v>
      </c>
      <c r="D16" s="239" t="s">
        <v>324</v>
      </c>
      <c r="F16" s="236">
        <v>11</v>
      </c>
      <c r="G16" s="237" t="s">
        <v>322</v>
      </c>
      <c r="H16" s="237">
        <v>1</v>
      </c>
    </row>
    <row r="17" spans="2:8">
      <c r="B17" s="236">
        <v>12</v>
      </c>
      <c r="C17" s="237" t="s">
        <v>289</v>
      </c>
      <c r="D17" s="237">
        <v>4</v>
      </c>
      <c r="F17" s="236">
        <v>12</v>
      </c>
      <c r="G17" s="237" t="s">
        <v>304</v>
      </c>
      <c r="H17" s="237">
        <v>7</v>
      </c>
    </row>
    <row r="18" spans="2:8">
      <c r="B18" s="236">
        <v>13</v>
      </c>
      <c r="C18" s="237" t="s">
        <v>290</v>
      </c>
      <c r="D18" s="237">
        <v>4</v>
      </c>
      <c r="F18" s="236">
        <v>13</v>
      </c>
      <c r="G18" s="237" t="s">
        <v>305</v>
      </c>
      <c r="H18" s="237">
        <v>8</v>
      </c>
    </row>
    <row r="19" spans="2:8">
      <c r="B19" s="236">
        <v>14</v>
      </c>
      <c r="C19" s="237" t="s">
        <v>291</v>
      </c>
      <c r="D19" s="237">
        <v>4</v>
      </c>
      <c r="F19" s="236">
        <v>14</v>
      </c>
      <c r="G19" s="237" t="s">
        <v>306</v>
      </c>
      <c r="H19" s="237">
        <v>8</v>
      </c>
    </row>
    <row r="20" spans="2:8">
      <c r="B20" s="236">
        <v>15</v>
      </c>
      <c r="C20" s="237" t="s">
        <v>292</v>
      </c>
      <c r="D20" s="237">
        <v>4</v>
      </c>
      <c r="F20" s="236">
        <v>15</v>
      </c>
      <c r="G20" s="237" t="s">
        <v>307</v>
      </c>
      <c r="H20" s="237">
        <v>8</v>
      </c>
    </row>
    <row r="21" spans="2:8">
      <c r="B21" s="236">
        <v>16</v>
      </c>
      <c r="C21" s="237" t="s">
        <v>293</v>
      </c>
      <c r="D21" s="237">
        <v>4</v>
      </c>
      <c r="F21" s="236">
        <v>16</v>
      </c>
      <c r="G21" s="237" t="s">
        <v>308</v>
      </c>
      <c r="H21" s="237">
        <v>8</v>
      </c>
    </row>
    <row r="22" spans="2:8">
      <c r="B22" s="236">
        <v>16</v>
      </c>
      <c r="C22" s="237" t="s">
        <v>294</v>
      </c>
      <c r="D22" s="237"/>
      <c r="F22" s="235"/>
    </row>
    <row r="23" spans="2:8">
      <c r="B23" s="236">
        <v>16</v>
      </c>
      <c r="C23" s="237" t="s">
        <v>295</v>
      </c>
      <c r="D23" s="237">
        <v>4</v>
      </c>
      <c r="F23" s="235"/>
    </row>
    <row r="24" spans="2:8">
      <c r="B24" s="236">
        <v>17</v>
      </c>
      <c r="C24" s="237" t="s">
        <v>296</v>
      </c>
      <c r="D24" s="237">
        <v>4</v>
      </c>
      <c r="F24" s="235"/>
    </row>
    <row r="25" spans="2:8">
      <c r="B25" s="236">
        <v>18</v>
      </c>
      <c r="C25" s="237" t="s">
        <v>297</v>
      </c>
      <c r="D25" s="237"/>
      <c r="F25" s="235"/>
    </row>
    <row r="26" spans="2:8">
      <c r="B26" s="236">
        <v>19</v>
      </c>
      <c r="C26" s="237" t="s">
        <v>298</v>
      </c>
      <c r="D26" s="237">
        <v>4</v>
      </c>
      <c r="F26" s="235"/>
    </row>
    <row r="27" spans="2:8">
      <c r="B27" s="236">
        <v>20</v>
      </c>
      <c r="C27" s="237" t="s">
        <v>299</v>
      </c>
      <c r="D27" s="237">
        <v>4</v>
      </c>
      <c r="F27" s="235"/>
    </row>
    <row r="28" spans="2:8">
      <c r="B28" s="236">
        <v>21</v>
      </c>
      <c r="C28" s="237" t="s">
        <v>300</v>
      </c>
      <c r="D28" s="237"/>
      <c r="F28" s="235"/>
    </row>
    <row r="29" spans="2:8">
      <c r="B29" s="236">
        <v>22</v>
      </c>
      <c r="C29" s="237" t="s">
        <v>301</v>
      </c>
      <c r="D29" s="237">
        <v>4</v>
      </c>
      <c r="F29" s="235"/>
    </row>
    <row r="30" spans="2:8">
      <c r="B30" s="236">
        <v>23</v>
      </c>
      <c r="C30" s="237" t="s">
        <v>302</v>
      </c>
      <c r="D30" s="237"/>
      <c r="F30" s="235"/>
    </row>
    <row r="31" spans="2:8">
      <c r="B31" s="236">
        <v>24</v>
      </c>
      <c r="C31" s="237" t="s">
        <v>303</v>
      </c>
      <c r="D31" s="237">
        <v>4</v>
      </c>
      <c r="F31" s="235"/>
    </row>
  </sheetData>
  <mergeCells count="2">
    <mergeCell ref="B3:D3"/>
    <mergeCell ref="F3:H3"/>
  </mergeCells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4347-DEFF-48DE-BFB1-7FDF29FC4517}">
  <dimension ref="A1:T274"/>
  <sheetViews>
    <sheetView view="pageBreakPreview" zoomScale="98" zoomScaleNormal="100" zoomScaleSheetLayoutView="98" workbookViewId="0">
      <selection activeCell="A9" sqref="A9:XFD273"/>
    </sheetView>
  </sheetViews>
  <sheetFormatPr defaultRowHeight="20" customHeight="1"/>
  <cols>
    <col min="1" max="1" width="6.19921875" style="195" customWidth="1"/>
    <col min="2" max="2" width="43.53125" style="40" customWidth="1"/>
    <col min="3" max="3" width="8.59765625" style="40" customWidth="1"/>
    <col min="4" max="4" width="8.59765625" style="195" customWidth="1"/>
    <col min="5" max="5" width="13.59765625" style="132" customWidth="1"/>
    <col min="6" max="10" width="13.59765625" style="40" customWidth="1"/>
    <col min="11" max="11" width="10.796875" style="40" customWidth="1"/>
    <col min="12" max="12" width="11.53125" style="40" bestFit="1" customWidth="1"/>
    <col min="13" max="16384" width="9.06640625" style="40"/>
  </cols>
  <sheetData>
    <row r="1" spans="1:11" s="216" customFormat="1" ht="20" customHeight="1">
      <c r="A1" s="228" t="s">
        <v>282</v>
      </c>
      <c r="B1" s="228"/>
      <c r="C1" s="228"/>
      <c r="D1" s="228"/>
      <c r="E1" s="228"/>
      <c r="F1" s="228"/>
      <c r="G1" s="228"/>
      <c r="H1" s="228"/>
      <c r="I1" s="228"/>
      <c r="J1" s="228"/>
    </row>
    <row r="2" spans="1:11" ht="20" customHeight="1">
      <c r="A2" s="196"/>
      <c r="B2" s="41"/>
      <c r="C2" s="41"/>
      <c r="D2" s="184"/>
      <c r="E2" s="42"/>
      <c r="F2" s="41"/>
      <c r="G2" s="41"/>
      <c r="H2" s="41"/>
      <c r="I2" s="41"/>
      <c r="J2" s="41"/>
    </row>
    <row r="3" spans="1:11" ht="20" customHeight="1" thickBot="1">
      <c r="A3" s="185"/>
      <c r="B3" s="43"/>
      <c r="C3" s="43"/>
      <c r="D3" s="185"/>
      <c r="E3" s="44"/>
      <c r="F3" s="43"/>
      <c r="G3" s="43"/>
      <c r="H3" s="43"/>
      <c r="I3" s="43"/>
      <c r="J3" s="43"/>
    </row>
    <row r="4" spans="1:11" s="45" customFormat="1" ht="20" customHeight="1" thickTop="1">
      <c r="A4" s="226" t="s">
        <v>0</v>
      </c>
      <c r="B4" s="226" t="s">
        <v>1</v>
      </c>
      <c r="C4" s="226" t="s">
        <v>2</v>
      </c>
      <c r="D4" s="226" t="s">
        <v>3</v>
      </c>
      <c r="E4" s="226" t="s">
        <v>4</v>
      </c>
      <c r="F4" s="226"/>
      <c r="G4" s="226" t="s">
        <v>5</v>
      </c>
      <c r="H4" s="226"/>
      <c r="I4" s="220" t="s">
        <v>6</v>
      </c>
      <c r="J4" s="226" t="s">
        <v>7</v>
      </c>
    </row>
    <row r="5" spans="1:11" s="45" customFormat="1" ht="20" customHeight="1" thickBot="1">
      <c r="A5" s="227"/>
      <c r="B5" s="227"/>
      <c r="C5" s="227"/>
      <c r="D5" s="227"/>
      <c r="E5" s="221" t="s">
        <v>8</v>
      </c>
      <c r="F5" s="218" t="s">
        <v>9</v>
      </c>
      <c r="G5" s="218" t="s">
        <v>8</v>
      </c>
      <c r="H5" s="218" t="s">
        <v>9</v>
      </c>
      <c r="I5" s="222" t="s">
        <v>10</v>
      </c>
      <c r="J5" s="227"/>
    </row>
    <row r="6" spans="1:11" s="47" customFormat="1" ht="20" customHeight="1" thickTop="1">
      <c r="A6" s="197">
        <v>1</v>
      </c>
      <c r="B6" s="1" t="s">
        <v>12</v>
      </c>
      <c r="C6" s="2"/>
      <c r="D6" s="186"/>
      <c r="E6" s="46"/>
      <c r="F6" s="2"/>
      <c r="G6" s="2"/>
      <c r="H6" s="2"/>
      <c r="I6" s="2"/>
      <c r="J6" s="2"/>
    </row>
    <row r="7" spans="1:11" ht="20" customHeight="1">
      <c r="A7" s="198"/>
      <c r="B7" s="3" t="s">
        <v>13</v>
      </c>
      <c r="C7" s="4"/>
      <c r="D7" s="6"/>
      <c r="E7" s="48"/>
      <c r="F7" s="4"/>
      <c r="G7" s="4"/>
      <c r="H7" s="4"/>
      <c r="I7" s="4"/>
      <c r="J7" s="4"/>
    </row>
    <row r="8" spans="1:11" ht="20" customHeight="1">
      <c r="A8" s="198"/>
      <c r="B8" s="4" t="s">
        <v>14</v>
      </c>
      <c r="C8" s="5">
        <f>10/6</f>
        <v>1.6666666666666667</v>
      </c>
      <c r="D8" s="6" t="s">
        <v>15</v>
      </c>
      <c r="E8" s="11">
        <v>3500</v>
      </c>
      <c r="F8" s="5">
        <f>E8*C8</f>
        <v>5833.3333333333339</v>
      </c>
      <c r="G8" s="5">
        <v>0</v>
      </c>
      <c r="H8" s="29">
        <f>G8*E8</f>
        <v>0</v>
      </c>
      <c r="I8" s="49">
        <f>H8+F8</f>
        <v>5833.3333333333339</v>
      </c>
      <c r="J8" s="4"/>
    </row>
    <row r="9" spans="1:11" ht="20" customHeight="1">
      <c r="A9" s="198"/>
      <c r="B9" s="4" t="s">
        <v>36</v>
      </c>
      <c r="C9" s="5">
        <f>5.5/6</f>
        <v>0.91666666666666663</v>
      </c>
      <c r="D9" s="6" t="s">
        <v>16</v>
      </c>
      <c r="E9" s="11">
        <v>1500</v>
      </c>
      <c r="F9" s="5">
        <f t="shared" ref="F9:F11" si="0">E9*C9</f>
        <v>1375</v>
      </c>
      <c r="G9" s="5">
        <v>1</v>
      </c>
      <c r="H9" s="29">
        <f t="shared" ref="H9:H11" si="1">G9*E9</f>
        <v>1500</v>
      </c>
      <c r="I9" s="49">
        <f t="shared" ref="I9:I11" si="2">H9+F9</f>
        <v>2875</v>
      </c>
      <c r="J9" s="4"/>
    </row>
    <row r="10" spans="1:11" ht="20" customHeight="1">
      <c r="A10" s="198"/>
      <c r="B10" s="4" t="s">
        <v>17</v>
      </c>
      <c r="C10" s="9">
        <v>0</v>
      </c>
      <c r="D10" s="6" t="s">
        <v>16</v>
      </c>
      <c r="E10" s="11">
        <v>0</v>
      </c>
      <c r="F10" s="5">
        <f t="shared" si="0"/>
        <v>0</v>
      </c>
      <c r="G10" s="11">
        <v>2</v>
      </c>
      <c r="H10" s="29">
        <f t="shared" si="1"/>
        <v>0</v>
      </c>
      <c r="I10" s="49">
        <f t="shared" si="2"/>
        <v>0</v>
      </c>
      <c r="J10" s="4"/>
    </row>
    <row r="11" spans="1:11" ht="20" customHeight="1">
      <c r="A11" s="198"/>
      <c r="B11" s="4" t="s">
        <v>18</v>
      </c>
      <c r="C11" s="5">
        <f>40/6</f>
        <v>6.666666666666667</v>
      </c>
      <c r="D11" s="6" t="s">
        <v>16</v>
      </c>
      <c r="E11" s="11">
        <v>100</v>
      </c>
      <c r="F11" s="5">
        <f t="shared" si="0"/>
        <v>666.66666666666674</v>
      </c>
      <c r="G11" s="5">
        <v>3</v>
      </c>
      <c r="H11" s="29">
        <f t="shared" si="1"/>
        <v>300</v>
      </c>
      <c r="I11" s="49">
        <f t="shared" si="2"/>
        <v>966.66666666666674</v>
      </c>
      <c r="J11" s="4"/>
    </row>
    <row r="12" spans="1:11" s="50" customFormat="1" ht="20" customHeight="1">
      <c r="A12" s="199"/>
      <c r="B12" s="12" t="s">
        <v>19</v>
      </c>
      <c r="C12" s="13"/>
      <c r="D12" s="12"/>
      <c r="E12" s="100"/>
      <c r="F12" s="14">
        <f>SUM(F8:F11)</f>
        <v>7875.0000000000009</v>
      </c>
      <c r="G12" s="14"/>
      <c r="H12" s="14">
        <f t="shared" ref="H12:I12" si="3">SUM(H8:H11)</f>
        <v>1800</v>
      </c>
      <c r="I12" s="14">
        <f t="shared" si="3"/>
        <v>9675</v>
      </c>
      <c r="J12" s="13"/>
      <c r="K12" s="151">
        <f>H12+F12</f>
        <v>9675</v>
      </c>
    </row>
    <row r="13" spans="1:11" ht="20" customHeight="1">
      <c r="A13" s="198"/>
      <c r="B13" s="3" t="s">
        <v>20</v>
      </c>
      <c r="C13" s="4"/>
      <c r="D13" s="6"/>
      <c r="E13" s="48"/>
      <c r="F13" s="4"/>
      <c r="G13" s="4"/>
      <c r="H13" s="4"/>
      <c r="I13" s="4"/>
      <c r="J13" s="4"/>
    </row>
    <row r="14" spans="1:11" ht="20" customHeight="1">
      <c r="A14" s="198"/>
      <c r="B14" s="4" t="s">
        <v>110</v>
      </c>
      <c r="C14" s="5">
        <f>53/6</f>
        <v>8.8333333333333339</v>
      </c>
      <c r="D14" s="6" t="s">
        <v>21</v>
      </c>
      <c r="E14" s="11">
        <v>2080</v>
      </c>
      <c r="F14" s="5">
        <f>E14*C14</f>
        <v>18373.333333333336</v>
      </c>
      <c r="G14" s="5">
        <v>750</v>
      </c>
      <c r="H14" s="5">
        <f>G14*C14</f>
        <v>6625</v>
      </c>
      <c r="I14" s="7">
        <f>H14+F14</f>
        <v>24998.333333333336</v>
      </c>
      <c r="J14" s="4"/>
    </row>
    <row r="15" spans="1:11" ht="20" customHeight="1">
      <c r="A15" s="198"/>
      <c r="B15" s="4" t="s">
        <v>22</v>
      </c>
      <c r="C15" s="5">
        <v>0</v>
      </c>
      <c r="D15" s="6" t="s">
        <v>21</v>
      </c>
      <c r="E15" s="11">
        <v>0</v>
      </c>
      <c r="F15" s="5">
        <f>E15*C15</f>
        <v>0</v>
      </c>
      <c r="G15" s="11">
        <v>0</v>
      </c>
      <c r="H15" s="5">
        <f>G15*C15</f>
        <v>0</v>
      </c>
      <c r="I15" s="7">
        <f>H15+F15</f>
        <v>0</v>
      </c>
      <c r="J15" s="4"/>
    </row>
    <row r="16" spans="1:11" s="50" customFormat="1" ht="20" customHeight="1">
      <c r="A16" s="199"/>
      <c r="B16" s="12" t="s">
        <v>23</v>
      </c>
      <c r="C16" s="13"/>
      <c r="D16" s="12"/>
      <c r="E16" s="100"/>
      <c r="F16" s="14">
        <f>SUM(F14:F15)</f>
        <v>18373.333333333336</v>
      </c>
      <c r="G16" s="14"/>
      <c r="H16" s="14">
        <f t="shared" ref="H16:I16" si="4">SUM(H14:H15)</f>
        <v>6625</v>
      </c>
      <c r="I16" s="14">
        <f t="shared" si="4"/>
        <v>24998.333333333336</v>
      </c>
      <c r="J16" s="13"/>
      <c r="K16" s="151">
        <f>H16+F16</f>
        <v>24998.333333333336</v>
      </c>
    </row>
    <row r="17" spans="1:11" ht="20" customHeight="1">
      <c r="A17" s="198"/>
      <c r="B17" s="3" t="s">
        <v>24</v>
      </c>
      <c r="C17" s="4"/>
      <c r="D17" s="6"/>
      <c r="E17" s="48"/>
      <c r="F17" s="4"/>
      <c r="G17" s="4"/>
      <c r="H17" s="4"/>
      <c r="I17" s="4"/>
      <c r="J17" s="4"/>
    </row>
    <row r="18" spans="1:11" ht="20" customHeight="1">
      <c r="A18" s="198"/>
      <c r="B18" s="4" t="s">
        <v>25</v>
      </c>
      <c r="C18" s="5">
        <f>20/6</f>
        <v>3.3333333333333335</v>
      </c>
      <c r="D18" s="6" t="s">
        <v>60</v>
      </c>
      <c r="E18" s="11">
        <v>590</v>
      </c>
      <c r="F18" s="5">
        <f>E18*C18</f>
        <v>1966.6666666666667</v>
      </c>
      <c r="G18" s="5">
        <v>0</v>
      </c>
      <c r="H18" s="29">
        <f>G18*E18</f>
        <v>0</v>
      </c>
      <c r="I18" s="49">
        <f>H18+F18</f>
        <v>1966.6666666666667</v>
      </c>
      <c r="J18" s="4"/>
    </row>
    <row r="19" spans="1:11" ht="20" customHeight="1">
      <c r="A19" s="198"/>
      <c r="B19" s="4" t="s">
        <v>27</v>
      </c>
      <c r="C19" s="5">
        <v>0</v>
      </c>
      <c r="D19" s="6" t="s">
        <v>26</v>
      </c>
      <c r="E19" s="11">
        <v>0</v>
      </c>
      <c r="F19" s="5">
        <f t="shared" ref="F19:F22" si="5">E19*C19</f>
        <v>0</v>
      </c>
      <c r="G19" s="5">
        <v>0</v>
      </c>
      <c r="H19" s="29">
        <f t="shared" ref="H19:H22" si="6">G19*E19</f>
        <v>0</v>
      </c>
      <c r="I19" s="49">
        <f t="shared" ref="I19:I22" si="7">H19+F19</f>
        <v>0</v>
      </c>
      <c r="J19" s="4"/>
    </row>
    <row r="20" spans="1:11" ht="20" customHeight="1">
      <c r="A20" s="6"/>
      <c r="B20" s="4" t="s">
        <v>28</v>
      </c>
      <c r="C20" s="5">
        <f>200/6</f>
        <v>33.333333333333336</v>
      </c>
      <c r="D20" s="6" t="s">
        <v>21</v>
      </c>
      <c r="E20" s="11">
        <v>25</v>
      </c>
      <c r="F20" s="5">
        <f t="shared" si="5"/>
        <v>833.33333333333337</v>
      </c>
      <c r="G20" s="5">
        <v>0</v>
      </c>
      <c r="H20" s="29">
        <f t="shared" si="6"/>
        <v>0</v>
      </c>
      <c r="I20" s="49">
        <f t="shared" si="7"/>
        <v>833.33333333333337</v>
      </c>
      <c r="J20" s="4"/>
    </row>
    <row r="21" spans="1:11" ht="20" customHeight="1">
      <c r="A21" s="6"/>
      <c r="B21" s="4" t="s">
        <v>29</v>
      </c>
      <c r="C21" s="5">
        <v>0</v>
      </c>
      <c r="D21" s="6" t="s">
        <v>30</v>
      </c>
      <c r="E21" s="11">
        <v>0</v>
      </c>
      <c r="F21" s="5">
        <f t="shared" si="5"/>
        <v>0</v>
      </c>
      <c r="G21" s="5">
        <v>0</v>
      </c>
      <c r="H21" s="29">
        <f t="shared" si="6"/>
        <v>0</v>
      </c>
      <c r="I21" s="49">
        <f t="shared" si="7"/>
        <v>0</v>
      </c>
      <c r="J21" s="4"/>
    </row>
    <row r="22" spans="1:11" ht="20" customHeight="1">
      <c r="A22" s="198"/>
      <c r="B22" s="4" t="s">
        <v>31</v>
      </c>
      <c r="C22" s="5">
        <v>0</v>
      </c>
      <c r="D22" s="6" t="s">
        <v>32</v>
      </c>
      <c r="E22" s="11">
        <v>0</v>
      </c>
      <c r="F22" s="5">
        <f t="shared" si="5"/>
        <v>0</v>
      </c>
      <c r="G22" s="5">
        <v>0</v>
      </c>
      <c r="H22" s="29">
        <f t="shared" si="6"/>
        <v>0</v>
      </c>
      <c r="I22" s="49">
        <f t="shared" si="7"/>
        <v>0</v>
      </c>
      <c r="J22" s="4"/>
    </row>
    <row r="23" spans="1:11" s="50" customFormat="1" ht="20" customHeight="1">
      <c r="A23" s="199"/>
      <c r="B23" s="12" t="s">
        <v>33</v>
      </c>
      <c r="C23" s="13"/>
      <c r="D23" s="12"/>
      <c r="E23" s="100"/>
      <c r="F23" s="14">
        <f>SUM(F18:F22)</f>
        <v>2800</v>
      </c>
      <c r="G23" s="14"/>
      <c r="H23" s="14">
        <f t="shared" ref="H23:I23" si="8">SUM(H18:H22)</f>
        <v>0</v>
      </c>
      <c r="I23" s="14">
        <f t="shared" si="8"/>
        <v>2800</v>
      </c>
      <c r="J23" s="13"/>
      <c r="K23" s="151">
        <f>H23+F23</f>
        <v>2800</v>
      </c>
    </row>
    <row r="24" spans="1:11" ht="20" customHeight="1">
      <c r="A24" s="198"/>
      <c r="B24" s="3" t="s">
        <v>34</v>
      </c>
      <c r="C24" s="4"/>
      <c r="D24" s="6"/>
      <c r="E24" s="48"/>
      <c r="F24" s="4"/>
      <c r="G24" s="4"/>
      <c r="H24" s="4"/>
      <c r="I24" s="4"/>
      <c r="J24" s="4"/>
    </row>
    <row r="25" spans="1:11" ht="20" customHeight="1">
      <c r="A25" s="198"/>
      <c r="B25" s="4" t="s">
        <v>35</v>
      </c>
      <c r="C25" s="4">
        <f>15/6</f>
        <v>2.5</v>
      </c>
      <c r="D25" s="6" t="s">
        <v>16</v>
      </c>
      <c r="E25" s="11">
        <v>1300</v>
      </c>
      <c r="F25" s="5">
        <f>E25*C25</f>
        <v>3250</v>
      </c>
      <c r="G25" s="5">
        <v>0</v>
      </c>
      <c r="H25" s="5">
        <f>G25*C25</f>
        <v>0</v>
      </c>
      <c r="I25" s="49">
        <f>H25+F25</f>
        <v>3250</v>
      </c>
      <c r="J25" s="4"/>
    </row>
    <row r="26" spans="1:11" ht="20" customHeight="1">
      <c r="A26" s="198"/>
      <c r="B26" s="4" t="s">
        <v>36</v>
      </c>
      <c r="C26" s="17">
        <f>55/6</f>
        <v>9.1666666666666661</v>
      </c>
      <c r="D26" s="6" t="s">
        <v>16</v>
      </c>
      <c r="E26" s="11">
        <v>1500</v>
      </c>
      <c r="F26" s="5">
        <f t="shared" ref="F26:F29" si="9">E26*C26</f>
        <v>13750</v>
      </c>
      <c r="G26" s="5">
        <v>0</v>
      </c>
      <c r="H26" s="5">
        <f t="shared" ref="H26:H29" si="10">G26*C26</f>
        <v>0</v>
      </c>
      <c r="I26" s="49">
        <f t="shared" ref="I26:I29" si="11">H26+F26</f>
        <v>13750</v>
      </c>
      <c r="J26" s="4"/>
    </row>
    <row r="27" spans="1:11" ht="20" customHeight="1">
      <c r="A27" s="198"/>
      <c r="B27" s="4" t="s">
        <v>37</v>
      </c>
      <c r="C27" s="5">
        <v>0</v>
      </c>
      <c r="D27" s="6" t="s">
        <v>16</v>
      </c>
      <c r="E27" s="11">
        <v>1600</v>
      </c>
      <c r="F27" s="5">
        <f t="shared" si="9"/>
        <v>0</v>
      </c>
      <c r="G27" s="5">
        <v>0</v>
      </c>
      <c r="H27" s="5">
        <f t="shared" si="10"/>
        <v>0</v>
      </c>
      <c r="I27" s="49">
        <f t="shared" si="11"/>
        <v>0</v>
      </c>
      <c r="J27" s="4"/>
    </row>
    <row r="28" spans="1:11" ht="20" customHeight="1">
      <c r="A28" s="198"/>
      <c r="B28" s="4" t="s">
        <v>38</v>
      </c>
      <c r="C28" s="5">
        <f>600/6</f>
        <v>100</v>
      </c>
      <c r="D28" s="6" t="s">
        <v>32</v>
      </c>
      <c r="E28" s="11">
        <v>74.2</v>
      </c>
      <c r="F28" s="5">
        <f t="shared" si="9"/>
        <v>7420</v>
      </c>
      <c r="G28" s="5">
        <v>0</v>
      </c>
      <c r="H28" s="5">
        <f t="shared" si="10"/>
        <v>0</v>
      </c>
      <c r="I28" s="49">
        <f t="shared" si="11"/>
        <v>7420</v>
      </c>
      <c r="J28" s="4"/>
    </row>
    <row r="29" spans="1:11" ht="20" customHeight="1">
      <c r="A29" s="198"/>
      <c r="B29" s="4" t="s">
        <v>286</v>
      </c>
      <c r="C29" s="5">
        <f>600/6</f>
        <v>100</v>
      </c>
      <c r="D29" s="6" t="s">
        <v>32</v>
      </c>
      <c r="E29" s="11">
        <v>0</v>
      </c>
      <c r="F29" s="5">
        <f t="shared" si="9"/>
        <v>0</v>
      </c>
      <c r="G29" s="223">
        <v>173.47</v>
      </c>
      <c r="H29" s="5">
        <f t="shared" si="10"/>
        <v>17347</v>
      </c>
      <c r="I29" s="49">
        <f t="shared" si="11"/>
        <v>17347</v>
      </c>
      <c r="J29" s="4"/>
    </row>
    <row r="30" spans="1:11" s="50" customFormat="1" ht="20" customHeight="1">
      <c r="A30" s="12"/>
      <c r="B30" s="12" t="s">
        <v>39</v>
      </c>
      <c r="C30" s="13"/>
      <c r="D30" s="12"/>
      <c r="E30" s="100"/>
      <c r="F30" s="14">
        <f>SUM(F25:F29)</f>
        <v>24420</v>
      </c>
      <c r="G30" s="14"/>
      <c r="H30" s="14">
        <f t="shared" ref="H30:I30" si="12">SUM(H25:H29)</f>
        <v>17347</v>
      </c>
      <c r="I30" s="14">
        <f t="shared" si="12"/>
        <v>41767</v>
      </c>
      <c r="J30" s="13"/>
      <c r="K30" s="151">
        <f>H30+F30</f>
        <v>41767</v>
      </c>
    </row>
    <row r="31" spans="1:11" ht="20" customHeight="1">
      <c r="A31" s="198"/>
      <c r="B31" s="3" t="s">
        <v>40</v>
      </c>
      <c r="C31" s="4"/>
      <c r="D31" s="6"/>
      <c r="E31" s="48"/>
      <c r="F31" s="4"/>
      <c r="G31" s="8"/>
      <c r="H31" s="8"/>
      <c r="I31" s="8"/>
      <c r="J31" s="4"/>
    </row>
    <row r="32" spans="1:11" ht="20" customHeight="1">
      <c r="A32" s="198"/>
      <c r="B32" s="4" t="s">
        <v>41</v>
      </c>
      <c r="C32" s="5">
        <f>(50*2.22/1000)/6</f>
        <v>1.8500000000000003E-2</v>
      </c>
      <c r="D32" s="6" t="s">
        <v>42</v>
      </c>
      <c r="E32" s="11">
        <v>64</v>
      </c>
      <c r="F32" s="5">
        <f>C32*1000/2.22*E32</f>
        <v>533.33333333333337</v>
      </c>
      <c r="G32" s="5">
        <v>0</v>
      </c>
      <c r="H32" s="5">
        <f>G32*C32</f>
        <v>0</v>
      </c>
      <c r="I32" s="49">
        <f>H32+F32</f>
        <v>533.33333333333337</v>
      </c>
      <c r="J32" s="4"/>
    </row>
    <row r="33" spans="1:11" ht="20" customHeight="1">
      <c r="A33" s="198"/>
      <c r="B33" s="4" t="s">
        <v>43</v>
      </c>
      <c r="C33" s="5">
        <f>(65*4.99/1000)/6</f>
        <v>5.405833333333334E-2</v>
      </c>
      <c r="D33" s="6" t="s">
        <v>42</v>
      </c>
      <c r="E33" s="11">
        <v>137</v>
      </c>
      <c r="F33" s="5">
        <f>C33*1000/4.99*E33</f>
        <v>1484.1666666666667</v>
      </c>
      <c r="G33" s="5">
        <v>0</v>
      </c>
      <c r="H33" s="5">
        <f t="shared" ref="H33:H36" si="13">G33*C33</f>
        <v>0</v>
      </c>
      <c r="I33" s="49">
        <f t="shared" ref="I33:I36" si="14">H33+F33</f>
        <v>1484.1666666666667</v>
      </c>
      <c r="J33" s="4"/>
    </row>
    <row r="34" spans="1:11" ht="20" customHeight="1">
      <c r="A34" s="198"/>
      <c r="B34" s="4" t="s">
        <v>44</v>
      </c>
      <c r="C34" s="5">
        <f>(215*8.88/1000)/6</f>
        <v>0.31820000000000004</v>
      </c>
      <c r="D34" s="6" t="s">
        <v>42</v>
      </c>
      <c r="E34" s="11">
        <v>240</v>
      </c>
      <c r="F34" s="5">
        <f>C34*1000/8.88*E34</f>
        <v>8600</v>
      </c>
      <c r="G34" s="5">
        <v>0</v>
      </c>
      <c r="H34" s="5">
        <f t="shared" si="13"/>
        <v>0</v>
      </c>
      <c r="I34" s="49">
        <f t="shared" si="14"/>
        <v>8600</v>
      </c>
      <c r="J34" s="4"/>
    </row>
    <row r="35" spans="1:11" ht="20" customHeight="1">
      <c r="A35" s="198"/>
      <c r="B35" s="4" t="s">
        <v>45</v>
      </c>
      <c r="C35" s="5">
        <v>0</v>
      </c>
      <c r="D35" s="6" t="s">
        <v>42</v>
      </c>
      <c r="E35" s="11">
        <v>425</v>
      </c>
      <c r="F35" s="5">
        <f>C35*1000/15.78*E35</f>
        <v>0</v>
      </c>
      <c r="G35" s="5">
        <v>0</v>
      </c>
      <c r="H35" s="5">
        <f t="shared" si="13"/>
        <v>0</v>
      </c>
      <c r="I35" s="49">
        <f t="shared" si="14"/>
        <v>0</v>
      </c>
      <c r="J35" s="4"/>
    </row>
    <row r="36" spans="1:11" ht="20" customHeight="1">
      <c r="A36" s="198"/>
      <c r="B36" s="4" t="s">
        <v>46</v>
      </c>
      <c r="C36" s="5">
        <v>0</v>
      </c>
      <c r="D36" s="6" t="s">
        <v>30</v>
      </c>
      <c r="E36" s="11">
        <v>0</v>
      </c>
      <c r="F36" s="5">
        <f t="shared" ref="F36" si="15">E36*C36</f>
        <v>0</v>
      </c>
      <c r="G36" s="5">
        <v>0</v>
      </c>
      <c r="H36" s="5">
        <f t="shared" si="13"/>
        <v>0</v>
      </c>
      <c r="I36" s="49">
        <f t="shared" si="14"/>
        <v>0</v>
      </c>
      <c r="J36" s="4"/>
    </row>
    <row r="37" spans="1:11" s="50" customFormat="1" ht="20" customHeight="1">
      <c r="A37" s="199"/>
      <c r="B37" s="12" t="s">
        <v>47</v>
      </c>
      <c r="C37" s="18"/>
      <c r="D37" s="12"/>
      <c r="E37" s="21"/>
      <c r="F37" s="18">
        <f>SUM(F32:F36)</f>
        <v>10617.5</v>
      </c>
      <c r="G37" s="18"/>
      <c r="H37" s="18">
        <f t="shared" ref="H37:I37" si="16">SUM(H32:H36)</f>
        <v>0</v>
      </c>
      <c r="I37" s="18">
        <f t="shared" si="16"/>
        <v>10617.5</v>
      </c>
      <c r="J37" s="13"/>
      <c r="K37" s="151">
        <f>H37+F37</f>
        <v>10617.5</v>
      </c>
    </row>
    <row r="38" spans="1:11" ht="20" customHeight="1">
      <c r="A38" s="198"/>
      <c r="B38" s="3" t="s">
        <v>48</v>
      </c>
      <c r="C38" s="4"/>
      <c r="D38" s="6"/>
      <c r="E38" s="48"/>
      <c r="F38" s="4"/>
      <c r="G38" s="4"/>
      <c r="H38" s="4"/>
      <c r="I38" s="4"/>
      <c r="J38" s="4"/>
    </row>
    <row r="39" spans="1:11" ht="20" customHeight="1">
      <c r="A39" s="198"/>
      <c r="B39" s="4" t="s">
        <v>43</v>
      </c>
      <c r="C39" s="5">
        <f>0.299/6</f>
        <v>4.9833333333333334E-2</v>
      </c>
      <c r="D39" s="6" t="s">
        <v>42</v>
      </c>
      <c r="E39" s="11">
        <v>137</v>
      </c>
      <c r="F39" s="5">
        <f>C39*1000/4.99*E39</f>
        <v>1368.1696726786906</v>
      </c>
      <c r="G39" s="20">
        <v>0</v>
      </c>
      <c r="H39" s="5">
        <f>G39*C39</f>
        <v>0</v>
      </c>
      <c r="I39" s="49">
        <f>H39+F39</f>
        <v>1368.1696726786906</v>
      </c>
      <c r="J39" s="4"/>
    </row>
    <row r="40" spans="1:11" ht="20" customHeight="1">
      <c r="A40" s="198"/>
      <c r="B40" s="4" t="s">
        <v>44</v>
      </c>
      <c r="C40" s="5">
        <f>0.53/6</f>
        <v>8.8333333333333333E-2</v>
      </c>
      <c r="D40" s="6" t="s">
        <v>42</v>
      </c>
      <c r="E40" s="11">
        <v>240</v>
      </c>
      <c r="F40" s="5">
        <f>C40*1000/8.88*E40</f>
        <v>2387.3873873873872</v>
      </c>
      <c r="G40" s="20">
        <v>0</v>
      </c>
      <c r="H40" s="5">
        <f t="shared" ref="H40:H43" si="17">G40*C40</f>
        <v>0</v>
      </c>
      <c r="I40" s="49">
        <f>H40+F40</f>
        <v>2387.3873873873872</v>
      </c>
      <c r="J40" s="4"/>
    </row>
    <row r="41" spans="1:11" ht="20" customHeight="1">
      <c r="A41" s="6"/>
      <c r="B41" s="4" t="s">
        <v>111</v>
      </c>
      <c r="C41" s="5">
        <f>59/6</f>
        <v>9.8333333333333339</v>
      </c>
      <c r="D41" s="6" t="s">
        <v>16</v>
      </c>
      <c r="E41" s="11">
        <v>1600</v>
      </c>
      <c r="F41" s="5">
        <f>E41*C41</f>
        <v>15733.333333333334</v>
      </c>
      <c r="G41" s="20">
        <v>0</v>
      </c>
      <c r="H41" s="5">
        <f t="shared" si="17"/>
        <v>0</v>
      </c>
      <c r="I41" s="49">
        <f t="shared" ref="I41:I43" si="18">H41+F41</f>
        <v>15733.333333333334</v>
      </c>
      <c r="J41" s="4"/>
    </row>
    <row r="42" spans="1:11" ht="20" customHeight="1">
      <c r="A42" s="6"/>
      <c r="B42" s="4" t="s">
        <v>49</v>
      </c>
      <c r="C42" s="5">
        <f>600/6</f>
        <v>100</v>
      </c>
      <c r="D42" s="6" t="s">
        <v>32</v>
      </c>
      <c r="E42" s="11">
        <v>74.2</v>
      </c>
      <c r="F42" s="5">
        <f>E42*C42</f>
        <v>7420</v>
      </c>
      <c r="G42" s="20">
        <v>0</v>
      </c>
      <c r="H42" s="5">
        <f t="shared" si="17"/>
        <v>0</v>
      </c>
      <c r="I42" s="49">
        <f t="shared" si="18"/>
        <v>7420</v>
      </c>
      <c r="J42" s="4"/>
    </row>
    <row r="43" spans="1:11" ht="20" customHeight="1">
      <c r="A43" s="198"/>
      <c r="B43" s="4" t="s">
        <v>287</v>
      </c>
      <c r="C43" s="5">
        <f>600/6</f>
        <v>100</v>
      </c>
      <c r="D43" s="6" t="s">
        <v>32</v>
      </c>
      <c r="E43" s="11">
        <v>0</v>
      </c>
      <c r="F43" s="5">
        <v>0</v>
      </c>
      <c r="G43" s="20">
        <v>115</v>
      </c>
      <c r="H43" s="5">
        <f t="shared" si="17"/>
        <v>11500</v>
      </c>
      <c r="I43" s="49">
        <f t="shared" si="18"/>
        <v>11500</v>
      </c>
      <c r="J43" s="4"/>
    </row>
    <row r="44" spans="1:11" s="50" customFormat="1" ht="20" customHeight="1" thickBot="1">
      <c r="A44" s="12"/>
      <c r="B44" s="12" t="s">
        <v>50</v>
      </c>
      <c r="C44" s="18"/>
      <c r="D44" s="12"/>
      <c r="E44" s="21"/>
      <c r="F44" s="18">
        <f>SUM(F39:F43)</f>
        <v>26908.890393399412</v>
      </c>
      <c r="G44" s="18"/>
      <c r="H44" s="18">
        <f t="shared" ref="H44:I44" si="19">SUM(H39:H43)</f>
        <v>11500</v>
      </c>
      <c r="I44" s="18">
        <f t="shared" si="19"/>
        <v>38408.890393399415</v>
      </c>
      <c r="J44" s="13"/>
      <c r="K44" s="151">
        <f>H44+F44</f>
        <v>38408.890393399415</v>
      </c>
    </row>
    <row r="45" spans="1:11" ht="20" customHeight="1" thickTop="1">
      <c r="A45" s="200"/>
      <c r="B45" s="22" t="s">
        <v>51</v>
      </c>
      <c r="C45" s="23"/>
      <c r="D45" s="187"/>
      <c r="E45" s="51"/>
      <c r="F45" s="23"/>
      <c r="G45" s="23"/>
      <c r="H45" s="23"/>
      <c r="I45" s="23"/>
      <c r="J45" s="23"/>
    </row>
    <row r="46" spans="1:11" ht="20" customHeight="1">
      <c r="A46" s="198"/>
      <c r="B46" s="4" t="s">
        <v>52</v>
      </c>
      <c r="C46" s="5">
        <f>12/6</f>
        <v>2</v>
      </c>
      <c r="D46" s="6" t="s">
        <v>53</v>
      </c>
      <c r="E46" s="11">
        <v>225</v>
      </c>
      <c r="F46" s="5">
        <f>E46*C46</f>
        <v>450</v>
      </c>
      <c r="G46" s="20">
        <v>0</v>
      </c>
      <c r="H46" s="5">
        <f>G46*C46</f>
        <v>0</v>
      </c>
      <c r="I46" s="49">
        <f>H46+F46</f>
        <v>450</v>
      </c>
      <c r="J46" s="24"/>
    </row>
    <row r="47" spans="1:11" ht="20" customHeight="1">
      <c r="A47" s="198"/>
      <c r="B47" s="4" t="s">
        <v>54</v>
      </c>
      <c r="C47" s="5">
        <f>73/6</f>
        <v>12.166666666666666</v>
      </c>
      <c r="D47" s="6" t="s">
        <v>53</v>
      </c>
      <c r="E47" s="11">
        <v>500</v>
      </c>
      <c r="F47" s="5">
        <f t="shared" ref="F47:F64" si="20">E47*C47</f>
        <v>6083.333333333333</v>
      </c>
      <c r="G47" s="20">
        <v>0</v>
      </c>
      <c r="H47" s="5">
        <f t="shared" ref="H47:H64" si="21">G47*C47</f>
        <v>0</v>
      </c>
      <c r="I47" s="49">
        <f t="shared" ref="I47:I64" si="22">H47+F47</f>
        <v>6083.333333333333</v>
      </c>
      <c r="J47" s="24"/>
    </row>
    <row r="48" spans="1:11" ht="20" customHeight="1">
      <c r="A48" s="6"/>
      <c r="B48" s="4" t="s">
        <v>112</v>
      </c>
      <c r="C48" s="5">
        <f>46/6</f>
        <v>7.666666666666667</v>
      </c>
      <c r="D48" s="6" t="s">
        <v>53</v>
      </c>
      <c r="E48" s="11">
        <v>650</v>
      </c>
      <c r="F48" s="5">
        <f t="shared" si="20"/>
        <v>4983.3333333333339</v>
      </c>
      <c r="G48" s="20">
        <v>0</v>
      </c>
      <c r="H48" s="5">
        <f t="shared" si="21"/>
        <v>0</v>
      </c>
      <c r="I48" s="49">
        <f t="shared" si="22"/>
        <v>4983.3333333333339</v>
      </c>
      <c r="J48" s="24"/>
    </row>
    <row r="49" spans="1:10" ht="20" customHeight="1">
      <c r="A49" s="198"/>
      <c r="B49" s="4" t="s">
        <v>55</v>
      </c>
      <c r="C49" s="5">
        <f>28/6</f>
        <v>4.666666666666667</v>
      </c>
      <c r="D49" s="6" t="s">
        <v>53</v>
      </c>
      <c r="E49" s="11">
        <v>740</v>
      </c>
      <c r="F49" s="5">
        <f t="shared" si="20"/>
        <v>3453.3333333333335</v>
      </c>
      <c r="G49" s="20">
        <v>0</v>
      </c>
      <c r="H49" s="5">
        <f t="shared" si="21"/>
        <v>0</v>
      </c>
      <c r="I49" s="49">
        <f t="shared" si="22"/>
        <v>3453.3333333333335</v>
      </c>
      <c r="J49" s="24"/>
    </row>
    <row r="50" spans="1:10" ht="20" customHeight="1">
      <c r="A50" s="198"/>
      <c r="B50" s="4" t="s">
        <v>56</v>
      </c>
      <c r="C50" s="5">
        <f>2/6</f>
        <v>0.33333333333333331</v>
      </c>
      <c r="D50" s="6" t="s">
        <v>53</v>
      </c>
      <c r="E50" s="11">
        <v>1900</v>
      </c>
      <c r="F50" s="5">
        <f t="shared" si="20"/>
        <v>633.33333333333326</v>
      </c>
      <c r="G50" s="20">
        <v>0</v>
      </c>
      <c r="H50" s="5">
        <f t="shared" si="21"/>
        <v>0</v>
      </c>
      <c r="I50" s="49">
        <f t="shared" si="22"/>
        <v>633.33333333333326</v>
      </c>
      <c r="J50" s="24"/>
    </row>
    <row r="51" spans="1:10" ht="20" customHeight="1">
      <c r="A51" s="198"/>
      <c r="B51" s="4" t="s">
        <v>57</v>
      </c>
      <c r="C51" s="5">
        <f>1/6</f>
        <v>0.16666666666666666</v>
      </c>
      <c r="D51" s="6" t="s">
        <v>53</v>
      </c>
      <c r="E51" s="11">
        <v>905</v>
      </c>
      <c r="F51" s="5">
        <f t="shared" si="20"/>
        <v>150.83333333333331</v>
      </c>
      <c r="G51" s="20">
        <v>0</v>
      </c>
      <c r="H51" s="5">
        <f t="shared" si="21"/>
        <v>0</v>
      </c>
      <c r="I51" s="49">
        <f t="shared" si="22"/>
        <v>150.83333333333331</v>
      </c>
      <c r="J51" s="24"/>
    </row>
    <row r="52" spans="1:10" ht="20" customHeight="1">
      <c r="A52" s="198"/>
      <c r="B52" s="4" t="s">
        <v>58</v>
      </c>
      <c r="C52" s="5">
        <f>8/6</f>
        <v>1.3333333333333333</v>
      </c>
      <c r="D52" s="6" t="s">
        <v>53</v>
      </c>
      <c r="E52" s="11">
        <v>1040</v>
      </c>
      <c r="F52" s="5">
        <f t="shared" si="20"/>
        <v>1386.6666666666665</v>
      </c>
      <c r="G52" s="20">
        <v>0</v>
      </c>
      <c r="H52" s="5">
        <f t="shared" si="21"/>
        <v>0</v>
      </c>
      <c r="I52" s="49">
        <f t="shared" si="22"/>
        <v>1386.6666666666665</v>
      </c>
      <c r="J52" s="24"/>
    </row>
    <row r="53" spans="1:10" ht="20" customHeight="1">
      <c r="A53" s="198"/>
      <c r="B53" s="4" t="s">
        <v>59</v>
      </c>
      <c r="C53" s="5">
        <f>6/6</f>
        <v>1</v>
      </c>
      <c r="D53" s="6" t="s">
        <v>60</v>
      </c>
      <c r="E53" s="11">
        <v>109</v>
      </c>
      <c r="F53" s="5">
        <f t="shared" si="20"/>
        <v>109</v>
      </c>
      <c r="G53" s="20">
        <v>0</v>
      </c>
      <c r="H53" s="5">
        <f t="shared" si="21"/>
        <v>0</v>
      </c>
      <c r="I53" s="49">
        <f t="shared" si="22"/>
        <v>109</v>
      </c>
      <c r="J53" s="24"/>
    </row>
    <row r="54" spans="1:10" ht="20" customHeight="1">
      <c r="A54" s="6"/>
      <c r="B54" s="4" t="s">
        <v>61</v>
      </c>
      <c r="C54" s="5">
        <f>14/6</f>
        <v>2.3333333333333335</v>
      </c>
      <c r="D54" s="6" t="s">
        <v>60</v>
      </c>
      <c r="E54" s="11">
        <v>53</v>
      </c>
      <c r="F54" s="5">
        <f t="shared" si="20"/>
        <v>123.66666666666667</v>
      </c>
      <c r="G54" s="20">
        <v>0</v>
      </c>
      <c r="H54" s="5">
        <f t="shared" si="21"/>
        <v>0</v>
      </c>
      <c r="I54" s="49">
        <f t="shared" si="22"/>
        <v>123.66666666666667</v>
      </c>
      <c r="J54" s="24"/>
    </row>
    <row r="55" spans="1:10" ht="20" customHeight="1">
      <c r="A55" s="6"/>
      <c r="B55" s="4" t="s">
        <v>62</v>
      </c>
      <c r="C55" s="5">
        <f>1/6</f>
        <v>0.16666666666666666</v>
      </c>
      <c r="D55" s="6" t="s">
        <v>60</v>
      </c>
      <c r="E55" s="11">
        <v>670</v>
      </c>
      <c r="F55" s="5">
        <f t="shared" si="20"/>
        <v>111.66666666666666</v>
      </c>
      <c r="G55" s="20">
        <v>0</v>
      </c>
      <c r="H55" s="5">
        <f t="shared" si="21"/>
        <v>0</v>
      </c>
      <c r="I55" s="49">
        <f t="shared" si="22"/>
        <v>111.66666666666666</v>
      </c>
      <c r="J55" s="24"/>
    </row>
    <row r="56" spans="1:10" ht="20" customHeight="1">
      <c r="A56" s="198"/>
      <c r="B56" s="4" t="s">
        <v>63</v>
      </c>
      <c r="C56" s="5">
        <f>1/6</f>
        <v>0.16666666666666666</v>
      </c>
      <c r="D56" s="6" t="s">
        <v>64</v>
      </c>
      <c r="E56" s="11">
        <v>1500</v>
      </c>
      <c r="F56" s="5">
        <f t="shared" si="20"/>
        <v>250</v>
      </c>
      <c r="G56" s="20">
        <v>0</v>
      </c>
      <c r="H56" s="5">
        <f t="shared" si="21"/>
        <v>0</v>
      </c>
      <c r="I56" s="49">
        <f t="shared" si="22"/>
        <v>250</v>
      </c>
      <c r="J56" s="4"/>
    </row>
    <row r="57" spans="1:10" ht="20" customHeight="1">
      <c r="A57" s="198"/>
      <c r="B57" s="4" t="s">
        <v>65</v>
      </c>
      <c r="C57" s="5">
        <f>6/6</f>
        <v>1</v>
      </c>
      <c r="D57" s="6" t="s">
        <v>66</v>
      </c>
      <c r="E57" s="11">
        <v>1189</v>
      </c>
      <c r="F57" s="5">
        <f t="shared" si="20"/>
        <v>1189</v>
      </c>
      <c r="G57" s="20">
        <v>0</v>
      </c>
      <c r="H57" s="5">
        <f t="shared" si="21"/>
        <v>0</v>
      </c>
      <c r="I57" s="49">
        <f t="shared" si="22"/>
        <v>1189</v>
      </c>
      <c r="J57" s="4"/>
    </row>
    <row r="58" spans="1:10" ht="20" customHeight="1">
      <c r="A58" s="198"/>
      <c r="B58" s="4" t="s">
        <v>67</v>
      </c>
      <c r="C58" s="5">
        <f>10/6</f>
        <v>1.6666666666666667</v>
      </c>
      <c r="D58" s="6" t="s">
        <v>66</v>
      </c>
      <c r="E58" s="11">
        <v>499</v>
      </c>
      <c r="F58" s="5">
        <f t="shared" si="20"/>
        <v>831.66666666666674</v>
      </c>
      <c r="G58" s="20">
        <v>0</v>
      </c>
      <c r="H58" s="5">
        <f t="shared" si="21"/>
        <v>0</v>
      </c>
      <c r="I58" s="49">
        <f t="shared" si="22"/>
        <v>831.66666666666674</v>
      </c>
      <c r="J58" s="4"/>
    </row>
    <row r="59" spans="1:10" ht="20" customHeight="1">
      <c r="A59" s="198"/>
      <c r="B59" s="4" t="s">
        <v>68</v>
      </c>
      <c r="C59" s="17">
        <f>10/6</f>
        <v>1.6666666666666667</v>
      </c>
      <c r="D59" s="16" t="s">
        <v>69</v>
      </c>
      <c r="E59" s="11">
        <v>98</v>
      </c>
      <c r="F59" s="5">
        <f t="shared" si="20"/>
        <v>163.33333333333334</v>
      </c>
      <c r="G59" s="20">
        <v>0</v>
      </c>
      <c r="H59" s="5">
        <f t="shared" si="21"/>
        <v>0</v>
      </c>
      <c r="I59" s="49">
        <f t="shared" si="22"/>
        <v>163.33333333333334</v>
      </c>
      <c r="J59" s="4"/>
    </row>
    <row r="60" spans="1:10" ht="20" customHeight="1">
      <c r="A60" s="198"/>
      <c r="B60" s="39" t="s">
        <v>255</v>
      </c>
      <c r="C60" s="26">
        <f>446.43/6</f>
        <v>74.405000000000001</v>
      </c>
      <c r="D60" s="27" t="s">
        <v>263</v>
      </c>
      <c r="E60" s="28">
        <v>0</v>
      </c>
      <c r="F60" s="5">
        <f t="shared" si="20"/>
        <v>0</v>
      </c>
      <c r="G60" s="11">
        <v>135</v>
      </c>
      <c r="H60" s="5">
        <f t="shared" si="21"/>
        <v>10044.674999999999</v>
      </c>
      <c r="I60" s="49">
        <f t="shared" si="22"/>
        <v>10044.674999999999</v>
      </c>
      <c r="J60" s="24"/>
    </row>
    <row r="61" spans="1:10" ht="20" customHeight="1">
      <c r="A61" s="198"/>
      <c r="B61" s="4" t="s">
        <v>266</v>
      </c>
      <c r="C61" s="30"/>
      <c r="D61" s="31" t="s">
        <v>264</v>
      </c>
      <c r="E61" s="28">
        <v>0</v>
      </c>
      <c r="F61" s="5">
        <f t="shared" si="20"/>
        <v>0</v>
      </c>
      <c r="G61" s="32">
        <v>1000</v>
      </c>
      <c r="H61" s="5">
        <f t="shared" si="21"/>
        <v>0</v>
      </c>
      <c r="I61" s="49">
        <f t="shared" si="22"/>
        <v>0</v>
      </c>
      <c r="J61" s="24"/>
    </row>
    <row r="62" spans="1:10" ht="20" customHeight="1">
      <c r="A62" s="198"/>
      <c r="B62" s="4" t="s">
        <v>258</v>
      </c>
      <c r="C62" s="30">
        <f>11/6</f>
        <v>1.8333333333333333</v>
      </c>
      <c r="D62" s="31" t="s">
        <v>21</v>
      </c>
      <c r="E62" s="28">
        <v>0</v>
      </c>
      <c r="F62" s="5">
        <f t="shared" si="20"/>
        <v>0</v>
      </c>
      <c r="G62" s="33">
        <v>300</v>
      </c>
      <c r="H62" s="5">
        <f t="shared" si="21"/>
        <v>550</v>
      </c>
      <c r="I62" s="49">
        <f t="shared" si="22"/>
        <v>550</v>
      </c>
      <c r="J62" s="24"/>
    </row>
    <row r="63" spans="1:10" ht="20" customHeight="1">
      <c r="A63" s="6"/>
      <c r="B63" s="4" t="s">
        <v>267</v>
      </c>
      <c r="C63" s="30">
        <f>8/6</f>
        <v>1.3333333333333333</v>
      </c>
      <c r="D63" s="31" t="s">
        <v>21</v>
      </c>
      <c r="E63" s="28">
        <v>0</v>
      </c>
      <c r="F63" s="5">
        <f t="shared" si="20"/>
        <v>0</v>
      </c>
      <c r="G63" s="11">
        <v>500</v>
      </c>
      <c r="H63" s="5">
        <f t="shared" si="21"/>
        <v>666.66666666666663</v>
      </c>
      <c r="I63" s="49">
        <f t="shared" si="22"/>
        <v>666.66666666666663</v>
      </c>
      <c r="J63" s="24"/>
    </row>
    <row r="64" spans="1:10" ht="20" customHeight="1">
      <c r="A64" s="6"/>
      <c r="B64" s="39" t="s">
        <v>268</v>
      </c>
      <c r="C64" s="30">
        <v>4</v>
      </c>
      <c r="D64" s="34" t="s">
        <v>123</v>
      </c>
      <c r="E64" s="28">
        <v>0</v>
      </c>
      <c r="F64" s="5">
        <f t="shared" si="20"/>
        <v>0</v>
      </c>
      <c r="G64" s="11">
        <v>80</v>
      </c>
      <c r="H64" s="5">
        <f t="shared" si="21"/>
        <v>320</v>
      </c>
      <c r="I64" s="49">
        <f t="shared" si="22"/>
        <v>320</v>
      </c>
      <c r="J64" s="24"/>
    </row>
    <row r="65" spans="1:11" s="50" customFormat="1" ht="20" customHeight="1">
      <c r="A65" s="199"/>
      <c r="B65" s="12" t="s">
        <v>70</v>
      </c>
      <c r="C65" s="13"/>
      <c r="D65" s="12"/>
      <c r="E65" s="100"/>
      <c r="F65" s="14">
        <f>SUM(F46:F64)</f>
        <v>19919.166666666672</v>
      </c>
      <c r="G65" s="14"/>
      <c r="H65" s="14">
        <f t="shared" ref="H65:I65" si="23">SUM(H46:H64)</f>
        <v>11581.341666666665</v>
      </c>
      <c r="I65" s="14">
        <f t="shared" si="23"/>
        <v>31500.508333333339</v>
      </c>
      <c r="J65" s="13"/>
      <c r="K65" s="151">
        <f>H65+F65</f>
        <v>31500.508333333339</v>
      </c>
    </row>
    <row r="66" spans="1:11" s="152" customFormat="1" ht="20" customHeight="1">
      <c r="A66" s="211">
        <v>1</v>
      </c>
      <c r="B66" s="36" t="s">
        <v>71</v>
      </c>
      <c r="C66" s="35"/>
      <c r="D66" s="36" t="s">
        <v>11</v>
      </c>
      <c r="E66" s="37"/>
      <c r="F66" s="37">
        <f>F12+F16+F23+F30+F37+F44+F65</f>
        <v>110913.89039339942</v>
      </c>
      <c r="G66" s="37"/>
      <c r="H66" s="37">
        <f t="shared" ref="H66:I66" si="24">H12+H16+H23+H30+H37+H44+H65</f>
        <v>48853.341666666667</v>
      </c>
      <c r="I66" s="37">
        <f t="shared" si="24"/>
        <v>159767.2320600661</v>
      </c>
      <c r="J66" s="38"/>
      <c r="K66" s="151">
        <f>H66+F66</f>
        <v>159767.23206006608</v>
      </c>
    </row>
    <row r="67" spans="1:11" s="91" customFormat="1" ht="20" customHeight="1" thickBot="1">
      <c r="A67" s="205"/>
      <c r="B67" s="87"/>
      <c r="C67" s="86"/>
      <c r="D67" s="87"/>
      <c r="E67" s="88"/>
      <c r="F67" s="88"/>
      <c r="G67" s="88"/>
      <c r="H67" s="88"/>
      <c r="I67" s="153"/>
      <c r="J67" s="89"/>
    </row>
    <row r="68" spans="1:11" s="69" customFormat="1" ht="20" customHeight="1" thickTop="1">
      <c r="A68" s="203">
        <v>2</v>
      </c>
      <c r="B68" s="66" t="s">
        <v>72</v>
      </c>
      <c r="C68" s="67"/>
      <c r="D68" s="188"/>
      <c r="E68" s="68"/>
      <c r="F68" s="67"/>
      <c r="G68" s="67"/>
      <c r="H68" s="67"/>
      <c r="I68" s="67"/>
      <c r="J68" s="67"/>
    </row>
    <row r="69" spans="1:11" ht="20" customHeight="1">
      <c r="A69" s="198"/>
      <c r="B69" s="3" t="s">
        <v>73</v>
      </c>
      <c r="C69" s="4"/>
      <c r="D69" s="6"/>
      <c r="E69" s="48"/>
      <c r="F69" s="4"/>
      <c r="G69" s="4"/>
      <c r="H69" s="4"/>
      <c r="I69" s="4"/>
      <c r="J69" s="4"/>
    </row>
    <row r="70" spans="1:11" ht="20" customHeight="1">
      <c r="A70" s="198"/>
      <c r="B70" s="4" t="s">
        <v>74</v>
      </c>
      <c r="C70" s="5">
        <f>30/6</f>
        <v>5</v>
      </c>
      <c r="D70" s="6" t="s">
        <v>53</v>
      </c>
      <c r="E70" s="11">
        <v>1090</v>
      </c>
      <c r="F70" s="5">
        <f>E70*C70</f>
        <v>5450</v>
      </c>
      <c r="G70" s="20">
        <v>0</v>
      </c>
      <c r="H70" s="5">
        <f>G70*C70</f>
        <v>0</v>
      </c>
      <c r="I70" s="49">
        <f>H70+F70</f>
        <v>5450</v>
      </c>
      <c r="J70" s="4"/>
    </row>
    <row r="71" spans="1:11" ht="20" customHeight="1">
      <c r="A71" s="198"/>
      <c r="B71" s="4" t="s">
        <v>75</v>
      </c>
      <c r="C71" s="5">
        <f>12/6</f>
        <v>2</v>
      </c>
      <c r="D71" s="6" t="s">
        <v>53</v>
      </c>
      <c r="E71" s="11">
        <v>510</v>
      </c>
      <c r="F71" s="5">
        <f t="shared" ref="F71:F95" si="25">E71*C71</f>
        <v>1020</v>
      </c>
      <c r="G71" s="20">
        <v>0</v>
      </c>
      <c r="H71" s="5">
        <f t="shared" ref="H71:H95" si="26">G71*C71</f>
        <v>0</v>
      </c>
      <c r="I71" s="49">
        <f t="shared" ref="I71:I95" si="27">H71+F71</f>
        <v>1020</v>
      </c>
      <c r="J71" s="4"/>
    </row>
    <row r="72" spans="1:11" ht="20" customHeight="1">
      <c r="A72" s="6"/>
      <c r="B72" s="4" t="s">
        <v>76</v>
      </c>
      <c r="C72" s="5">
        <f>6/6</f>
        <v>1</v>
      </c>
      <c r="D72" s="6" t="s">
        <v>53</v>
      </c>
      <c r="E72" s="11">
        <v>234</v>
      </c>
      <c r="F72" s="5">
        <f t="shared" si="25"/>
        <v>234</v>
      </c>
      <c r="G72" s="20">
        <v>0</v>
      </c>
      <c r="H72" s="5">
        <f t="shared" si="26"/>
        <v>0</v>
      </c>
      <c r="I72" s="49">
        <f t="shared" si="27"/>
        <v>234</v>
      </c>
      <c r="J72" s="4"/>
    </row>
    <row r="73" spans="1:11" ht="20" customHeight="1">
      <c r="A73" s="198"/>
      <c r="B73" s="4" t="s">
        <v>77</v>
      </c>
      <c r="C73" s="5">
        <f>12/6</f>
        <v>2</v>
      </c>
      <c r="D73" s="6" t="s">
        <v>53</v>
      </c>
      <c r="E73" s="11">
        <v>144</v>
      </c>
      <c r="F73" s="5">
        <f t="shared" si="25"/>
        <v>288</v>
      </c>
      <c r="G73" s="20">
        <v>0</v>
      </c>
      <c r="H73" s="5">
        <f t="shared" si="26"/>
        <v>0</v>
      </c>
      <c r="I73" s="49">
        <f t="shared" si="27"/>
        <v>288</v>
      </c>
      <c r="J73" s="4"/>
    </row>
    <row r="74" spans="1:11" ht="20" customHeight="1">
      <c r="A74" s="198"/>
      <c r="B74" s="4" t="s">
        <v>78</v>
      </c>
      <c r="C74" s="5">
        <f>6/6</f>
        <v>1</v>
      </c>
      <c r="D74" s="6" t="s">
        <v>53</v>
      </c>
      <c r="E74" s="11">
        <v>53</v>
      </c>
      <c r="F74" s="5">
        <f t="shared" si="25"/>
        <v>53</v>
      </c>
      <c r="G74" s="20">
        <v>0</v>
      </c>
      <c r="H74" s="5">
        <f t="shared" si="26"/>
        <v>0</v>
      </c>
      <c r="I74" s="49">
        <f t="shared" si="27"/>
        <v>53</v>
      </c>
      <c r="J74" s="4"/>
    </row>
    <row r="75" spans="1:11" ht="20" customHeight="1">
      <c r="A75" s="6"/>
      <c r="B75" s="4" t="s">
        <v>79</v>
      </c>
      <c r="C75" s="5">
        <f>6/6</f>
        <v>1</v>
      </c>
      <c r="D75" s="6" t="s">
        <v>53</v>
      </c>
      <c r="E75" s="11">
        <v>48</v>
      </c>
      <c r="F75" s="5">
        <f t="shared" si="25"/>
        <v>48</v>
      </c>
      <c r="G75" s="20">
        <v>0</v>
      </c>
      <c r="H75" s="5">
        <f t="shared" si="26"/>
        <v>0</v>
      </c>
      <c r="I75" s="49">
        <f t="shared" si="27"/>
        <v>48</v>
      </c>
      <c r="J75" s="4"/>
    </row>
    <row r="76" spans="1:11" ht="20" customHeight="1">
      <c r="A76" s="6"/>
      <c r="B76" s="4" t="s">
        <v>80</v>
      </c>
      <c r="C76" s="5">
        <f>6/6</f>
        <v>1</v>
      </c>
      <c r="D76" s="6" t="s">
        <v>53</v>
      </c>
      <c r="E76" s="11">
        <v>64</v>
      </c>
      <c r="F76" s="5">
        <f t="shared" si="25"/>
        <v>64</v>
      </c>
      <c r="G76" s="20">
        <v>0</v>
      </c>
      <c r="H76" s="5">
        <f t="shared" si="26"/>
        <v>0</v>
      </c>
      <c r="I76" s="49">
        <f t="shared" si="27"/>
        <v>64</v>
      </c>
      <c r="J76" s="4"/>
    </row>
    <row r="77" spans="1:11" ht="20" customHeight="1">
      <c r="A77" s="198"/>
      <c r="B77" s="4" t="s">
        <v>81</v>
      </c>
      <c r="C77" s="5">
        <f>6/6</f>
        <v>1</v>
      </c>
      <c r="D77" s="6" t="s">
        <v>82</v>
      </c>
      <c r="E77" s="11">
        <v>84.6</v>
      </c>
      <c r="F77" s="5">
        <f t="shared" si="25"/>
        <v>84.6</v>
      </c>
      <c r="G77" s="20">
        <v>0</v>
      </c>
      <c r="H77" s="5">
        <f t="shared" si="26"/>
        <v>0</v>
      </c>
      <c r="I77" s="49">
        <f t="shared" si="27"/>
        <v>84.6</v>
      </c>
      <c r="J77" s="4"/>
    </row>
    <row r="78" spans="1:11" ht="20" customHeight="1">
      <c r="A78" s="198"/>
      <c r="B78" s="4" t="s">
        <v>83</v>
      </c>
      <c r="C78" s="5">
        <f>18/6</f>
        <v>3</v>
      </c>
      <c r="D78" s="6" t="s">
        <v>82</v>
      </c>
      <c r="E78" s="11">
        <v>84.6</v>
      </c>
      <c r="F78" s="5">
        <f t="shared" si="25"/>
        <v>253.79999999999998</v>
      </c>
      <c r="G78" s="20">
        <v>0</v>
      </c>
      <c r="H78" s="5">
        <f t="shared" si="26"/>
        <v>0</v>
      </c>
      <c r="I78" s="49">
        <f t="shared" si="27"/>
        <v>253.79999999999998</v>
      </c>
      <c r="J78" s="4"/>
    </row>
    <row r="79" spans="1:11" ht="20" customHeight="1">
      <c r="A79" s="198"/>
      <c r="B79" s="4" t="s">
        <v>84</v>
      </c>
      <c r="C79" s="5">
        <f>24/6</f>
        <v>4</v>
      </c>
      <c r="D79" s="6" t="s">
        <v>82</v>
      </c>
      <c r="E79" s="11">
        <v>22.8</v>
      </c>
      <c r="F79" s="5">
        <f t="shared" si="25"/>
        <v>91.2</v>
      </c>
      <c r="G79" s="20">
        <v>0</v>
      </c>
      <c r="H79" s="5">
        <f t="shared" si="26"/>
        <v>0</v>
      </c>
      <c r="I79" s="49">
        <f t="shared" si="27"/>
        <v>91.2</v>
      </c>
      <c r="J79" s="4"/>
    </row>
    <row r="80" spans="1:11" ht="20" customHeight="1">
      <c r="A80" s="198"/>
      <c r="B80" s="4" t="s">
        <v>85</v>
      </c>
      <c r="C80" s="5">
        <f>12/6</f>
        <v>2</v>
      </c>
      <c r="D80" s="6" t="s">
        <v>82</v>
      </c>
      <c r="E80" s="11">
        <v>31.3</v>
      </c>
      <c r="F80" s="5">
        <f t="shared" si="25"/>
        <v>62.6</v>
      </c>
      <c r="G80" s="20">
        <v>0</v>
      </c>
      <c r="H80" s="5">
        <f t="shared" si="26"/>
        <v>0</v>
      </c>
      <c r="I80" s="49">
        <f t="shared" si="27"/>
        <v>62.6</v>
      </c>
      <c r="J80" s="4"/>
    </row>
    <row r="81" spans="1:11" ht="20" customHeight="1">
      <c r="A81" s="198"/>
      <c r="B81" s="4" t="s">
        <v>86</v>
      </c>
      <c r="C81" s="5">
        <f>24/6</f>
        <v>4</v>
      </c>
      <c r="D81" s="6" t="s">
        <v>82</v>
      </c>
      <c r="E81" s="11">
        <v>13.9</v>
      </c>
      <c r="F81" s="5">
        <f t="shared" si="25"/>
        <v>55.6</v>
      </c>
      <c r="G81" s="20">
        <v>0</v>
      </c>
      <c r="H81" s="5">
        <f t="shared" si="26"/>
        <v>0</v>
      </c>
      <c r="I81" s="49">
        <f t="shared" si="27"/>
        <v>55.6</v>
      </c>
      <c r="J81" s="4"/>
    </row>
    <row r="82" spans="1:11" ht="20" customHeight="1">
      <c r="A82" s="198"/>
      <c r="B82" s="4" t="s">
        <v>87</v>
      </c>
      <c r="C82" s="5">
        <f>6/6</f>
        <v>1</v>
      </c>
      <c r="D82" s="6" t="s">
        <v>82</v>
      </c>
      <c r="E82" s="11">
        <v>8.0500000000000007</v>
      </c>
      <c r="F82" s="5">
        <f t="shared" si="25"/>
        <v>8.0500000000000007</v>
      </c>
      <c r="G82" s="20">
        <v>0</v>
      </c>
      <c r="H82" s="5">
        <f t="shared" si="26"/>
        <v>0</v>
      </c>
      <c r="I82" s="49">
        <f t="shared" si="27"/>
        <v>8.0500000000000007</v>
      </c>
      <c r="J82" s="4"/>
    </row>
    <row r="83" spans="1:11" ht="20" customHeight="1">
      <c r="A83" s="198"/>
      <c r="B83" s="4" t="s">
        <v>88</v>
      </c>
      <c r="C83" s="5">
        <f>12/6</f>
        <v>2</v>
      </c>
      <c r="D83" s="6" t="s">
        <v>82</v>
      </c>
      <c r="E83" s="11">
        <v>18.600000000000001</v>
      </c>
      <c r="F83" s="5">
        <f t="shared" si="25"/>
        <v>37.200000000000003</v>
      </c>
      <c r="G83" s="20">
        <v>0</v>
      </c>
      <c r="H83" s="5">
        <f t="shared" si="26"/>
        <v>0</v>
      </c>
      <c r="I83" s="49">
        <f t="shared" si="27"/>
        <v>37.200000000000003</v>
      </c>
      <c r="J83" s="4"/>
    </row>
    <row r="84" spans="1:11" ht="20" customHeight="1">
      <c r="A84" s="198"/>
      <c r="B84" s="4" t="s">
        <v>89</v>
      </c>
      <c r="C84" s="5">
        <f>6/6</f>
        <v>1</v>
      </c>
      <c r="D84" s="6" t="s">
        <v>82</v>
      </c>
      <c r="E84" s="11">
        <v>13.8</v>
      </c>
      <c r="F84" s="5">
        <f t="shared" si="25"/>
        <v>13.8</v>
      </c>
      <c r="G84" s="20">
        <v>0</v>
      </c>
      <c r="H84" s="5">
        <f t="shared" si="26"/>
        <v>0</v>
      </c>
      <c r="I84" s="49">
        <f t="shared" si="27"/>
        <v>13.8</v>
      </c>
      <c r="J84" s="4"/>
    </row>
    <row r="85" spans="1:11" ht="20" customHeight="1">
      <c r="A85" s="198"/>
      <c r="B85" s="4" t="s">
        <v>90</v>
      </c>
      <c r="C85" s="5">
        <f>6/6</f>
        <v>1</v>
      </c>
      <c r="D85" s="6" t="s">
        <v>82</v>
      </c>
      <c r="E85" s="11">
        <v>15</v>
      </c>
      <c r="F85" s="5">
        <f t="shared" si="25"/>
        <v>15</v>
      </c>
      <c r="G85" s="20">
        <v>0</v>
      </c>
      <c r="H85" s="5">
        <f t="shared" si="26"/>
        <v>0</v>
      </c>
      <c r="I85" s="49">
        <f t="shared" si="27"/>
        <v>15</v>
      </c>
      <c r="J85" s="4"/>
    </row>
    <row r="86" spans="1:11" ht="20" customHeight="1">
      <c r="A86" s="198"/>
      <c r="B86" s="4" t="s">
        <v>91</v>
      </c>
      <c r="C86" s="5">
        <f>6/6</f>
        <v>1</v>
      </c>
      <c r="D86" s="6" t="s">
        <v>82</v>
      </c>
      <c r="E86" s="11">
        <v>13</v>
      </c>
      <c r="F86" s="5">
        <f t="shared" si="25"/>
        <v>13</v>
      </c>
      <c r="G86" s="20">
        <v>0</v>
      </c>
      <c r="H86" s="5">
        <f t="shared" si="26"/>
        <v>0</v>
      </c>
      <c r="I86" s="49">
        <f t="shared" si="27"/>
        <v>13</v>
      </c>
      <c r="J86" s="4"/>
    </row>
    <row r="87" spans="1:11" ht="20" customHeight="1">
      <c r="A87" s="198"/>
      <c r="B87" s="4" t="s">
        <v>92</v>
      </c>
      <c r="C87" s="5">
        <f>6/6</f>
        <v>1</v>
      </c>
      <c r="D87" s="6" t="s">
        <v>82</v>
      </c>
      <c r="E87" s="11">
        <v>12</v>
      </c>
      <c r="F87" s="5">
        <f t="shared" si="25"/>
        <v>12</v>
      </c>
      <c r="G87" s="20">
        <v>0</v>
      </c>
      <c r="H87" s="5">
        <f t="shared" si="26"/>
        <v>0</v>
      </c>
      <c r="I87" s="49">
        <f t="shared" si="27"/>
        <v>12</v>
      </c>
      <c r="J87" s="4"/>
    </row>
    <row r="88" spans="1:11" ht="20" customHeight="1">
      <c r="A88" s="198"/>
      <c r="B88" s="4" t="s">
        <v>93</v>
      </c>
      <c r="C88" s="5">
        <f>6/6</f>
        <v>1</v>
      </c>
      <c r="D88" s="6" t="s">
        <v>82</v>
      </c>
      <c r="E88" s="11">
        <v>4.7</v>
      </c>
      <c r="F88" s="5">
        <f t="shared" si="25"/>
        <v>4.7</v>
      </c>
      <c r="G88" s="20">
        <v>0</v>
      </c>
      <c r="H88" s="5">
        <f t="shared" si="26"/>
        <v>0</v>
      </c>
      <c r="I88" s="49">
        <f t="shared" si="27"/>
        <v>4.7</v>
      </c>
      <c r="J88" s="4"/>
    </row>
    <row r="89" spans="1:11" ht="20" customHeight="1">
      <c r="A89" s="6"/>
      <c r="B89" s="4" t="s">
        <v>94</v>
      </c>
      <c r="C89" s="5">
        <f>7.5/6</f>
        <v>1.25</v>
      </c>
      <c r="D89" s="6" t="s">
        <v>95</v>
      </c>
      <c r="E89" s="11">
        <v>434</v>
      </c>
      <c r="F89" s="5">
        <f t="shared" si="25"/>
        <v>542.5</v>
      </c>
      <c r="G89" s="20">
        <v>0</v>
      </c>
      <c r="H89" s="5">
        <f t="shared" si="26"/>
        <v>0</v>
      </c>
      <c r="I89" s="49">
        <f t="shared" si="27"/>
        <v>542.5</v>
      </c>
      <c r="J89" s="4"/>
    </row>
    <row r="90" spans="1:11" ht="20" customHeight="1">
      <c r="A90" s="6"/>
      <c r="B90" s="4" t="s">
        <v>96</v>
      </c>
      <c r="C90" s="5">
        <f>6/6</f>
        <v>1</v>
      </c>
      <c r="D90" s="6" t="s">
        <v>66</v>
      </c>
      <c r="E90" s="11">
        <v>3600</v>
      </c>
      <c r="F90" s="5">
        <f t="shared" si="25"/>
        <v>3600</v>
      </c>
      <c r="G90" s="20">
        <v>0</v>
      </c>
      <c r="H90" s="5">
        <f t="shared" si="26"/>
        <v>0</v>
      </c>
      <c r="I90" s="49">
        <f t="shared" si="27"/>
        <v>3600</v>
      </c>
      <c r="J90" s="4"/>
    </row>
    <row r="91" spans="1:11" ht="20" customHeight="1">
      <c r="A91" s="198"/>
      <c r="B91" s="3" t="s">
        <v>280</v>
      </c>
      <c r="C91" s="5">
        <f>2/6</f>
        <v>0.33333333333333331</v>
      </c>
      <c r="D91" s="6" t="s">
        <v>97</v>
      </c>
      <c r="E91" s="11">
        <v>600</v>
      </c>
      <c r="F91" s="5">
        <f t="shared" si="25"/>
        <v>200</v>
      </c>
      <c r="G91" s="20">
        <v>0</v>
      </c>
      <c r="H91" s="5">
        <f t="shared" si="26"/>
        <v>0</v>
      </c>
      <c r="I91" s="49">
        <f t="shared" si="27"/>
        <v>200</v>
      </c>
      <c r="J91" s="4"/>
    </row>
    <row r="92" spans="1:11" ht="20" customHeight="1">
      <c r="A92" s="198"/>
      <c r="B92" s="4" t="s">
        <v>113</v>
      </c>
      <c r="C92" s="5">
        <f>6/6</f>
        <v>1</v>
      </c>
      <c r="D92" s="6" t="s">
        <v>66</v>
      </c>
      <c r="E92" s="11">
        <v>1100</v>
      </c>
      <c r="F92" s="5">
        <f t="shared" si="25"/>
        <v>1100</v>
      </c>
      <c r="G92" s="20">
        <v>0</v>
      </c>
      <c r="H92" s="5">
        <f t="shared" si="26"/>
        <v>0</v>
      </c>
      <c r="I92" s="49">
        <f t="shared" si="27"/>
        <v>1100</v>
      </c>
      <c r="J92" s="4"/>
    </row>
    <row r="93" spans="1:11" ht="20" customHeight="1">
      <c r="A93" s="198"/>
      <c r="B93" s="4" t="s">
        <v>98</v>
      </c>
      <c r="C93" s="5">
        <f>3.5/6</f>
        <v>0.58333333333333337</v>
      </c>
      <c r="D93" s="6" t="s">
        <v>97</v>
      </c>
      <c r="E93" s="11">
        <v>160</v>
      </c>
      <c r="F93" s="5">
        <f t="shared" si="25"/>
        <v>93.333333333333343</v>
      </c>
      <c r="G93" s="20">
        <v>0</v>
      </c>
      <c r="H93" s="5">
        <f t="shared" si="26"/>
        <v>0</v>
      </c>
      <c r="I93" s="49">
        <f t="shared" si="27"/>
        <v>93.333333333333343</v>
      </c>
      <c r="J93" s="4"/>
    </row>
    <row r="94" spans="1:11" ht="20" customHeight="1">
      <c r="A94" s="6"/>
      <c r="B94" s="4" t="s">
        <v>99</v>
      </c>
      <c r="C94" s="5">
        <f>12/6</f>
        <v>2</v>
      </c>
      <c r="D94" s="6" t="s">
        <v>100</v>
      </c>
      <c r="E94" s="11">
        <v>108</v>
      </c>
      <c r="F94" s="5">
        <f t="shared" si="25"/>
        <v>216</v>
      </c>
      <c r="G94" s="20">
        <v>0</v>
      </c>
      <c r="H94" s="5">
        <f t="shared" si="26"/>
        <v>0</v>
      </c>
      <c r="I94" s="49">
        <f t="shared" si="27"/>
        <v>216</v>
      </c>
      <c r="J94" s="4"/>
    </row>
    <row r="95" spans="1:11" ht="20" customHeight="1">
      <c r="A95" s="6"/>
      <c r="B95" s="4" t="s">
        <v>101</v>
      </c>
      <c r="C95" s="5">
        <f>12/6</f>
        <v>2</v>
      </c>
      <c r="D95" s="6" t="s">
        <v>102</v>
      </c>
      <c r="E95" s="11">
        <v>42</v>
      </c>
      <c r="F95" s="5">
        <f t="shared" si="25"/>
        <v>84</v>
      </c>
      <c r="G95" s="20">
        <v>0</v>
      </c>
      <c r="H95" s="5">
        <f t="shared" si="26"/>
        <v>0</v>
      </c>
      <c r="I95" s="49">
        <f t="shared" si="27"/>
        <v>84</v>
      </c>
      <c r="J95" s="4"/>
    </row>
    <row r="96" spans="1:11" s="50" customFormat="1" ht="20" customHeight="1">
      <c r="A96" s="199"/>
      <c r="B96" s="12" t="s">
        <v>103</v>
      </c>
      <c r="C96" s="18"/>
      <c r="D96" s="12"/>
      <c r="E96" s="21"/>
      <c r="F96" s="18">
        <f>SUM(F70:F95)</f>
        <v>13644.383333333335</v>
      </c>
      <c r="G96" s="18"/>
      <c r="H96" s="18">
        <f t="shared" ref="H96:I96" si="28">SUM(H70:H95)</f>
        <v>0</v>
      </c>
      <c r="I96" s="18">
        <f t="shared" si="28"/>
        <v>13644.383333333335</v>
      </c>
      <c r="J96" s="13"/>
      <c r="K96" s="151">
        <f>H96+F96</f>
        <v>13644.383333333335</v>
      </c>
    </row>
    <row r="97" spans="1:11" ht="20" customHeight="1">
      <c r="A97" s="6"/>
      <c r="B97" s="3" t="s">
        <v>114</v>
      </c>
      <c r="C97" s="5"/>
      <c r="D97" s="6"/>
      <c r="E97" s="11"/>
      <c r="F97" s="5"/>
      <c r="G97" s="10"/>
      <c r="H97" s="5"/>
      <c r="I97" s="7"/>
      <c r="J97" s="4"/>
    </row>
    <row r="98" spans="1:11" ht="20" customHeight="1">
      <c r="A98" s="198"/>
      <c r="B98" s="4" t="s">
        <v>104</v>
      </c>
      <c r="C98" s="5">
        <v>1</v>
      </c>
      <c r="D98" s="6" t="s">
        <v>105</v>
      </c>
      <c r="E98" s="11">
        <v>109</v>
      </c>
      <c r="F98" s="5">
        <f>E98*C98</f>
        <v>109</v>
      </c>
      <c r="G98" s="20">
        <v>6000</v>
      </c>
      <c r="H98" s="5">
        <f t="shared" ref="H98:H99" si="29">G98*C98</f>
        <v>6000</v>
      </c>
      <c r="I98" s="49">
        <f t="shared" ref="I98:I99" si="30">H98+F98</f>
        <v>6109</v>
      </c>
      <c r="J98" s="4"/>
    </row>
    <row r="99" spans="1:11" ht="20" customHeight="1">
      <c r="A99" s="198"/>
      <c r="B99" s="4" t="s">
        <v>106</v>
      </c>
      <c r="C99" s="5">
        <f>20/6</f>
        <v>3.3333333333333335</v>
      </c>
      <c r="D99" s="6" t="s">
        <v>105</v>
      </c>
      <c r="E99" s="11">
        <v>75</v>
      </c>
      <c r="F99" s="5">
        <f>E99*C99</f>
        <v>250</v>
      </c>
      <c r="G99" s="20">
        <v>0</v>
      </c>
      <c r="H99" s="5">
        <f t="shared" si="29"/>
        <v>0</v>
      </c>
      <c r="I99" s="49">
        <f t="shared" si="30"/>
        <v>250</v>
      </c>
      <c r="J99" s="4"/>
    </row>
    <row r="100" spans="1:11" s="50" customFormat="1" ht="20" customHeight="1">
      <c r="A100" s="12"/>
      <c r="B100" s="12" t="s">
        <v>115</v>
      </c>
      <c r="C100" s="13"/>
      <c r="D100" s="12"/>
      <c r="E100" s="100"/>
      <c r="F100" s="14">
        <f>SUM(F98:F99)</f>
        <v>359</v>
      </c>
      <c r="G100" s="14"/>
      <c r="H100" s="14">
        <f t="shared" ref="H100:I100" si="31">SUM(H98:H99)</f>
        <v>6000</v>
      </c>
      <c r="I100" s="14">
        <f t="shared" si="31"/>
        <v>6359</v>
      </c>
      <c r="J100" s="13"/>
      <c r="K100" s="151">
        <f>H100+F100</f>
        <v>6359</v>
      </c>
    </row>
    <row r="101" spans="1:11" ht="20" customHeight="1">
      <c r="A101" s="198"/>
      <c r="B101" s="3" t="s">
        <v>210</v>
      </c>
      <c r="C101" s="4"/>
      <c r="D101" s="6"/>
      <c r="E101" s="48"/>
      <c r="F101" s="4"/>
      <c r="G101" s="4"/>
      <c r="H101" s="4"/>
      <c r="I101" s="4"/>
      <c r="J101" s="4"/>
    </row>
    <row r="102" spans="1:11" ht="20" customHeight="1">
      <c r="A102" s="198"/>
      <c r="B102" s="4" t="s">
        <v>211</v>
      </c>
      <c r="C102" s="5">
        <f>525/6</f>
        <v>87.5</v>
      </c>
      <c r="D102" s="6" t="s">
        <v>246</v>
      </c>
      <c r="E102" s="11">
        <v>5.5</v>
      </c>
      <c r="F102" s="5">
        <f>E102*C102</f>
        <v>481.25</v>
      </c>
      <c r="G102" s="20">
        <v>0</v>
      </c>
      <c r="H102" s="5">
        <f t="shared" ref="H102:H109" si="32">G102*C102</f>
        <v>0</v>
      </c>
      <c r="I102" s="49">
        <f>H102+F102</f>
        <v>481.25</v>
      </c>
      <c r="J102" s="4"/>
    </row>
    <row r="103" spans="1:11" ht="20" customHeight="1">
      <c r="A103" s="198"/>
      <c r="B103" s="4" t="s">
        <v>212</v>
      </c>
      <c r="C103" s="5">
        <f>2/6</f>
        <v>0.33333333333333331</v>
      </c>
      <c r="D103" s="6" t="s">
        <v>214</v>
      </c>
      <c r="E103" s="11">
        <v>500</v>
      </c>
      <c r="F103" s="5">
        <f t="shared" ref="F103:F110" si="33">E103*C103</f>
        <v>166.66666666666666</v>
      </c>
      <c r="G103" s="20">
        <v>0</v>
      </c>
      <c r="H103" s="5">
        <f t="shared" si="32"/>
        <v>0</v>
      </c>
      <c r="I103" s="49">
        <f t="shared" ref="I103:I110" si="34">H103+F103</f>
        <v>166.66666666666666</v>
      </c>
      <c r="J103" s="4"/>
    </row>
    <row r="104" spans="1:11" ht="20" customHeight="1">
      <c r="A104" s="198"/>
      <c r="B104" s="4" t="s">
        <v>213</v>
      </c>
      <c r="C104" s="5">
        <f>2/6</f>
        <v>0.33333333333333331</v>
      </c>
      <c r="D104" s="6" t="s">
        <v>214</v>
      </c>
      <c r="E104" s="11">
        <v>400</v>
      </c>
      <c r="F104" s="5">
        <f t="shared" si="33"/>
        <v>133.33333333333331</v>
      </c>
      <c r="G104" s="20">
        <v>0</v>
      </c>
      <c r="H104" s="5">
        <f t="shared" si="32"/>
        <v>0</v>
      </c>
      <c r="I104" s="49">
        <f t="shared" si="34"/>
        <v>133.33333333333331</v>
      </c>
      <c r="J104" s="4"/>
    </row>
    <row r="105" spans="1:11" ht="20" customHeight="1">
      <c r="A105" s="198"/>
      <c r="B105" s="4" t="s">
        <v>107</v>
      </c>
      <c r="C105" s="5">
        <f>20/6</f>
        <v>3.3333333333333335</v>
      </c>
      <c r="D105" s="6" t="s">
        <v>105</v>
      </c>
      <c r="E105" s="11">
        <v>92</v>
      </c>
      <c r="F105" s="5">
        <f t="shared" si="33"/>
        <v>306.66666666666669</v>
      </c>
      <c r="G105" s="20">
        <v>0</v>
      </c>
      <c r="H105" s="5">
        <f t="shared" si="32"/>
        <v>0</v>
      </c>
      <c r="I105" s="49">
        <f t="shared" si="34"/>
        <v>306.66666666666669</v>
      </c>
      <c r="J105" s="4"/>
    </row>
    <row r="106" spans="1:11" ht="20" customHeight="1">
      <c r="A106" s="198"/>
      <c r="B106" s="4" t="s">
        <v>108</v>
      </c>
      <c r="C106" s="5">
        <f>60/6</f>
        <v>10</v>
      </c>
      <c r="D106" s="6" t="s">
        <v>105</v>
      </c>
      <c r="E106" s="11">
        <v>61</v>
      </c>
      <c r="F106" s="5">
        <f t="shared" si="33"/>
        <v>610</v>
      </c>
      <c r="G106" s="20">
        <v>0</v>
      </c>
      <c r="H106" s="5">
        <f t="shared" si="32"/>
        <v>0</v>
      </c>
      <c r="I106" s="49">
        <f t="shared" si="34"/>
        <v>610</v>
      </c>
      <c r="J106" s="4"/>
    </row>
    <row r="107" spans="1:11" ht="20" customHeight="1">
      <c r="A107" s="198"/>
      <c r="B107" s="4" t="s">
        <v>245</v>
      </c>
      <c r="C107" s="5">
        <f>10/6</f>
        <v>1.6666666666666667</v>
      </c>
      <c r="D107" s="6" t="s">
        <v>53</v>
      </c>
      <c r="E107" s="11">
        <v>110</v>
      </c>
      <c r="F107" s="5">
        <f t="shared" si="33"/>
        <v>183.33333333333334</v>
      </c>
      <c r="G107" s="20">
        <v>0</v>
      </c>
      <c r="H107" s="5">
        <f t="shared" si="32"/>
        <v>0</v>
      </c>
      <c r="I107" s="49">
        <f t="shared" si="34"/>
        <v>183.33333333333334</v>
      </c>
      <c r="J107" s="4"/>
    </row>
    <row r="108" spans="1:11" ht="20" customHeight="1">
      <c r="A108" s="198"/>
      <c r="B108" s="4" t="s">
        <v>41</v>
      </c>
      <c r="C108" s="5">
        <f>10/6</f>
        <v>1.6666666666666667</v>
      </c>
      <c r="D108" s="6" t="s">
        <v>53</v>
      </c>
      <c r="E108" s="11">
        <v>64</v>
      </c>
      <c r="F108" s="5">
        <f t="shared" si="33"/>
        <v>106.66666666666667</v>
      </c>
      <c r="G108" s="20">
        <v>0</v>
      </c>
      <c r="H108" s="5">
        <f t="shared" si="32"/>
        <v>0</v>
      </c>
      <c r="I108" s="49">
        <f t="shared" si="34"/>
        <v>106.66666666666667</v>
      </c>
      <c r="J108" s="4"/>
    </row>
    <row r="109" spans="1:11" ht="20" customHeight="1">
      <c r="A109" s="198"/>
      <c r="B109" s="4" t="s">
        <v>215</v>
      </c>
      <c r="C109" s="5">
        <f>1/6</f>
        <v>0.16666666666666666</v>
      </c>
      <c r="D109" s="6" t="s">
        <v>97</v>
      </c>
      <c r="E109" s="11">
        <v>0</v>
      </c>
      <c r="F109" s="5">
        <f t="shared" si="33"/>
        <v>0</v>
      </c>
      <c r="G109" s="20">
        <v>0</v>
      </c>
      <c r="H109" s="5">
        <f t="shared" si="32"/>
        <v>0</v>
      </c>
      <c r="I109" s="49">
        <f t="shared" si="34"/>
        <v>0</v>
      </c>
      <c r="J109" s="4"/>
    </row>
    <row r="110" spans="1:11" s="43" customFormat="1" ht="20" customHeight="1">
      <c r="A110" s="6"/>
      <c r="B110" s="4" t="s">
        <v>281</v>
      </c>
      <c r="C110" s="5">
        <v>1</v>
      </c>
      <c r="D110" s="6" t="s">
        <v>264</v>
      </c>
      <c r="E110" s="5">
        <v>0</v>
      </c>
      <c r="F110" s="5">
        <f t="shared" si="33"/>
        <v>0</v>
      </c>
      <c r="G110" s="70">
        <v>1012</v>
      </c>
      <c r="H110" s="5">
        <f>G110*C110</f>
        <v>1012</v>
      </c>
      <c r="I110" s="49">
        <f t="shared" si="34"/>
        <v>1012</v>
      </c>
      <c r="J110" s="4"/>
      <c r="K110" s="73"/>
    </row>
    <row r="111" spans="1:11" s="72" customFormat="1" ht="20" customHeight="1">
      <c r="A111" s="12"/>
      <c r="B111" s="12" t="s">
        <v>128</v>
      </c>
      <c r="C111" s="12"/>
      <c r="D111" s="12"/>
      <c r="E111" s="99"/>
      <c r="F111" s="71">
        <f>SUM(F102:F110)</f>
        <v>1987.9166666666667</v>
      </c>
      <c r="G111" s="71"/>
      <c r="H111" s="71">
        <f t="shared" ref="H111:I111" si="35">SUM(H102:H110)</f>
        <v>1012</v>
      </c>
      <c r="I111" s="71">
        <f t="shared" si="35"/>
        <v>2999.916666666667</v>
      </c>
      <c r="J111" s="12"/>
      <c r="K111" s="151">
        <f>H111+F111</f>
        <v>2999.916666666667</v>
      </c>
    </row>
    <row r="112" spans="1:11" ht="20" customHeight="1">
      <c r="A112" s="198"/>
      <c r="B112" s="3" t="s">
        <v>216</v>
      </c>
      <c r="C112" s="4"/>
      <c r="D112" s="6"/>
      <c r="E112" s="48"/>
      <c r="F112" s="4"/>
      <c r="G112" s="4"/>
      <c r="H112" s="4"/>
      <c r="I112" s="4"/>
      <c r="J112" s="4"/>
    </row>
    <row r="113" spans="1:20" ht="20" customHeight="1">
      <c r="A113" s="198"/>
      <c r="B113" s="4" t="s">
        <v>217</v>
      </c>
      <c r="C113" s="5">
        <f>144/6</f>
        <v>24</v>
      </c>
      <c r="D113" s="6" t="s">
        <v>32</v>
      </c>
      <c r="E113" s="11">
        <v>45</v>
      </c>
      <c r="F113" s="5">
        <f>E113*C113</f>
        <v>1080</v>
      </c>
      <c r="G113" s="5">
        <v>80</v>
      </c>
      <c r="H113" s="5">
        <f>G113*C113</f>
        <v>1920</v>
      </c>
      <c r="I113" s="7">
        <f>F113+H113</f>
        <v>3000</v>
      </c>
      <c r="J113" s="4"/>
    </row>
    <row r="114" spans="1:20" ht="20" customHeight="1">
      <c r="A114" s="198"/>
      <c r="B114" s="4" t="s">
        <v>36</v>
      </c>
      <c r="C114" s="17">
        <f>17/6</f>
        <v>2.8333333333333335</v>
      </c>
      <c r="D114" s="6" t="s">
        <v>16</v>
      </c>
      <c r="E114" s="11">
        <v>1500</v>
      </c>
      <c r="F114" s="5">
        <f>E114*C114</f>
        <v>4250</v>
      </c>
      <c r="G114" s="20">
        <v>0</v>
      </c>
      <c r="H114" s="5">
        <f>G114*C114</f>
        <v>0</v>
      </c>
      <c r="I114" s="7">
        <f>F114+H114</f>
        <v>4250</v>
      </c>
      <c r="J114" s="4"/>
    </row>
    <row r="115" spans="1:20" s="72" customFormat="1" ht="20" customHeight="1">
      <c r="A115" s="12"/>
      <c r="B115" s="12" t="s">
        <v>134</v>
      </c>
      <c r="C115" s="12"/>
      <c r="D115" s="12"/>
      <c r="E115" s="99"/>
      <c r="F115" s="71">
        <f>SUM(F113:F114)</f>
        <v>5330</v>
      </c>
      <c r="G115" s="71"/>
      <c r="H115" s="71">
        <f t="shared" ref="H115:I115" si="36">SUM(H113:H114)</f>
        <v>1920</v>
      </c>
      <c r="I115" s="71">
        <f t="shared" si="36"/>
        <v>7250</v>
      </c>
      <c r="J115" s="12"/>
      <c r="K115" s="151">
        <f>H115+F115</f>
        <v>7250</v>
      </c>
    </row>
    <row r="116" spans="1:20" ht="20" customHeight="1">
      <c r="A116" s="198"/>
      <c r="B116" s="3" t="s">
        <v>247</v>
      </c>
      <c r="C116" s="5"/>
      <c r="D116" s="6"/>
      <c r="E116" s="11"/>
      <c r="F116" s="5"/>
      <c r="G116" s="5"/>
      <c r="H116" s="5"/>
      <c r="I116" s="7"/>
      <c r="J116" s="4"/>
    </row>
    <row r="117" spans="1:20" ht="20" customHeight="1">
      <c r="A117" s="198"/>
      <c r="B117" s="4" t="s">
        <v>43</v>
      </c>
      <c r="C117" s="5">
        <f>0.05/6</f>
        <v>8.3333333333333332E-3</v>
      </c>
      <c r="D117" s="6" t="s">
        <v>42</v>
      </c>
      <c r="E117" s="11">
        <v>137</v>
      </c>
      <c r="F117" s="5">
        <f>C117*1000/4.99*E117</f>
        <v>228.79091516366066</v>
      </c>
      <c r="G117" s="20">
        <v>0</v>
      </c>
      <c r="H117" s="5">
        <f>G117*C117</f>
        <v>0</v>
      </c>
      <c r="I117" s="49">
        <f>H117+F117</f>
        <v>228.79091516366066</v>
      </c>
      <c r="J117" s="4"/>
    </row>
    <row r="118" spans="1:20" ht="20" customHeight="1">
      <c r="A118" s="198"/>
      <c r="B118" s="4" t="s">
        <v>44</v>
      </c>
      <c r="C118" s="5">
        <f>0.04/6</f>
        <v>6.6666666666666671E-3</v>
      </c>
      <c r="D118" s="6" t="s">
        <v>42</v>
      </c>
      <c r="E118" s="11">
        <v>240</v>
      </c>
      <c r="F118" s="5">
        <f>C118*1000/8.88*E118</f>
        <v>180.18018018018017</v>
      </c>
      <c r="G118" s="20">
        <v>0</v>
      </c>
      <c r="H118" s="5">
        <f t="shared" ref="H118:H121" si="37">G118*C118</f>
        <v>0</v>
      </c>
      <c r="I118" s="49">
        <f t="shared" ref="I118:I121" si="38">H118+F118</f>
        <v>180.18018018018017</v>
      </c>
      <c r="J118" s="4"/>
    </row>
    <row r="119" spans="1:20" ht="20" customHeight="1">
      <c r="A119" s="6"/>
      <c r="B119" s="4" t="s">
        <v>111</v>
      </c>
      <c r="C119" s="5">
        <f>13/6</f>
        <v>2.1666666666666665</v>
      </c>
      <c r="D119" s="6" t="s">
        <v>16</v>
      </c>
      <c r="E119" s="11">
        <v>1600</v>
      </c>
      <c r="F119" s="5">
        <f>E119*C119</f>
        <v>3466.6666666666665</v>
      </c>
      <c r="G119" s="20">
        <v>0</v>
      </c>
      <c r="H119" s="5">
        <f t="shared" si="37"/>
        <v>0</v>
      </c>
      <c r="I119" s="49">
        <f t="shared" si="38"/>
        <v>3466.6666666666665</v>
      </c>
      <c r="J119" s="4"/>
    </row>
    <row r="120" spans="1:20" ht="20" customHeight="1">
      <c r="A120" s="6"/>
      <c r="B120" s="4" t="s">
        <v>49</v>
      </c>
      <c r="C120" s="5">
        <f>130/6</f>
        <v>21.666666666666668</v>
      </c>
      <c r="D120" s="6" t="s">
        <v>32</v>
      </c>
      <c r="E120" s="11">
        <v>74.2</v>
      </c>
      <c r="F120" s="5">
        <f>E120*C120</f>
        <v>1607.6666666666667</v>
      </c>
      <c r="G120" s="20">
        <v>0</v>
      </c>
      <c r="H120" s="5">
        <f t="shared" si="37"/>
        <v>0</v>
      </c>
      <c r="I120" s="49">
        <f t="shared" si="38"/>
        <v>1607.6666666666667</v>
      </c>
      <c r="J120" s="4"/>
    </row>
    <row r="121" spans="1:20" s="43" customFormat="1" ht="20" customHeight="1">
      <c r="A121" s="6"/>
      <c r="B121" s="4" t="s">
        <v>275</v>
      </c>
      <c r="C121" s="5">
        <v>1</v>
      </c>
      <c r="D121" s="6" t="s">
        <v>264</v>
      </c>
      <c r="E121" s="5">
        <v>0</v>
      </c>
      <c r="F121" s="5">
        <f>E121*C121</f>
        <v>0</v>
      </c>
      <c r="G121" s="70">
        <v>2500</v>
      </c>
      <c r="H121" s="5">
        <f t="shared" si="37"/>
        <v>2500</v>
      </c>
      <c r="I121" s="49">
        <f t="shared" si="38"/>
        <v>2500</v>
      </c>
      <c r="J121" s="4"/>
      <c r="K121" s="73"/>
    </row>
    <row r="122" spans="1:20" s="72" customFormat="1" ht="20" customHeight="1">
      <c r="A122" s="12"/>
      <c r="B122" s="12" t="s">
        <v>162</v>
      </c>
      <c r="C122" s="12"/>
      <c r="D122" s="12"/>
      <c r="E122" s="99"/>
      <c r="F122" s="71">
        <f>SUM(F117:F121)</f>
        <v>5483.3044286771737</v>
      </c>
      <c r="G122" s="71"/>
      <c r="H122" s="71">
        <f t="shared" ref="H122:I122" si="39">SUM(H117:H121)</f>
        <v>2500</v>
      </c>
      <c r="I122" s="71">
        <f t="shared" si="39"/>
        <v>7983.3044286771737</v>
      </c>
      <c r="J122" s="12"/>
      <c r="K122" s="151">
        <f>H122+F122</f>
        <v>7983.3044286771737</v>
      </c>
    </row>
    <row r="123" spans="1:20" ht="20" customHeight="1">
      <c r="A123" s="198"/>
      <c r="B123" s="3" t="s">
        <v>223</v>
      </c>
      <c r="C123" s="4"/>
      <c r="D123" s="6"/>
      <c r="E123" s="48"/>
      <c r="F123" s="4"/>
      <c r="G123" s="4"/>
      <c r="H123" s="4"/>
      <c r="I123" s="4"/>
      <c r="J123" s="4"/>
      <c r="K123" s="43"/>
      <c r="L123" s="43"/>
      <c r="M123" s="43"/>
      <c r="N123" s="43"/>
      <c r="O123" s="43"/>
      <c r="P123" s="43"/>
      <c r="Q123" s="43"/>
      <c r="R123" s="43"/>
      <c r="S123" s="43"/>
      <c r="T123" s="43"/>
    </row>
    <row r="124" spans="1:20" ht="20" customHeight="1">
      <c r="A124" s="198"/>
      <c r="B124" s="4" t="s">
        <v>117</v>
      </c>
      <c r="C124" s="5">
        <f>624/6</f>
        <v>104</v>
      </c>
      <c r="D124" s="6" t="s">
        <v>60</v>
      </c>
      <c r="E124" s="11">
        <v>67</v>
      </c>
      <c r="F124" s="5">
        <f>E124*C124</f>
        <v>6968</v>
      </c>
      <c r="G124" s="20">
        <v>0</v>
      </c>
      <c r="H124" s="5">
        <f>G124*C124</f>
        <v>0</v>
      </c>
      <c r="I124" s="49">
        <f>H124+F124</f>
        <v>6968</v>
      </c>
      <c r="J124" s="4"/>
      <c r="K124" s="43"/>
      <c r="L124" s="43"/>
      <c r="M124" s="43"/>
      <c r="N124" s="43"/>
      <c r="O124" s="43"/>
      <c r="P124" s="43"/>
      <c r="Q124" s="43"/>
      <c r="R124" s="43"/>
      <c r="S124" s="43"/>
      <c r="T124" s="43"/>
    </row>
    <row r="125" spans="1:20" ht="20" customHeight="1">
      <c r="A125" s="198"/>
      <c r="B125" s="4" t="s">
        <v>118</v>
      </c>
      <c r="C125" s="5">
        <f>156/6</f>
        <v>26</v>
      </c>
      <c r="D125" s="6" t="s">
        <v>60</v>
      </c>
      <c r="E125" s="11">
        <v>82</v>
      </c>
      <c r="F125" s="5">
        <f t="shared" ref="F125:F136" si="40">E125*C125</f>
        <v>2132</v>
      </c>
      <c r="G125" s="20">
        <v>0</v>
      </c>
      <c r="H125" s="5">
        <f t="shared" ref="H125:H136" si="41">G125*C125</f>
        <v>0</v>
      </c>
      <c r="I125" s="49">
        <f t="shared" ref="I125:I136" si="42">H125+F125</f>
        <v>2132</v>
      </c>
      <c r="J125" s="4"/>
      <c r="K125" s="43"/>
      <c r="L125" s="43"/>
      <c r="M125" s="43"/>
      <c r="N125" s="43"/>
      <c r="O125" s="43"/>
      <c r="P125" s="43"/>
      <c r="Q125" s="43"/>
      <c r="R125" s="43"/>
      <c r="S125" s="43"/>
      <c r="T125" s="43"/>
    </row>
    <row r="126" spans="1:20" ht="20" customHeight="1">
      <c r="A126" s="6"/>
      <c r="B126" s="4" t="s">
        <v>156</v>
      </c>
      <c r="C126" s="5">
        <f>15/6</f>
        <v>2.5</v>
      </c>
      <c r="D126" s="6" t="s">
        <v>125</v>
      </c>
      <c r="E126" s="11">
        <v>870</v>
      </c>
      <c r="F126" s="5">
        <f t="shared" si="40"/>
        <v>2175</v>
      </c>
      <c r="G126" s="20">
        <v>0</v>
      </c>
      <c r="H126" s="5">
        <f t="shared" si="41"/>
        <v>0</v>
      </c>
      <c r="I126" s="49">
        <f t="shared" si="42"/>
        <v>2175</v>
      </c>
      <c r="J126" s="4"/>
      <c r="K126" s="43"/>
      <c r="L126" s="43"/>
      <c r="M126" s="43"/>
      <c r="N126" s="43"/>
      <c r="O126" s="43"/>
      <c r="P126" s="43"/>
      <c r="Q126" s="43"/>
      <c r="R126" s="43"/>
      <c r="S126" s="43"/>
      <c r="T126" s="43"/>
    </row>
    <row r="127" spans="1:20" ht="20" customHeight="1">
      <c r="A127" s="198"/>
      <c r="B127" s="4" t="s">
        <v>126</v>
      </c>
      <c r="C127" s="5">
        <v>1</v>
      </c>
      <c r="D127" s="6" t="s">
        <v>60</v>
      </c>
      <c r="E127" s="11">
        <v>53</v>
      </c>
      <c r="F127" s="5">
        <f t="shared" si="40"/>
        <v>53</v>
      </c>
      <c r="G127" s="20">
        <v>0</v>
      </c>
      <c r="H127" s="5">
        <f t="shared" si="41"/>
        <v>0</v>
      </c>
      <c r="I127" s="49">
        <f t="shared" si="42"/>
        <v>53</v>
      </c>
      <c r="J127" s="4"/>
      <c r="K127" s="43"/>
      <c r="L127" s="43"/>
      <c r="M127" s="43"/>
      <c r="N127" s="43"/>
      <c r="O127" s="43"/>
      <c r="P127" s="43"/>
      <c r="Q127" s="43"/>
      <c r="R127" s="43"/>
      <c r="S127" s="43"/>
      <c r="T127" s="43"/>
    </row>
    <row r="128" spans="1:20" ht="20" customHeight="1">
      <c r="A128" s="198"/>
      <c r="B128" s="4" t="s">
        <v>127</v>
      </c>
      <c r="C128" s="5">
        <v>2</v>
      </c>
      <c r="D128" s="6" t="s">
        <v>60</v>
      </c>
      <c r="E128" s="11">
        <v>63</v>
      </c>
      <c r="F128" s="5">
        <f t="shared" si="40"/>
        <v>126</v>
      </c>
      <c r="G128" s="20">
        <v>0</v>
      </c>
      <c r="H128" s="5">
        <f t="shared" si="41"/>
        <v>0</v>
      </c>
      <c r="I128" s="49">
        <f t="shared" si="42"/>
        <v>126</v>
      </c>
      <c r="J128" s="4"/>
      <c r="K128" s="43"/>
      <c r="L128" s="43"/>
      <c r="M128" s="43"/>
      <c r="N128" s="43"/>
      <c r="O128" s="43"/>
      <c r="P128" s="43"/>
      <c r="Q128" s="43"/>
      <c r="R128" s="43"/>
      <c r="S128" s="43"/>
      <c r="T128" s="43"/>
    </row>
    <row r="129" spans="1:20" ht="20" customHeight="1">
      <c r="A129" s="198"/>
      <c r="B129" s="4" t="s">
        <v>116</v>
      </c>
      <c r="C129" s="5">
        <v>4</v>
      </c>
      <c r="D129" s="6" t="s">
        <v>60</v>
      </c>
      <c r="E129" s="11">
        <v>137</v>
      </c>
      <c r="F129" s="5">
        <f t="shared" si="40"/>
        <v>548</v>
      </c>
      <c r="G129" s="20">
        <v>0</v>
      </c>
      <c r="H129" s="5">
        <f t="shared" si="41"/>
        <v>0</v>
      </c>
      <c r="I129" s="49">
        <f t="shared" si="42"/>
        <v>548</v>
      </c>
      <c r="J129" s="4"/>
      <c r="K129" s="43"/>
      <c r="L129" s="43"/>
      <c r="M129" s="43"/>
      <c r="N129" s="43"/>
      <c r="O129" s="43"/>
      <c r="P129" s="43"/>
      <c r="Q129" s="43"/>
      <c r="R129" s="43"/>
      <c r="S129" s="43"/>
      <c r="T129" s="43"/>
    </row>
    <row r="130" spans="1:20" ht="20" customHeight="1">
      <c r="A130" s="6"/>
      <c r="B130" s="4" t="s">
        <v>119</v>
      </c>
      <c r="C130" s="5">
        <f>106/6</f>
        <v>17.666666666666668</v>
      </c>
      <c r="D130" s="6" t="s">
        <v>60</v>
      </c>
      <c r="E130" s="11">
        <v>39</v>
      </c>
      <c r="F130" s="5">
        <f t="shared" si="40"/>
        <v>689</v>
      </c>
      <c r="G130" s="20">
        <v>0</v>
      </c>
      <c r="H130" s="5">
        <f t="shared" si="41"/>
        <v>0</v>
      </c>
      <c r="I130" s="49">
        <f t="shared" si="42"/>
        <v>689</v>
      </c>
      <c r="J130" s="4"/>
      <c r="K130" s="43"/>
      <c r="L130" s="43"/>
      <c r="M130" s="43"/>
      <c r="N130" s="43"/>
      <c r="O130" s="43"/>
      <c r="P130" s="43"/>
      <c r="Q130" s="43"/>
      <c r="R130" s="43"/>
      <c r="S130" s="43"/>
      <c r="T130" s="43"/>
    </row>
    <row r="131" spans="1:20" ht="20" customHeight="1">
      <c r="A131" s="6"/>
      <c r="B131" s="4" t="s">
        <v>120</v>
      </c>
      <c r="C131" s="5"/>
      <c r="D131" s="6" t="s">
        <v>60</v>
      </c>
      <c r="E131" s="11">
        <v>39</v>
      </c>
      <c r="F131" s="5">
        <f t="shared" si="40"/>
        <v>0</v>
      </c>
      <c r="G131" s="20">
        <v>0</v>
      </c>
      <c r="H131" s="5">
        <f t="shared" si="41"/>
        <v>0</v>
      </c>
      <c r="I131" s="49">
        <f t="shared" si="42"/>
        <v>0</v>
      </c>
      <c r="J131" s="4"/>
      <c r="K131" s="43"/>
      <c r="L131" s="43"/>
      <c r="M131" s="43"/>
      <c r="N131" s="43"/>
      <c r="O131" s="43"/>
      <c r="P131" s="43"/>
      <c r="Q131" s="43"/>
      <c r="R131" s="43"/>
      <c r="S131" s="43"/>
      <c r="T131" s="43"/>
    </row>
    <row r="132" spans="1:20" ht="20" customHeight="1">
      <c r="A132" s="6"/>
      <c r="B132" s="4" t="s">
        <v>121</v>
      </c>
      <c r="C132" s="5"/>
      <c r="D132" s="6" t="s">
        <v>60</v>
      </c>
      <c r="E132" s="11">
        <v>52</v>
      </c>
      <c r="F132" s="5">
        <f t="shared" si="40"/>
        <v>0</v>
      </c>
      <c r="G132" s="20">
        <v>0</v>
      </c>
      <c r="H132" s="5">
        <f t="shared" si="41"/>
        <v>0</v>
      </c>
      <c r="I132" s="49">
        <f t="shared" si="42"/>
        <v>0</v>
      </c>
      <c r="J132" s="4"/>
      <c r="K132" s="43"/>
      <c r="L132" s="43"/>
      <c r="M132" s="43"/>
      <c r="N132" s="43"/>
      <c r="O132" s="43"/>
      <c r="P132" s="43"/>
      <c r="Q132" s="43"/>
      <c r="R132" s="43"/>
      <c r="S132" s="43"/>
      <c r="T132" s="43"/>
    </row>
    <row r="133" spans="1:20" ht="20" customHeight="1">
      <c r="A133" s="6"/>
      <c r="B133" s="4" t="s">
        <v>124</v>
      </c>
      <c r="C133" s="5">
        <f>14/6</f>
        <v>2.3333333333333335</v>
      </c>
      <c r="D133" s="6" t="s">
        <v>125</v>
      </c>
      <c r="E133" s="11">
        <v>170</v>
      </c>
      <c r="F133" s="5">
        <f t="shared" si="40"/>
        <v>396.66666666666669</v>
      </c>
      <c r="G133" s="20">
        <v>0</v>
      </c>
      <c r="H133" s="5">
        <f t="shared" si="41"/>
        <v>0</v>
      </c>
      <c r="I133" s="49">
        <f t="shared" si="42"/>
        <v>396.66666666666669</v>
      </c>
      <c r="J133" s="4"/>
      <c r="K133" s="43"/>
      <c r="L133" s="43"/>
      <c r="M133" s="43"/>
      <c r="N133" s="43"/>
      <c r="O133" s="43"/>
      <c r="P133" s="43"/>
      <c r="Q133" s="43"/>
      <c r="R133" s="43"/>
      <c r="S133" s="43"/>
      <c r="T133" s="43"/>
    </row>
    <row r="134" spans="1:20" ht="20" customHeight="1">
      <c r="A134" s="6"/>
      <c r="B134" s="4" t="s">
        <v>155</v>
      </c>
      <c r="C134" s="5">
        <f>3/6</f>
        <v>0.5</v>
      </c>
      <c r="D134" s="6" t="s">
        <v>97</v>
      </c>
      <c r="E134" s="11">
        <v>1359</v>
      </c>
      <c r="F134" s="5">
        <f t="shared" si="40"/>
        <v>679.5</v>
      </c>
      <c r="G134" s="20">
        <v>0</v>
      </c>
      <c r="H134" s="5">
        <f t="shared" si="41"/>
        <v>0</v>
      </c>
      <c r="I134" s="49">
        <f t="shared" si="42"/>
        <v>679.5</v>
      </c>
      <c r="J134" s="4"/>
      <c r="K134" s="43"/>
      <c r="L134" s="43"/>
      <c r="M134" s="43"/>
      <c r="N134" s="43"/>
      <c r="O134" s="43"/>
      <c r="P134" s="43"/>
      <c r="Q134" s="43"/>
      <c r="R134" s="43"/>
      <c r="S134" s="43"/>
      <c r="T134" s="43"/>
    </row>
    <row r="135" spans="1:20" ht="20" customHeight="1">
      <c r="A135" s="6"/>
      <c r="B135" s="4" t="s">
        <v>122</v>
      </c>
      <c r="C135" s="5"/>
      <c r="D135" s="6" t="s">
        <v>123</v>
      </c>
      <c r="E135" s="5">
        <v>0</v>
      </c>
      <c r="F135" s="5">
        <f t="shared" si="40"/>
        <v>0</v>
      </c>
      <c r="G135" s="5">
        <v>400</v>
      </c>
      <c r="H135" s="5">
        <f t="shared" si="41"/>
        <v>0</v>
      </c>
      <c r="I135" s="49">
        <f t="shared" si="42"/>
        <v>0</v>
      </c>
      <c r="J135" s="4"/>
      <c r="K135" s="43"/>
      <c r="L135" s="43"/>
      <c r="M135" s="43"/>
      <c r="N135" s="43"/>
      <c r="O135" s="43"/>
      <c r="P135" s="43"/>
      <c r="Q135" s="43"/>
      <c r="R135" s="43"/>
      <c r="S135" s="43"/>
      <c r="T135" s="43"/>
    </row>
    <row r="136" spans="1:20" s="43" customFormat="1" ht="20" customHeight="1">
      <c r="A136" s="6"/>
      <c r="B136" s="4" t="s">
        <v>274</v>
      </c>
      <c r="C136" s="5">
        <v>1</v>
      </c>
      <c r="D136" s="6" t="s">
        <v>264</v>
      </c>
      <c r="E136" s="5">
        <v>0</v>
      </c>
      <c r="F136" s="5">
        <f t="shared" si="40"/>
        <v>0</v>
      </c>
      <c r="G136" s="70">
        <v>70</v>
      </c>
      <c r="H136" s="5">
        <f t="shared" si="41"/>
        <v>70</v>
      </c>
      <c r="I136" s="49">
        <f t="shared" si="42"/>
        <v>70</v>
      </c>
      <c r="J136" s="4"/>
      <c r="K136" s="73"/>
    </row>
    <row r="137" spans="1:20" s="50" customFormat="1" ht="20" customHeight="1">
      <c r="A137" s="12"/>
      <c r="B137" s="12" t="s">
        <v>218</v>
      </c>
      <c r="C137" s="13"/>
      <c r="D137" s="12"/>
      <c r="E137" s="100"/>
      <c r="F137" s="14">
        <f>SUM(F124:F136)</f>
        <v>13767.166666666666</v>
      </c>
      <c r="G137" s="14"/>
      <c r="H137" s="14">
        <f t="shared" ref="H137:I137" si="43">SUM(H124:H136)</f>
        <v>70</v>
      </c>
      <c r="I137" s="14">
        <f t="shared" si="43"/>
        <v>13837.166666666666</v>
      </c>
      <c r="J137" s="13"/>
      <c r="K137" s="151">
        <f>H137+F137</f>
        <v>13837.166666666666</v>
      </c>
    </row>
    <row r="138" spans="1:20" ht="20" customHeight="1">
      <c r="A138" s="198"/>
      <c r="B138" s="3" t="s">
        <v>224</v>
      </c>
      <c r="C138" s="4"/>
      <c r="D138" s="6"/>
      <c r="E138" s="48"/>
      <c r="F138" s="4"/>
      <c r="G138" s="4"/>
      <c r="H138" s="4"/>
      <c r="I138" s="4"/>
      <c r="J138" s="4"/>
      <c r="K138" s="43"/>
      <c r="L138" s="43"/>
      <c r="M138" s="43"/>
      <c r="N138" s="43"/>
      <c r="O138" s="43"/>
      <c r="P138" s="43"/>
      <c r="Q138" s="43"/>
      <c r="R138" s="43"/>
      <c r="S138" s="43"/>
      <c r="T138" s="43"/>
    </row>
    <row r="139" spans="1:20" ht="20" customHeight="1">
      <c r="A139" s="198"/>
      <c r="B139" s="4" t="s">
        <v>130</v>
      </c>
      <c r="C139" s="5">
        <v>7</v>
      </c>
      <c r="D139" s="6" t="s">
        <v>32</v>
      </c>
      <c r="E139" s="5">
        <v>0</v>
      </c>
      <c r="F139" s="5">
        <f>E139*C139</f>
        <v>0</v>
      </c>
      <c r="G139" s="5">
        <f>320</f>
        <v>320</v>
      </c>
      <c r="H139" s="20">
        <f>G139*C139</f>
        <v>2240</v>
      </c>
      <c r="I139" s="49">
        <f>H139+F139</f>
        <v>2240</v>
      </c>
      <c r="J139" s="24" t="s">
        <v>132</v>
      </c>
      <c r="K139" s="43"/>
      <c r="L139" s="43"/>
      <c r="M139" s="43"/>
      <c r="N139" s="43"/>
      <c r="O139" s="43"/>
      <c r="P139" s="43"/>
      <c r="Q139" s="43"/>
      <c r="R139" s="43"/>
      <c r="S139" s="43"/>
      <c r="T139" s="43"/>
    </row>
    <row r="140" spans="1:20" ht="20" customHeight="1">
      <c r="A140" s="198"/>
      <c r="B140" s="4" t="s">
        <v>131</v>
      </c>
      <c r="C140" s="5">
        <v>18</v>
      </c>
      <c r="D140" s="6" t="s">
        <v>32</v>
      </c>
      <c r="E140" s="5">
        <v>0</v>
      </c>
      <c r="F140" s="5">
        <f t="shared" ref="F140:F145" si="44">E140*C140</f>
        <v>0</v>
      </c>
      <c r="G140" s="5">
        <v>280</v>
      </c>
      <c r="H140" s="20">
        <f t="shared" ref="H140:H145" si="45">G140*C140</f>
        <v>5040</v>
      </c>
      <c r="I140" s="49">
        <f t="shared" ref="I140:I145" si="46">H140+F140</f>
        <v>5040</v>
      </c>
      <c r="J140" s="24" t="s">
        <v>133</v>
      </c>
      <c r="K140" s="43"/>
      <c r="L140" s="43"/>
      <c r="M140" s="43"/>
      <c r="N140" s="43"/>
      <c r="O140" s="43"/>
      <c r="P140" s="43"/>
      <c r="Q140" s="43"/>
      <c r="R140" s="43"/>
      <c r="S140" s="43"/>
      <c r="T140" s="43"/>
    </row>
    <row r="141" spans="1:20" ht="20" customHeight="1">
      <c r="A141" s="198"/>
      <c r="B141" s="4" t="s">
        <v>129</v>
      </c>
      <c r="C141" s="5">
        <f>180/6</f>
        <v>30</v>
      </c>
      <c r="D141" s="6" t="s">
        <v>32</v>
      </c>
      <c r="E141" s="5">
        <v>0</v>
      </c>
      <c r="F141" s="5">
        <f t="shared" si="44"/>
        <v>0</v>
      </c>
      <c r="G141" s="5">
        <v>240</v>
      </c>
      <c r="H141" s="20">
        <f t="shared" si="45"/>
        <v>7200</v>
      </c>
      <c r="I141" s="49">
        <f t="shared" si="46"/>
        <v>7200</v>
      </c>
      <c r="J141" s="24" t="s">
        <v>133</v>
      </c>
      <c r="K141" s="43"/>
      <c r="L141" s="43"/>
      <c r="M141" s="43"/>
      <c r="N141" s="43"/>
      <c r="O141" s="43"/>
      <c r="P141" s="43"/>
      <c r="Q141" s="43"/>
      <c r="R141" s="43"/>
      <c r="S141" s="43"/>
      <c r="T141" s="43"/>
    </row>
    <row r="142" spans="1:20" ht="20" customHeight="1">
      <c r="A142" s="198"/>
      <c r="B142" s="4" t="s">
        <v>135</v>
      </c>
      <c r="C142" s="5">
        <v>57.6</v>
      </c>
      <c r="D142" s="6" t="s">
        <v>123</v>
      </c>
      <c r="E142" s="5">
        <v>0</v>
      </c>
      <c r="F142" s="5">
        <f t="shared" si="44"/>
        <v>0</v>
      </c>
      <c r="G142" s="5">
        <v>70</v>
      </c>
      <c r="H142" s="20">
        <f t="shared" si="45"/>
        <v>4032</v>
      </c>
      <c r="I142" s="49">
        <f t="shared" si="46"/>
        <v>4032</v>
      </c>
      <c r="J142" s="4"/>
      <c r="K142" s="43"/>
      <c r="L142" s="43"/>
      <c r="M142" s="43"/>
      <c r="N142" s="43"/>
      <c r="O142" s="43"/>
      <c r="P142" s="43"/>
      <c r="Q142" s="43"/>
      <c r="R142" s="43"/>
      <c r="S142" s="43"/>
      <c r="T142" s="43"/>
    </row>
    <row r="143" spans="1:20" ht="20" customHeight="1">
      <c r="A143" s="198"/>
      <c r="B143" s="4" t="s">
        <v>137</v>
      </c>
      <c r="C143" s="5">
        <v>1</v>
      </c>
      <c r="D143" s="6" t="s">
        <v>136</v>
      </c>
      <c r="E143" s="11">
        <v>8067</v>
      </c>
      <c r="F143" s="5">
        <f t="shared" si="44"/>
        <v>8067</v>
      </c>
      <c r="G143" s="5">
        <v>2000</v>
      </c>
      <c r="H143" s="20">
        <f t="shared" si="45"/>
        <v>2000</v>
      </c>
      <c r="I143" s="49">
        <f t="shared" si="46"/>
        <v>10067</v>
      </c>
      <c r="J143" s="4"/>
      <c r="K143" s="43"/>
      <c r="L143" s="43"/>
      <c r="M143" s="43"/>
      <c r="N143" s="43"/>
      <c r="O143" s="43"/>
      <c r="P143" s="43"/>
      <c r="Q143" s="43"/>
      <c r="R143" s="43"/>
      <c r="S143" s="43"/>
      <c r="T143" s="43"/>
    </row>
    <row r="144" spans="1:20" ht="20" customHeight="1">
      <c r="A144" s="198"/>
      <c r="B144" s="4" t="s">
        <v>139</v>
      </c>
      <c r="C144" s="5"/>
      <c r="D144" s="6" t="s">
        <v>32</v>
      </c>
      <c r="E144" s="5">
        <v>0</v>
      </c>
      <c r="F144" s="5">
        <f t="shared" si="44"/>
        <v>0</v>
      </c>
      <c r="G144" s="5">
        <v>280</v>
      </c>
      <c r="H144" s="20">
        <f t="shared" si="45"/>
        <v>0</v>
      </c>
      <c r="I144" s="49">
        <f t="shared" si="46"/>
        <v>0</v>
      </c>
      <c r="J144" s="4"/>
      <c r="K144" s="43"/>
      <c r="L144" s="43"/>
      <c r="M144" s="43"/>
      <c r="N144" s="43"/>
      <c r="O144" s="43"/>
      <c r="P144" s="43"/>
      <c r="Q144" s="43"/>
      <c r="R144" s="43"/>
      <c r="S144" s="43"/>
      <c r="T144" s="43"/>
    </row>
    <row r="145" spans="1:20" ht="20" customHeight="1">
      <c r="A145" s="6"/>
      <c r="B145" s="4" t="s">
        <v>138</v>
      </c>
      <c r="C145" s="5"/>
      <c r="D145" s="6" t="s">
        <v>32</v>
      </c>
      <c r="E145" s="5">
        <v>0</v>
      </c>
      <c r="F145" s="5">
        <f t="shared" si="44"/>
        <v>0</v>
      </c>
      <c r="G145" s="5">
        <v>965</v>
      </c>
      <c r="H145" s="20">
        <f t="shared" si="45"/>
        <v>0</v>
      </c>
      <c r="I145" s="49">
        <f t="shared" si="46"/>
        <v>0</v>
      </c>
      <c r="J145" s="4"/>
      <c r="K145" s="43"/>
      <c r="L145" s="43"/>
      <c r="M145" s="43"/>
      <c r="N145" s="43"/>
      <c r="O145" s="43"/>
      <c r="P145" s="43"/>
      <c r="Q145" s="43"/>
      <c r="R145" s="43"/>
      <c r="S145" s="43"/>
      <c r="T145" s="43"/>
    </row>
    <row r="146" spans="1:20" s="50" customFormat="1" ht="20" customHeight="1">
      <c r="A146" s="12"/>
      <c r="B146" s="12" t="s">
        <v>177</v>
      </c>
      <c r="C146" s="13"/>
      <c r="D146" s="12"/>
      <c r="E146" s="100"/>
      <c r="F146" s="14">
        <f>SUM(F139:F145)</f>
        <v>8067</v>
      </c>
      <c r="G146" s="14"/>
      <c r="H146" s="14">
        <f t="shared" ref="H146:I146" si="47">SUM(H139:H145)</f>
        <v>20512</v>
      </c>
      <c r="I146" s="14">
        <f t="shared" si="47"/>
        <v>28579</v>
      </c>
      <c r="J146" s="13"/>
      <c r="K146" s="151">
        <f>H146+F146</f>
        <v>28579</v>
      </c>
    </row>
    <row r="147" spans="1:20" ht="20" customHeight="1">
      <c r="A147" s="198"/>
      <c r="B147" s="3" t="s">
        <v>225</v>
      </c>
      <c r="C147" s="4"/>
      <c r="D147" s="6"/>
      <c r="E147" s="48"/>
      <c r="F147" s="4"/>
      <c r="G147" s="4"/>
      <c r="H147" s="4"/>
      <c r="I147" s="4"/>
      <c r="J147" s="4"/>
      <c r="K147" s="43"/>
      <c r="L147" s="43"/>
      <c r="M147" s="43"/>
      <c r="N147" s="43"/>
      <c r="O147" s="43"/>
      <c r="P147" s="43"/>
      <c r="Q147" s="43"/>
      <c r="R147" s="43"/>
      <c r="S147" s="43"/>
      <c r="T147" s="43"/>
    </row>
    <row r="148" spans="1:20" ht="20" customHeight="1">
      <c r="A148" s="198"/>
      <c r="B148" s="4" t="s">
        <v>140</v>
      </c>
      <c r="C148" s="5">
        <v>1</v>
      </c>
      <c r="D148" s="6" t="s">
        <v>141</v>
      </c>
      <c r="E148" s="11">
        <v>1869</v>
      </c>
      <c r="F148" s="5">
        <f>E148*C148</f>
        <v>1869</v>
      </c>
      <c r="G148" s="20">
        <v>0</v>
      </c>
      <c r="H148" s="20">
        <f>G148*C148</f>
        <v>0</v>
      </c>
      <c r="I148" s="49">
        <f>H148+F148</f>
        <v>1869</v>
      </c>
      <c r="J148" s="4"/>
      <c r="K148" s="43"/>
      <c r="L148" s="43"/>
      <c r="M148" s="43"/>
      <c r="N148" s="43"/>
      <c r="O148" s="43"/>
      <c r="P148" s="43"/>
      <c r="Q148" s="43"/>
      <c r="R148" s="43"/>
      <c r="S148" s="43"/>
      <c r="T148" s="43"/>
    </row>
    <row r="149" spans="1:20" ht="20" customHeight="1">
      <c r="A149" s="198"/>
      <c r="B149" s="4" t="s">
        <v>142</v>
      </c>
      <c r="C149" s="5">
        <v>1</v>
      </c>
      <c r="D149" s="6" t="s">
        <v>141</v>
      </c>
      <c r="E149" s="11">
        <v>640</v>
      </c>
      <c r="F149" s="5">
        <f t="shared" ref="F149:F165" si="48">E149*C149</f>
        <v>640</v>
      </c>
      <c r="G149" s="20">
        <v>0</v>
      </c>
      <c r="H149" s="20">
        <f t="shared" ref="H149:H165" si="49">G149*C149</f>
        <v>0</v>
      </c>
      <c r="I149" s="49">
        <f t="shared" ref="I149:I165" si="50">H149+F149</f>
        <v>640</v>
      </c>
      <c r="J149" s="4"/>
      <c r="K149" s="43"/>
      <c r="L149" s="43"/>
      <c r="M149" s="43"/>
      <c r="N149" s="43"/>
      <c r="O149" s="43"/>
      <c r="P149" s="43"/>
      <c r="Q149" s="43"/>
      <c r="R149" s="43"/>
      <c r="S149" s="43"/>
      <c r="T149" s="43"/>
    </row>
    <row r="150" spans="1:20" ht="20" customHeight="1">
      <c r="A150" s="198"/>
      <c r="B150" s="4" t="s">
        <v>158</v>
      </c>
      <c r="C150" s="5">
        <v>1</v>
      </c>
      <c r="D150" s="6" t="s">
        <v>141</v>
      </c>
      <c r="E150" s="11">
        <v>664</v>
      </c>
      <c r="F150" s="5">
        <f t="shared" si="48"/>
        <v>664</v>
      </c>
      <c r="G150" s="20">
        <v>0</v>
      </c>
      <c r="H150" s="20">
        <f t="shared" si="49"/>
        <v>0</v>
      </c>
      <c r="I150" s="49">
        <f t="shared" si="50"/>
        <v>664</v>
      </c>
      <c r="J150" s="4"/>
      <c r="K150" s="43"/>
      <c r="L150" s="43"/>
      <c r="M150" s="43"/>
      <c r="N150" s="43"/>
      <c r="O150" s="43"/>
      <c r="P150" s="43"/>
      <c r="Q150" s="43"/>
      <c r="R150" s="43"/>
      <c r="S150" s="43"/>
      <c r="T150" s="43"/>
    </row>
    <row r="151" spans="1:20" ht="20" customHeight="1">
      <c r="A151" s="198"/>
      <c r="B151" s="4" t="s">
        <v>157</v>
      </c>
      <c r="C151" s="5">
        <v>1</v>
      </c>
      <c r="D151" s="6" t="s">
        <v>141</v>
      </c>
      <c r="E151" s="11">
        <v>159</v>
      </c>
      <c r="F151" s="5">
        <f t="shared" si="48"/>
        <v>159</v>
      </c>
      <c r="G151" s="20">
        <v>0</v>
      </c>
      <c r="H151" s="20">
        <f t="shared" si="49"/>
        <v>0</v>
      </c>
      <c r="I151" s="49">
        <f t="shared" si="50"/>
        <v>159</v>
      </c>
      <c r="J151" s="4"/>
      <c r="K151" s="43"/>
      <c r="L151" s="43"/>
      <c r="M151" s="43"/>
      <c r="N151" s="43"/>
      <c r="O151" s="43"/>
      <c r="P151" s="43"/>
      <c r="Q151" s="43"/>
      <c r="R151" s="43"/>
      <c r="S151" s="43"/>
      <c r="T151" s="43"/>
    </row>
    <row r="152" spans="1:20" ht="20" customHeight="1">
      <c r="A152" s="198"/>
      <c r="B152" s="4" t="s">
        <v>159</v>
      </c>
      <c r="C152" s="5">
        <v>1</v>
      </c>
      <c r="D152" s="6" t="s">
        <v>141</v>
      </c>
      <c r="E152" s="11">
        <v>425</v>
      </c>
      <c r="F152" s="5">
        <f t="shared" si="48"/>
        <v>425</v>
      </c>
      <c r="G152" s="20">
        <v>0</v>
      </c>
      <c r="H152" s="20">
        <f t="shared" si="49"/>
        <v>0</v>
      </c>
      <c r="I152" s="49">
        <f t="shared" si="50"/>
        <v>425</v>
      </c>
      <c r="J152" s="4"/>
      <c r="K152" s="43"/>
      <c r="L152" s="43"/>
      <c r="M152" s="43"/>
      <c r="N152" s="43"/>
      <c r="O152" s="43"/>
      <c r="P152" s="43"/>
      <c r="Q152" s="43"/>
      <c r="R152" s="43"/>
      <c r="S152" s="43"/>
      <c r="T152" s="43"/>
    </row>
    <row r="153" spans="1:20" ht="20" customHeight="1">
      <c r="A153" s="198"/>
      <c r="B153" s="4" t="s">
        <v>143</v>
      </c>
      <c r="C153" s="5">
        <v>1</v>
      </c>
      <c r="D153" s="6" t="s">
        <v>141</v>
      </c>
      <c r="E153" s="11">
        <v>183</v>
      </c>
      <c r="F153" s="5">
        <f t="shared" si="48"/>
        <v>183</v>
      </c>
      <c r="G153" s="20">
        <v>0</v>
      </c>
      <c r="H153" s="20">
        <f t="shared" si="49"/>
        <v>0</v>
      </c>
      <c r="I153" s="49">
        <f t="shared" si="50"/>
        <v>183</v>
      </c>
      <c r="J153" s="4"/>
      <c r="K153" s="43"/>
      <c r="L153" s="43"/>
      <c r="M153" s="43"/>
      <c r="N153" s="43"/>
      <c r="O153" s="43"/>
      <c r="P153" s="43"/>
      <c r="Q153" s="43"/>
      <c r="R153" s="43"/>
      <c r="S153" s="43"/>
      <c r="T153" s="43"/>
    </row>
    <row r="154" spans="1:20" ht="20" customHeight="1">
      <c r="A154" s="198"/>
      <c r="B154" s="4" t="s">
        <v>144</v>
      </c>
      <c r="C154" s="5">
        <v>1</v>
      </c>
      <c r="D154" s="6" t="s">
        <v>100</v>
      </c>
      <c r="E154" s="11">
        <v>151</v>
      </c>
      <c r="F154" s="5">
        <f t="shared" si="48"/>
        <v>151</v>
      </c>
      <c r="G154" s="20">
        <v>0</v>
      </c>
      <c r="H154" s="20">
        <f t="shared" si="49"/>
        <v>0</v>
      </c>
      <c r="I154" s="49">
        <f t="shared" si="50"/>
        <v>151</v>
      </c>
      <c r="J154" s="4"/>
      <c r="K154" s="43"/>
      <c r="L154" s="43"/>
      <c r="M154" s="43"/>
      <c r="N154" s="43"/>
      <c r="O154" s="43"/>
      <c r="P154" s="43"/>
      <c r="Q154" s="43"/>
      <c r="R154" s="43"/>
      <c r="S154" s="43"/>
      <c r="T154" s="43"/>
    </row>
    <row r="155" spans="1:20" ht="20" customHeight="1">
      <c r="A155" s="198"/>
      <c r="B155" s="4" t="s">
        <v>145</v>
      </c>
      <c r="C155" s="5">
        <v>1</v>
      </c>
      <c r="D155" s="6" t="s">
        <v>146</v>
      </c>
      <c r="E155" s="11"/>
      <c r="F155" s="5">
        <f t="shared" si="48"/>
        <v>0</v>
      </c>
      <c r="G155" s="20">
        <v>0</v>
      </c>
      <c r="H155" s="20">
        <f t="shared" si="49"/>
        <v>0</v>
      </c>
      <c r="I155" s="49">
        <f t="shared" si="50"/>
        <v>0</v>
      </c>
      <c r="J155" s="4"/>
      <c r="K155" s="43"/>
      <c r="L155" s="43"/>
      <c r="M155" s="43"/>
      <c r="N155" s="43"/>
      <c r="O155" s="43"/>
      <c r="P155" s="43"/>
      <c r="Q155" s="43"/>
      <c r="R155" s="43"/>
      <c r="S155" s="43"/>
      <c r="T155" s="43"/>
    </row>
    <row r="156" spans="1:20" ht="20" customHeight="1">
      <c r="A156" s="198"/>
      <c r="B156" s="4" t="s">
        <v>160</v>
      </c>
      <c r="C156" s="5">
        <v>1</v>
      </c>
      <c r="D156" s="6" t="s">
        <v>100</v>
      </c>
      <c r="E156" s="11">
        <v>77</v>
      </c>
      <c r="F156" s="5">
        <f t="shared" si="48"/>
        <v>77</v>
      </c>
      <c r="G156" s="20">
        <v>0</v>
      </c>
      <c r="H156" s="20">
        <f t="shared" si="49"/>
        <v>0</v>
      </c>
      <c r="I156" s="49">
        <f t="shared" si="50"/>
        <v>77</v>
      </c>
      <c r="J156" s="4"/>
      <c r="K156" s="43"/>
      <c r="L156" s="43"/>
      <c r="M156" s="43"/>
      <c r="N156" s="43"/>
      <c r="O156" s="43"/>
      <c r="P156" s="43"/>
      <c r="Q156" s="43"/>
      <c r="R156" s="43"/>
      <c r="S156" s="43"/>
      <c r="T156" s="43"/>
    </row>
    <row r="157" spans="1:20" ht="20" customHeight="1">
      <c r="A157" s="198"/>
      <c r="B157" s="4" t="s">
        <v>147</v>
      </c>
      <c r="C157" s="5">
        <v>1</v>
      </c>
      <c r="D157" s="6" t="s">
        <v>100</v>
      </c>
      <c r="E157" s="11">
        <v>234</v>
      </c>
      <c r="F157" s="5">
        <f t="shared" si="48"/>
        <v>234</v>
      </c>
      <c r="G157" s="20">
        <v>0</v>
      </c>
      <c r="H157" s="20">
        <f t="shared" si="49"/>
        <v>0</v>
      </c>
      <c r="I157" s="49">
        <f t="shared" si="50"/>
        <v>234</v>
      </c>
      <c r="J157" s="4"/>
      <c r="K157" s="43"/>
      <c r="L157" s="43"/>
      <c r="M157" s="43"/>
      <c r="N157" s="43"/>
      <c r="O157" s="43"/>
      <c r="P157" s="43"/>
      <c r="Q157" s="43"/>
      <c r="R157" s="43"/>
      <c r="S157" s="43"/>
      <c r="T157" s="43"/>
    </row>
    <row r="158" spans="1:20" ht="20" customHeight="1">
      <c r="A158" s="198"/>
      <c r="B158" s="4" t="s">
        <v>161</v>
      </c>
      <c r="C158" s="5">
        <v>1</v>
      </c>
      <c r="D158" s="6" t="s">
        <v>100</v>
      </c>
      <c r="E158" s="11">
        <v>151</v>
      </c>
      <c r="F158" s="5">
        <f t="shared" si="48"/>
        <v>151</v>
      </c>
      <c r="G158" s="20">
        <v>0</v>
      </c>
      <c r="H158" s="20">
        <f t="shared" si="49"/>
        <v>0</v>
      </c>
      <c r="I158" s="49">
        <f t="shared" si="50"/>
        <v>151</v>
      </c>
      <c r="J158" s="4"/>
      <c r="K158" s="43"/>
      <c r="L158" s="43"/>
      <c r="M158" s="43"/>
      <c r="N158" s="43"/>
      <c r="O158" s="43"/>
      <c r="P158" s="43"/>
      <c r="Q158" s="43"/>
      <c r="R158" s="43"/>
      <c r="S158" s="43"/>
      <c r="T158" s="43"/>
    </row>
    <row r="159" spans="1:20" ht="20" customHeight="1">
      <c r="A159" s="198"/>
      <c r="B159" s="4" t="s">
        <v>148</v>
      </c>
      <c r="C159" s="5">
        <v>1</v>
      </c>
      <c r="D159" s="6" t="s">
        <v>100</v>
      </c>
      <c r="E159" s="11">
        <v>584</v>
      </c>
      <c r="F159" s="5">
        <f t="shared" si="48"/>
        <v>584</v>
      </c>
      <c r="G159" s="20">
        <v>0</v>
      </c>
      <c r="H159" s="20">
        <f t="shared" si="49"/>
        <v>0</v>
      </c>
      <c r="I159" s="49">
        <f t="shared" si="50"/>
        <v>584</v>
      </c>
      <c r="J159" s="4"/>
      <c r="K159" s="43"/>
      <c r="L159" s="43"/>
      <c r="M159" s="43"/>
      <c r="N159" s="43"/>
      <c r="O159" s="43"/>
      <c r="P159" s="43"/>
      <c r="Q159" s="43"/>
      <c r="R159" s="43"/>
      <c r="S159" s="43"/>
      <c r="T159" s="43"/>
    </row>
    <row r="160" spans="1:20" s="43" customFormat="1" ht="20" customHeight="1">
      <c r="A160" s="198"/>
      <c r="B160" s="4" t="s">
        <v>149</v>
      </c>
      <c r="C160" s="5">
        <v>2</v>
      </c>
      <c r="D160" s="6" t="s">
        <v>100</v>
      </c>
      <c r="E160" s="5">
        <v>140</v>
      </c>
      <c r="F160" s="5">
        <f t="shared" si="48"/>
        <v>280</v>
      </c>
      <c r="G160" s="20">
        <v>0</v>
      </c>
      <c r="H160" s="20">
        <f t="shared" si="49"/>
        <v>0</v>
      </c>
      <c r="I160" s="49">
        <f t="shared" si="50"/>
        <v>280</v>
      </c>
      <c r="J160" s="4"/>
      <c r="K160" s="73"/>
    </row>
    <row r="161" spans="1:20" s="43" customFormat="1" ht="20" customHeight="1">
      <c r="A161" s="198"/>
      <c r="B161" s="4" t="s">
        <v>150</v>
      </c>
      <c r="C161" s="5">
        <v>1</v>
      </c>
      <c r="D161" s="6" t="s">
        <v>100</v>
      </c>
      <c r="E161" s="5">
        <v>45</v>
      </c>
      <c r="F161" s="5">
        <f t="shared" si="48"/>
        <v>45</v>
      </c>
      <c r="G161" s="5">
        <v>0</v>
      </c>
      <c r="H161" s="20">
        <f t="shared" si="49"/>
        <v>0</v>
      </c>
      <c r="I161" s="49">
        <f t="shared" si="50"/>
        <v>45</v>
      </c>
      <c r="J161" s="4"/>
      <c r="K161" s="73"/>
    </row>
    <row r="162" spans="1:20" s="43" customFormat="1" ht="20" customHeight="1">
      <c r="A162" s="198"/>
      <c r="B162" s="4" t="s">
        <v>151</v>
      </c>
      <c r="C162" s="5">
        <v>1</v>
      </c>
      <c r="D162" s="6" t="s">
        <v>100</v>
      </c>
      <c r="E162" s="5">
        <v>215</v>
      </c>
      <c r="F162" s="5">
        <f t="shared" si="48"/>
        <v>215</v>
      </c>
      <c r="G162" s="5">
        <v>0</v>
      </c>
      <c r="H162" s="20">
        <f t="shared" si="49"/>
        <v>0</v>
      </c>
      <c r="I162" s="49">
        <f t="shared" si="50"/>
        <v>215</v>
      </c>
      <c r="J162" s="4"/>
      <c r="K162" s="73"/>
    </row>
    <row r="163" spans="1:20" s="43" customFormat="1" ht="20" customHeight="1">
      <c r="A163" s="198"/>
      <c r="B163" s="4" t="s">
        <v>152</v>
      </c>
      <c r="C163" s="5">
        <v>1</v>
      </c>
      <c r="D163" s="6" t="s">
        <v>100</v>
      </c>
      <c r="E163" s="5">
        <v>0</v>
      </c>
      <c r="F163" s="5">
        <f t="shared" si="48"/>
        <v>0</v>
      </c>
      <c r="G163" s="5">
        <v>0</v>
      </c>
      <c r="H163" s="20">
        <f t="shared" si="49"/>
        <v>0</v>
      </c>
      <c r="I163" s="49">
        <f t="shared" si="50"/>
        <v>0</v>
      </c>
      <c r="J163" s="4"/>
      <c r="K163" s="73"/>
    </row>
    <row r="164" spans="1:20" s="43" customFormat="1" ht="20" customHeight="1">
      <c r="A164" s="6"/>
      <c r="B164" s="4" t="s">
        <v>153</v>
      </c>
      <c r="C164" s="5">
        <v>2</v>
      </c>
      <c r="D164" s="6" t="s">
        <v>100</v>
      </c>
      <c r="E164" s="4">
        <v>110</v>
      </c>
      <c r="F164" s="5">
        <f t="shared" si="48"/>
        <v>220</v>
      </c>
      <c r="G164" s="5">
        <v>0</v>
      </c>
      <c r="H164" s="20">
        <f t="shared" si="49"/>
        <v>0</v>
      </c>
      <c r="I164" s="49">
        <f t="shared" si="50"/>
        <v>220</v>
      </c>
      <c r="J164" s="4"/>
      <c r="K164" s="73"/>
    </row>
    <row r="165" spans="1:20" s="43" customFormat="1" ht="20" customHeight="1">
      <c r="A165" s="6"/>
      <c r="B165" s="4" t="s">
        <v>273</v>
      </c>
      <c r="C165" s="5">
        <v>1</v>
      </c>
      <c r="D165" s="6" t="s">
        <v>264</v>
      </c>
      <c r="E165" s="5">
        <v>0</v>
      </c>
      <c r="F165" s="5">
        <f t="shared" si="48"/>
        <v>0</v>
      </c>
      <c r="G165" s="70">
        <v>810</v>
      </c>
      <c r="H165" s="20">
        <f t="shared" si="49"/>
        <v>810</v>
      </c>
      <c r="I165" s="49">
        <f t="shared" si="50"/>
        <v>810</v>
      </c>
      <c r="J165" s="4"/>
      <c r="K165" s="73"/>
    </row>
    <row r="166" spans="1:20" s="50" customFormat="1" ht="20" customHeight="1">
      <c r="A166" s="12"/>
      <c r="B166" s="12" t="s">
        <v>154</v>
      </c>
      <c r="C166" s="13"/>
      <c r="D166" s="12"/>
      <c r="E166" s="100"/>
      <c r="F166" s="14">
        <f>SUM(F148:F165)</f>
        <v>5897</v>
      </c>
      <c r="G166" s="14"/>
      <c r="H166" s="14">
        <f t="shared" ref="H166:I166" si="51">SUM(H148:H165)</f>
        <v>810</v>
      </c>
      <c r="I166" s="14">
        <f t="shared" si="51"/>
        <v>6707</v>
      </c>
      <c r="J166" s="13"/>
      <c r="K166" s="151">
        <f>H166+F166</f>
        <v>6707</v>
      </c>
    </row>
    <row r="167" spans="1:20" ht="20" customHeight="1">
      <c r="A167" s="198"/>
      <c r="B167" s="3" t="s">
        <v>226</v>
      </c>
      <c r="C167" s="4"/>
      <c r="D167" s="6"/>
      <c r="E167" s="48"/>
      <c r="F167" s="4"/>
      <c r="G167" s="4"/>
      <c r="H167" s="4"/>
      <c r="I167" s="4"/>
      <c r="J167" s="4"/>
      <c r="K167" s="43"/>
      <c r="L167" s="43"/>
      <c r="M167" s="43"/>
      <c r="N167" s="43"/>
      <c r="O167" s="43"/>
      <c r="P167" s="43"/>
      <c r="Q167" s="43"/>
      <c r="R167" s="43"/>
      <c r="S167" s="43"/>
      <c r="T167" s="43"/>
    </row>
    <row r="168" spans="1:20" ht="20" customHeight="1">
      <c r="A168" s="198"/>
      <c r="B168" s="4" t="s">
        <v>163</v>
      </c>
      <c r="C168" s="5">
        <v>1</v>
      </c>
      <c r="D168" s="6" t="s">
        <v>141</v>
      </c>
      <c r="E168" s="11">
        <v>0</v>
      </c>
      <c r="F168" s="5">
        <f>E168*C168</f>
        <v>0</v>
      </c>
      <c r="G168" s="5">
        <v>8000</v>
      </c>
      <c r="H168" s="5">
        <f>G168*C168</f>
        <v>8000</v>
      </c>
      <c r="I168" s="49">
        <f>H168+F168</f>
        <v>8000</v>
      </c>
      <c r="J168" s="24" t="s">
        <v>172</v>
      </c>
      <c r="K168" s="43"/>
      <c r="L168" s="43"/>
      <c r="M168" s="43"/>
      <c r="N168" s="43"/>
      <c r="O168" s="43"/>
      <c r="P168" s="43"/>
      <c r="Q168" s="43"/>
      <c r="R168" s="43"/>
      <c r="S168" s="43"/>
      <c r="T168" s="43"/>
    </row>
    <row r="169" spans="1:20" ht="20" customHeight="1">
      <c r="A169" s="198"/>
      <c r="B169" s="4" t="s">
        <v>164</v>
      </c>
      <c r="C169" s="5">
        <v>1</v>
      </c>
      <c r="D169" s="6" t="s">
        <v>141</v>
      </c>
      <c r="E169" s="11">
        <v>2670</v>
      </c>
      <c r="F169" s="5">
        <f t="shared" ref="F169:F176" si="52">E169*C169</f>
        <v>2670</v>
      </c>
      <c r="G169" s="5">
        <v>400</v>
      </c>
      <c r="H169" s="5">
        <f t="shared" ref="H169:H176" si="53">G169*C169</f>
        <v>400</v>
      </c>
      <c r="I169" s="49">
        <f t="shared" ref="I169:I176" si="54">H169+F169</f>
        <v>3070</v>
      </c>
      <c r="J169" s="4"/>
      <c r="K169" s="43"/>
      <c r="L169" s="43"/>
      <c r="M169" s="43"/>
      <c r="N169" s="43"/>
      <c r="O169" s="43"/>
      <c r="P169" s="43"/>
      <c r="Q169" s="43"/>
      <c r="R169" s="43"/>
      <c r="S169" s="43"/>
      <c r="T169" s="43"/>
    </row>
    <row r="170" spans="1:20" ht="20" customHeight="1">
      <c r="A170" s="198"/>
      <c r="B170" s="4" t="s">
        <v>165</v>
      </c>
      <c r="C170" s="5">
        <v>1</v>
      </c>
      <c r="D170" s="6" t="s">
        <v>141</v>
      </c>
      <c r="E170" s="11">
        <v>2670</v>
      </c>
      <c r="F170" s="5">
        <f t="shared" si="52"/>
        <v>2670</v>
      </c>
      <c r="G170" s="5">
        <v>400</v>
      </c>
      <c r="H170" s="5">
        <f t="shared" si="53"/>
        <v>400</v>
      </c>
      <c r="I170" s="49">
        <f t="shared" si="54"/>
        <v>3070</v>
      </c>
      <c r="J170" s="4"/>
      <c r="K170" s="43"/>
      <c r="L170" s="43"/>
      <c r="M170" s="43"/>
      <c r="N170" s="43"/>
      <c r="O170" s="43"/>
      <c r="P170" s="43"/>
      <c r="Q170" s="43"/>
      <c r="R170" s="43"/>
      <c r="S170" s="43"/>
      <c r="T170" s="43"/>
    </row>
    <row r="171" spans="1:20" ht="20" customHeight="1">
      <c r="A171" s="198"/>
      <c r="B171" s="4" t="s">
        <v>166</v>
      </c>
      <c r="C171" s="5">
        <v>2</v>
      </c>
      <c r="D171" s="6" t="s">
        <v>141</v>
      </c>
      <c r="E171" s="11">
        <v>1458</v>
      </c>
      <c r="F171" s="5">
        <f t="shared" si="52"/>
        <v>2916</v>
      </c>
      <c r="G171" s="5">
        <v>400</v>
      </c>
      <c r="H171" s="5">
        <f t="shared" si="53"/>
        <v>800</v>
      </c>
      <c r="I171" s="49">
        <f t="shared" si="54"/>
        <v>3716</v>
      </c>
      <c r="J171" s="4"/>
      <c r="K171" s="43"/>
      <c r="L171" s="43"/>
      <c r="M171" s="43"/>
      <c r="N171" s="43"/>
      <c r="O171" s="43"/>
      <c r="P171" s="43"/>
      <c r="Q171" s="43"/>
      <c r="R171" s="43"/>
      <c r="S171" s="43"/>
      <c r="T171" s="43"/>
    </row>
    <row r="172" spans="1:20" ht="20" customHeight="1">
      <c r="A172" s="198"/>
      <c r="B172" s="4" t="s">
        <v>169</v>
      </c>
      <c r="C172" s="5">
        <v>0</v>
      </c>
      <c r="D172" s="6" t="s">
        <v>141</v>
      </c>
      <c r="E172" s="11">
        <v>0</v>
      </c>
      <c r="F172" s="5">
        <f t="shared" si="52"/>
        <v>0</v>
      </c>
      <c r="G172" s="5">
        <v>3300</v>
      </c>
      <c r="H172" s="5">
        <f t="shared" si="53"/>
        <v>0</v>
      </c>
      <c r="I172" s="49">
        <f t="shared" si="54"/>
        <v>0</v>
      </c>
      <c r="J172" s="24" t="s">
        <v>172</v>
      </c>
      <c r="K172" s="43"/>
      <c r="L172" s="43"/>
      <c r="M172" s="43"/>
      <c r="N172" s="43"/>
      <c r="O172" s="43"/>
      <c r="P172" s="43"/>
      <c r="Q172" s="43"/>
      <c r="R172" s="43"/>
      <c r="S172" s="43"/>
      <c r="T172" s="43"/>
    </row>
    <row r="173" spans="1:20" ht="20" customHeight="1">
      <c r="A173" s="198"/>
      <c r="B173" s="4" t="s">
        <v>167</v>
      </c>
      <c r="C173" s="5">
        <v>1</v>
      </c>
      <c r="D173" s="6" t="s">
        <v>141</v>
      </c>
      <c r="E173" s="11">
        <v>0</v>
      </c>
      <c r="F173" s="5">
        <f t="shared" si="52"/>
        <v>0</v>
      </c>
      <c r="G173" s="5">
        <v>2500</v>
      </c>
      <c r="H173" s="5">
        <f t="shared" si="53"/>
        <v>2500</v>
      </c>
      <c r="I173" s="49">
        <f t="shared" si="54"/>
        <v>2500</v>
      </c>
      <c r="J173" s="24" t="s">
        <v>172</v>
      </c>
      <c r="K173" s="43"/>
      <c r="L173" s="43"/>
      <c r="M173" s="43"/>
      <c r="N173" s="43"/>
      <c r="O173" s="43"/>
      <c r="P173" s="43"/>
      <c r="Q173" s="43"/>
      <c r="R173" s="43"/>
      <c r="S173" s="43"/>
      <c r="T173" s="43"/>
    </row>
    <row r="174" spans="1:20" ht="20" customHeight="1">
      <c r="A174" s="198"/>
      <c r="B174" s="4" t="s">
        <v>168</v>
      </c>
      <c r="C174" s="5">
        <v>1</v>
      </c>
      <c r="D174" s="6" t="s">
        <v>141</v>
      </c>
      <c r="E174" s="11">
        <v>0</v>
      </c>
      <c r="F174" s="5">
        <f t="shared" si="52"/>
        <v>0</v>
      </c>
      <c r="G174" s="5">
        <v>1200</v>
      </c>
      <c r="H174" s="5">
        <f t="shared" si="53"/>
        <v>1200</v>
      </c>
      <c r="I174" s="49">
        <f t="shared" si="54"/>
        <v>1200</v>
      </c>
      <c r="J174" s="24" t="s">
        <v>172</v>
      </c>
      <c r="K174" s="43"/>
      <c r="L174" s="43"/>
      <c r="M174" s="43"/>
      <c r="N174" s="43"/>
      <c r="O174" s="43"/>
      <c r="P174" s="43"/>
      <c r="Q174" s="43"/>
      <c r="R174" s="43"/>
      <c r="S174" s="43"/>
      <c r="T174" s="43"/>
    </row>
    <row r="175" spans="1:20" ht="20" customHeight="1">
      <c r="A175" s="198"/>
      <c r="B175" s="4" t="s">
        <v>170</v>
      </c>
      <c r="C175" s="5">
        <v>0</v>
      </c>
      <c r="D175" s="6" t="s">
        <v>141</v>
      </c>
      <c r="E175" s="11">
        <v>0</v>
      </c>
      <c r="F175" s="5">
        <f t="shared" si="52"/>
        <v>0</v>
      </c>
      <c r="G175" s="5">
        <v>4400</v>
      </c>
      <c r="H175" s="5">
        <f t="shared" si="53"/>
        <v>0</v>
      </c>
      <c r="I175" s="49">
        <f t="shared" si="54"/>
        <v>0</v>
      </c>
      <c r="J175" s="24" t="s">
        <v>172</v>
      </c>
      <c r="K175" s="43"/>
      <c r="L175" s="43"/>
      <c r="M175" s="43"/>
      <c r="N175" s="43"/>
      <c r="O175" s="43"/>
      <c r="P175" s="43"/>
      <c r="Q175" s="43"/>
      <c r="R175" s="43"/>
      <c r="S175" s="43"/>
      <c r="T175" s="43"/>
    </row>
    <row r="176" spans="1:20" ht="20" customHeight="1">
      <c r="A176" s="198"/>
      <c r="B176" s="4" t="s">
        <v>171</v>
      </c>
      <c r="C176" s="5">
        <v>0</v>
      </c>
      <c r="D176" s="6" t="s">
        <v>141</v>
      </c>
      <c r="E176" s="11">
        <v>0</v>
      </c>
      <c r="F176" s="5">
        <f t="shared" si="52"/>
        <v>0</v>
      </c>
      <c r="G176" s="5">
        <v>5300</v>
      </c>
      <c r="H176" s="5">
        <f t="shared" si="53"/>
        <v>0</v>
      </c>
      <c r="I176" s="49">
        <f t="shared" si="54"/>
        <v>0</v>
      </c>
      <c r="J176" s="24" t="s">
        <v>172</v>
      </c>
      <c r="K176" s="43"/>
      <c r="L176" s="43"/>
      <c r="M176" s="43"/>
      <c r="N176" s="43"/>
      <c r="O176" s="43"/>
      <c r="P176" s="43"/>
      <c r="Q176" s="43"/>
      <c r="R176" s="43"/>
      <c r="S176" s="43"/>
      <c r="T176" s="43"/>
    </row>
    <row r="177" spans="1:20" s="50" customFormat="1" ht="20" customHeight="1">
      <c r="A177" s="12"/>
      <c r="B177" s="12" t="s">
        <v>178</v>
      </c>
      <c r="C177" s="13"/>
      <c r="D177" s="12"/>
      <c r="E177" s="100"/>
      <c r="F177" s="14">
        <f>SUM(F168:F176)</f>
        <v>8256</v>
      </c>
      <c r="G177" s="14"/>
      <c r="H177" s="14">
        <f t="shared" ref="H177:I177" si="55">SUM(H168:H176)</f>
        <v>13300</v>
      </c>
      <c r="I177" s="14">
        <f t="shared" si="55"/>
        <v>21556</v>
      </c>
      <c r="J177" s="13"/>
      <c r="K177" s="151">
        <f>H177+F177</f>
        <v>21556</v>
      </c>
    </row>
    <row r="178" spans="1:20" ht="20" customHeight="1">
      <c r="A178" s="198"/>
      <c r="B178" s="3" t="s">
        <v>227</v>
      </c>
      <c r="C178" s="4"/>
      <c r="D178" s="6"/>
      <c r="E178" s="48"/>
      <c r="F178" s="4"/>
      <c r="G178" s="4"/>
      <c r="H178" s="4"/>
      <c r="I178" s="4"/>
      <c r="J178" s="4"/>
      <c r="K178" s="43"/>
      <c r="L178" s="43"/>
      <c r="M178" s="43"/>
      <c r="N178" s="43"/>
      <c r="O178" s="43"/>
      <c r="P178" s="43"/>
      <c r="Q178" s="43"/>
      <c r="R178" s="43"/>
      <c r="S178" s="43"/>
      <c r="T178" s="43"/>
    </row>
    <row r="179" spans="1:20" ht="20" customHeight="1">
      <c r="A179" s="198"/>
      <c r="B179" s="4" t="s">
        <v>173</v>
      </c>
      <c r="C179" s="5">
        <f>192/6</f>
        <v>32</v>
      </c>
      <c r="D179" s="6" t="s">
        <v>32</v>
      </c>
      <c r="E179" s="11">
        <v>250</v>
      </c>
      <c r="F179" s="5">
        <f>E179*C179</f>
        <v>8000</v>
      </c>
      <c r="G179" s="5">
        <v>150</v>
      </c>
      <c r="H179" s="5">
        <f>G179*C179</f>
        <v>4800</v>
      </c>
      <c r="I179" s="49">
        <f>H179+F179</f>
        <v>12800</v>
      </c>
      <c r="J179" s="4"/>
      <c r="K179" s="43"/>
      <c r="L179" s="43"/>
      <c r="M179" s="43"/>
      <c r="N179" s="43"/>
      <c r="O179" s="43"/>
      <c r="P179" s="43"/>
      <c r="Q179" s="43"/>
      <c r="R179" s="43"/>
      <c r="S179" s="43"/>
      <c r="T179" s="43"/>
    </row>
    <row r="180" spans="1:20" ht="20" customHeight="1">
      <c r="A180" s="198"/>
      <c r="B180" s="4" t="s">
        <v>174</v>
      </c>
      <c r="C180" s="5">
        <f>24/6</f>
        <v>4</v>
      </c>
      <c r="D180" s="6" t="s">
        <v>32</v>
      </c>
      <c r="E180" s="11">
        <v>250</v>
      </c>
      <c r="F180" s="5">
        <f t="shared" ref="F180:F183" si="56">E180*C180</f>
        <v>1000</v>
      </c>
      <c r="G180" s="5">
        <v>150</v>
      </c>
      <c r="H180" s="5">
        <f t="shared" ref="H180:H183" si="57">G180*C180</f>
        <v>600</v>
      </c>
      <c r="I180" s="49">
        <f t="shared" ref="I180:I183" si="58">H180+F180</f>
        <v>1600</v>
      </c>
      <c r="J180" s="4"/>
      <c r="K180" s="43"/>
      <c r="L180" s="43"/>
      <c r="M180" s="43"/>
      <c r="N180" s="43"/>
      <c r="O180" s="43"/>
      <c r="P180" s="43"/>
      <c r="Q180" s="43"/>
      <c r="R180" s="43"/>
      <c r="S180" s="43"/>
      <c r="T180" s="43"/>
    </row>
    <row r="181" spans="1:20" ht="20" customHeight="1">
      <c r="A181" s="198"/>
      <c r="B181" s="4" t="s">
        <v>175</v>
      </c>
      <c r="C181" s="5">
        <f>36/6</f>
        <v>6</v>
      </c>
      <c r="D181" s="6" t="s">
        <v>32</v>
      </c>
      <c r="E181" s="11">
        <v>300</v>
      </c>
      <c r="F181" s="5">
        <f t="shared" si="56"/>
        <v>1800</v>
      </c>
      <c r="G181" s="5">
        <v>150</v>
      </c>
      <c r="H181" s="5">
        <f t="shared" si="57"/>
        <v>900</v>
      </c>
      <c r="I181" s="49">
        <f t="shared" si="58"/>
        <v>2700</v>
      </c>
      <c r="J181" s="4"/>
      <c r="K181" s="43"/>
      <c r="L181" s="43"/>
      <c r="M181" s="43"/>
      <c r="N181" s="43"/>
      <c r="O181" s="43"/>
      <c r="P181" s="43"/>
      <c r="Q181" s="43"/>
      <c r="R181" s="43"/>
      <c r="S181" s="43"/>
      <c r="T181" s="43"/>
    </row>
    <row r="182" spans="1:20" ht="20" customHeight="1">
      <c r="A182" s="198"/>
      <c r="B182" s="4" t="s">
        <v>265</v>
      </c>
      <c r="C182" s="5">
        <f>144/6</f>
        <v>24</v>
      </c>
      <c r="D182" s="6" t="s">
        <v>32</v>
      </c>
      <c r="E182" s="11">
        <v>250</v>
      </c>
      <c r="F182" s="5">
        <f t="shared" si="56"/>
        <v>6000</v>
      </c>
      <c r="G182" s="5">
        <v>170</v>
      </c>
      <c r="H182" s="5">
        <f t="shared" si="57"/>
        <v>4080</v>
      </c>
      <c r="I182" s="49">
        <f t="shared" si="58"/>
        <v>10080</v>
      </c>
      <c r="J182" s="4"/>
      <c r="K182" s="43"/>
      <c r="L182" s="43"/>
      <c r="M182" s="43"/>
      <c r="N182" s="43"/>
      <c r="O182" s="43"/>
      <c r="P182" s="43"/>
      <c r="Q182" s="43"/>
      <c r="R182" s="43"/>
      <c r="S182" s="43"/>
      <c r="T182" s="43"/>
    </row>
    <row r="183" spans="1:20" ht="20" customHeight="1">
      <c r="A183" s="198"/>
      <c r="B183" s="4" t="s">
        <v>176</v>
      </c>
      <c r="C183" s="5">
        <f>144/6</f>
        <v>24</v>
      </c>
      <c r="D183" s="6" t="s">
        <v>32</v>
      </c>
      <c r="E183" s="11">
        <v>38</v>
      </c>
      <c r="F183" s="5">
        <f t="shared" si="56"/>
        <v>912</v>
      </c>
      <c r="G183" s="5">
        <v>1000</v>
      </c>
      <c r="H183" s="5">
        <f t="shared" si="57"/>
        <v>24000</v>
      </c>
      <c r="I183" s="49">
        <f t="shared" si="58"/>
        <v>24912</v>
      </c>
      <c r="J183" s="4"/>
      <c r="K183" s="43"/>
      <c r="L183" s="43"/>
      <c r="M183" s="43"/>
      <c r="N183" s="43"/>
      <c r="O183" s="43"/>
      <c r="P183" s="43"/>
      <c r="Q183" s="43"/>
      <c r="R183" s="43"/>
      <c r="S183" s="43"/>
      <c r="T183" s="43"/>
    </row>
    <row r="184" spans="1:20" s="50" customFormat="1" ht="20" customHeight="1">
      <c r="A184" s="12"/>
      <c r="B184" s="12" t="s">
        <v>219</v>
      </c>
      <c r="C184" s="13"/>
      <c r="D184" s="12"/>
      <c r="E184" s="100"/>
      <c r="F184" s="14">
        <f>SUM(F179:F183)</f>
        <v>17712</v>
      </c>
      <c r="G184" s="14"/>
      <c r="H184" s="14">
        <f t="shared" ref="H184:I184" si="59">SUM(H179:H183)</f>
        <v>34380</v>
      </c>
      <c r="I184" s="14">
        <f t="shared" si="59"/>
        <v>52092</v>
      </c>
      <c r="J184" s="13"/>
      <c r="K184" s="151">
        <f>H184+F184</f>
        <v>52092</v>
      </c>
    </row>
    <row r="185" spans="1:20" ht="20" customHeight="1">
      <c r="A185" s="198"/>
      <c r="B185" s="3" t="s">
        <v>228</v>
      </c>
      <c r="C185" s="4"/>
      <c r="D185" s="6"/>
      <c r="E185" s="48"/>
      <c r="F185" s="74"/>
      <c r="G185" s="77"/>
      <c r="H185" s="74"/>
      <c r="I185" s="74"/>
      <c r="J185" s="4"/>
      <c r="K185" s="43"/>
      <c r="L185" s="43"/>
      <c r="M185" s="43"/>
      <c r="N185" s="43"/>
      <c r="O185" s="43"/>
      <c r="P185" s="43"/>
      <c r="Q185" s="43"/>
      <c r="R185" s="43"/>
      <c r="S185" s="43"/>
      <c r="T185" s="43"/>
    </row>
    <row r="186" spans="1:20" ht="20" customHeight="1">
      <c r="A186" s="198"/>
      <c r="B186" s="4" t="s">
        <v>185</v>
      </c>
      <c r="C186" s="5">
        <v>30</v>
      </c>
      <c r="D186" s="6" t="s">
        <v>32</v>
      </c>
      <c r="E186" s="11">
        <v>60</v>
      </c>
      <c r="F186" s="5">
        <f>E186*C186</f>
        <v>1800</v>
      </c>
      <c r="G186" s="5">
        <v>25</v>
      </c>
      <c r="H186" s="5">
        <f>G186*C186</f>
        <v>750</v>
      </c>
      <c r="I186" s="7">
        <f>H186+F186</f>
        <v>2550</v>
      </c>
      <c r="J186" s="4"/>
      <c r="K186" s="43"/>
      <c r="L186" s="43"/>
      <c r="M186" s="43"/>
      <c r="N186" s="43"/>
      <c r="O186" s="43"/>
      <c r="P186" s="43"/>
      <c r="Q186" s="43"/>
      <c r="R186" s="43"/>
      <c r="S186" s="43"/>
      <c r="T186" s="43"/>
    </row>
    <row r="187" spans="1:20" ht="20" customHeight="1">
      <c r="A187" s="198"/>
      <c r="B187" s="4" t="s">
        <v>186</v>
      </c>
      <c r="C187" s="5">
        <v>111</v>
      </c>
      <c r="D187" s="6" t="s">
        <v>32</v>
      </c>
      <c r="E187" s="11">
        <v>60</v>
      </c>
      <c r="F187" s="5">
        <f t="shared" ref="F187:F199" si="60">E187*C187</f>
        <v>6660</v>
      </c>
      <c r="G187" s="5">
        <v>25</v>
      </c>
      <c r="H187" s="5">
        <f t="shared" ref="H187:H199" si="61">G187*C187</f>
        <v>2775</v>
      </c>
      <c r="I187" s="7">
        <f t="shared" ref="I187:I199" si="62">H187+F187</f>
        <v>9435</v>
      </c>
      <c r="J187" s="4"/>
      <c r="K187" s="43"/>
      <c r="L187" s="43"/>
      <c r="M187" s="43"/>
      <c r="N187" s="43"/>
      <c r="O187" s="43"/>
      <c r="P187" s="43"/>
      <c r="Q187" s="43"/>
      <c r="R187" s="43"/>
      <c r="S187" s="43"/>
      <c r="T187" s="43"/>
    </row>
    <row r="188" spans="1:20" ht="20" customHeight="1">
      <c r="A188" s="198"/>
      <c r="B188" s="4" t="s">
        <v>187</v>
      </c>
      <c r="C188" s="5">
        <v>46.28</v>
      </c>
      <c r="D188" s="6" t="s">
        <v>32</v>
      </c>
      <c r="E188" s="11">
        <v>45</v>
      </c>
      <c r="F188" s="5">
        <f t="shared" si="60"/>
        <v>2082.6</v>
      </c>
      <c r="G188" s="5">
        <v>25</v>
      </c>
      <c r="H188" s="5">
        <f t="shared" si="61"/>
        <v>1157</v>
      </c>
      <c r="I188" s="7">
        <f t="shared" si="62"/>
        <v>3239.6</v>
      </c>
      <c r="J188" s="4"/>
      <c r="K188" s="43"/>
      <c r="L188" s="43"/>
      <c r="M188" s="43"/>
      <c r="N188" s="43"/>
      <c r="O188" s="43"/>
      <c r="P188" s="43"/>
      <c r="Q188" s="43"/>
      <c r="R188" s="43"/>
      <c r="S188" s="43"/>
      <c r="T188" s="43"/>
    </row>
    <row r="189" spans="1:20" ht="20" customHeight="1">
      <c r="A189" s="198"/>
      <c r="B189" s="4" t="s">
        <v>188</v>
      </c>
      <c r="C189" s="5">
        <v>7.5</v>
      </c>
      <c r="D189" s="6" t="s">
        <v>32</v>
      </c>
      <c r="E189" s="11">
        <v>45</v>
      </c>
      <c r="F189" s="5">
        <f t="shared" si="60"/>
        <v>337.5</v>
      </c>
      <c r="G189" s="5">
        <v>25</v>
      </c>
      <c r="H189" s="5">
        <f t="shared" si="61"/>
        <v>187.5</v>
      </c>
      <c r="I189" s="7">
        <f t="shared" si="62"/>
        <v>525</v>
      </c>
      <c r="J189" s="4"/>
      <c r="K189" s="43"/>
      <c r="L189" s="43"/>
      <c r="M189" s="43"/>
      <c r="N189" s="43"/>
      <c r="O189" s="43"/>
      <c r="P189" s="43"/>
      <c r="Q189" s="43"/>
      <c r="R189" s="43"/>
      <c r="S189" s="43"/>
      <c r="T189" s="43"/>
    </row>
    <row r="190" spans="1:20" ht="20" customHeight="1">
      <c r="A190" s="198"/>
      <c r="B190" s="4" t="s">
        <v>249</v>
      </c>
      <c r="C190" s="5">
        <v>27</v>
      </c>
      <c r="D190" s="6" t="s">
        <v>32</v>
      </c>
      <c r="E190" s="11">
        <v>45</v>
      </c>
      <c r="F190" s="5">
        <f t="shared" si="60"/>
        <v>1215</v>
      </c>
      <c r="G190" s="5">
        <v>25</v>
      </c>
      <c r="H190" s="5">
        <f t="shared" si="61"/>
        <v>675</v>
      </c>
      <c r="I190" s="7">
        <f t="shared" si="62"/>
        <v>1890</v>
      </c>
      <c r="J190" s="4"/>
      <c r="K190" s="43"/>
      <c r="L190" s="43"/>
      <c r="M190" s="43"/>
      <c r="N190" s="43"/>
      <c r="O190" s="43"/>
      <c r="P190" s="43"/>
      <c r="Q190" s="43"/>
      <c r="R190" s="43"/>
      <c r="S190" s="43"/>
      <c r="T190" s="43"/>
    </row>
    <row r="191" spans="1:20" ht="20" customHeight="1">
      <c r="A191" s="198"/>
      <c r="B191" s="4" t="s">
        <v>250</v>
      </c>
      <c r="C191" s="5">
        <v>25.62</v>
      </c>
      <c r="D191" s="6" t="s">
        <v>32</v>
      </c>
      <c r="E191" s="11">
        <v>45</v>
      </c>
      <c r="F191" s="5">
        <f t="shared" si="60"/>
        <v>1152.9000000000001</v>
      </c>
      <c r="G191" s="5">
        <v>25</v>
      </c>
      <c r="H191" s="5">
        <f t="shared" si="61"/>
        <v>640.5</v>
      </c>
      <c r="I191" s="7">
        <f t="shared" si="62"/>
        <v>1793.4</v>
      </c>
      <c r="J191" s="4"/>
      <c r="K191" s="43"/>
      <c r="L191" s="43"/>
      <c r="M191" s="43"/>
      <c r="N191" s="43"/>
      <c r="O191" s="43"/>
      <c r="P191" s="43"/>
      <c r="Q191" s="43"/>
      <c r="R191" s="43"/>
      <c r="S191" s="43"/>
      <c r="T191" s="43"/>
    </row>
    <row r="192" spans="1:20" ht="20" customHeight="1">
      <c r="A192" s="198"/>
      <c r="B192" s="4" t="s">
        <v>248</v>
      </c>
      <c r="C192" s="5">
        <v>5</v>
      </c>
      <c r="D192" s="6" t="s">
        <v>32</v>
      </c>
      <c r="E192" s="11">
        <v>45</v>
      </c>
      <c r="F192" s="5">
        <f t="shared" si="60"/>
        <v>225</v>
      </c>
      <c r="G192" s="5">
        <v>25</v>
      </c>
      <c r="H192" s="5">
        <f t="shared" si="61"/>
        <v>125</v>
      </c>
      <c r="I192" s="7">
        <f t="shared" si="62"/>
        <v>350</v>
      </c>
      <c r="J192" s="4"/>
      <c r="K192" s="43"/>
      <c r="L192" s="43"/>
      <c r="M192" s="43"/>
      <c r="N192" s="43"/>
      <c r="O192" s="43"/>
      <c r="P192" s="43"/>
      <c r="Q192" s="43"/>
      <c r="R192" s="43"/>
      <c r="S192" s="43"/>
      <c r="T192" s="43"/>
    </row>
    <row r="193" spans="1:20" ht="20" customHeight="1">
      <c r="A193" s="198"/>
      <c r="B193" s="78" t="s">
        <v>269</v>
      </c>
      <c r="C193" s="79">
        <v>0</v>
      </c>
      <c r="D193" s="6" t="s">
        <v>32</v>
      </c>
      <c r="E193" s="5">
        <v>45</v>
      </c>
      <c r="F193" s="5">
        <f t="shared" si="60"/>
        <v>0</v>
      </c>
      <c r="G193" s="5">
        <v>25</v>
      </c>
      <c r="H193" s="5">
        <f t="shared" si="61"/>
        <v>0</v>
      </c>
      <c r="I193" s="7">
        <f t="shared" si="62"/>
        <v>0</v>
      </c>
      <c r="J193" s="4"/>
      <c r="K193" s="43"/>
      <c r="L193" s="43"/>
      <c r="M193" s="43"/>
      <c r="N193" s="43"/>
      <c r="O193" s="43"/>
      <c r="P193" s="43"/>
      <c r="Q193" s="43"/>
      <c r="R193" s="43"/>
      <c r="S193" s="43"/>
      <c r="T193" s="43"/>
    </row>
    <row r="194" spans="1:20" ht="20" customHeight="1">
      <c r="A194" s="198"/>
      <c r="B194" s="78" t="s">
        <v>270</v>
      </c>
      <c r="C194" s="79">
        <v>0</v>
      </c>
      <c r="D194" s="6" t="s">
        <v>32</v>
      </c>
      <c r="E194" s="5">
        <v>45</v>
      </c>
      <c r="F194" s="5">
        <f t="shared" si="60"/>
        <v>0</v>
      </c>
      <c r="G194" s="5">
        <v>25</v>
      </c>
      <c r="H194" s="5">
        <f t="shared" si="61"/>
        <v>0</v>
      </c>
      <c r="I194" s="7">
        <f t="shared" si="62"/>
        <v>0</v>
      </c>
      <c r="J194" s="4"/>
      <c r="K194" s="43"/>
      <c r="L194" s="43"/>
      <c r="M194" s="43"/>
      <c r="N194" s="43"/>
      <c r="O194" s="43"/>
      <c r="P194" s="43"/>
      <c r="Q194" s="43"/>
      <c r="R194" s="43"/>
      <c r="S194" s="43"/>
      <c r="T194" s="43"/>
    </row>
    <row r="195" spans="1:20" ht="20" customHeight="1">
      <c r="A195" s="198"/>
      <c r="B195" s="4" t="s">
        <v>251</v>
      </c>
      <c r="C195" s="5">
        <v>5</v>
      </c>
      <c r="D195" s="6" t="s">
        <v>32</v>
      </c>
      <c r="E195" s="11">
        <v>45</v>
      </c>
      <c r="F195" s="5">
        <f t="shared" si="60"/>
        <v>225</v>
      </c>
      <c r="G195" s="5">
        <v>25</v>
      </c>
      <c r="H195" s="5">
        <f t="shared" si="61"/>
        <v>125</v>
      </c>
      <c r="I195" s="7">
        <f t="shared" si="62"/>
        <v>350</v>
      </c>
      <c r="J195" s="4"/>
      <c r="K195" s="43"/>
      <c r="L195" s="43"/>
      <c r="M195" s="43"/>
      <c r="N195" s="43"/>
      <c r="O195" s="43"/>
      <c r="P195" s="43"/>
      <c r="Q195" s="43"/>
      <c r="R195" s="43"/>
      <c r="S195" s="43"/>
      <c r="T195" s="43"/>
    </row>
    <row r="196" spans="1:20" ht="20" customHeight="1">
      <c r="A196" s="198"/>
      <c r="B196" s="4" t="s">
        <v>252</v>
      </c>
      <c r="C196" s="5">
        <v>6.24</v>
      </c>
      <c r="D196" s="6" t="s">
        <v>32</v>
      </c>
      <c r="E196" s="11">
        <v>45</v>
      </c>
      <c r="F196" s="5">
        <f t="shared" si="60"/>
        <v>280.8</v>
      </c>
      <c r="G196" s="5">
        <v>25</v>
      </c>
      <c r="H196" s="5">
        <f t="shared" si="61"/>
        <v>156</v>
      </c>
      <c r="I196" s="7">
        <f t="shared" si="62"/>
        <v>436.8</v>
      </c>
      <c r="J196" s="4"/>
      <c r="K196" s="43"/>
      <c r="L196" s="43"/>
      <c r="M196" s="43"/>
      <c r="N196" s="43"/>
      <c r="O196" s="43"/>
      <c r="P196" s="43"/>
      <c r="Q196" s="43"/>
      <c r="R196" s="43"/>
      <c r="S196" s="43"/>
      <c r="T196" s="43"/>
    </row>
    <row r="197" spans="1:20" ht="20" customHeight="1">
      <c r="A197" s="198"/>
      <c r="B197" s="4" t="s">
        <v>253</v>
      </c>
      <c r="C197" s="5">
        <v>1</v>
      </c>
      <c r="D197" s="6" t="s">
        <v>254</v>
      </c>
      <c r="E197" s="11">
        <v>0</v>
      </c>
      <c r="F197" s="5">
        <f t="shared" si="60"/>
        <v>0</v>
      </c>
      <c r="G197" s="5">
        <v>1500</v>
      </c>
      <c r="H197" s="5">
        <f t="shared" si="61"/>
        <v>1500</v>
      </c>
      <c r="I197" s="7">
        <f t="shared" si="62"/>
        <v>1500</v>
      </c>
      <c r="J197" s="4"/>
      <c r="K197" s="43"/>
      <c r="L197" s="43"/>
      <c r="M197" s="43"/>
      <c r="N197" s="43"/>
      <c r="O197" s="43"/>
      <c r="P197" s="43"/>
      <c r="Q197" s="43"/>
      <c r="R197" s="43"/>
      <c r="S197" s="43"/>
      <c r="T197" s="43"/>
    </row>
    <row r="198" spans="1:20" ht="20" customHeight="1">
      <c r="A198" s="198"/>
      <c r="B198" s="4" t="s">
        <v>189</v>
      </c>
      <c r="C198" s="5">
        <v>160.88</v>
      </c>
      <c r="D198" s="6" t="s">
        <v>32</v>
      </c>
      <c r="E198" s="11">
        <v>15</v>
      </c>
      <c r="F198" s="5">
        <f t="shared" si="60"/>
        <v>2413.1999999999998</v>
      </c>
      <c r="G198" s="5">
        <v>20</v>
      </c>
      <c r="H198" s="5">
        <f t="shared" si="61"/>
        <v>3217.6</v>
      </c>
      <c r="I198" s="7">
        <f t="shared" si="62"/>
        <v>5630.7999999999993</v>
      </c>
      <c r="J198" s="4"/>
      <c r="K198" s="43"/>
      <c r="L198" s="43"/>
      <c r="M198" s="43"/>
      <c r="N198" s="43"/>
      <c r="O198" s="43"/>
      <c r="P198" s="43"/>
      <c r="Q198" s="43"/>
      <c r="R198" s="43"/>
      <c r="S198" s="43"/>
      <c r="T198" s="43"/>
    </row>
    <row r="199" spans="1:20" ht="20" customHeight="1">
      <c r="A199" s="198"/>
      <c r="B199" s="4" t="s">
        <v>190</v>
      </c>
      <c r="C199" s="5">
        <v>1</v>
      </c>
      <c r="D199" s="6" t="s">
        <v>136</v>
      </c>
      <c r="E199" s="11">
        <v>0</v>
      </c>
      <c r="F199" s="5">
        <f t="shared" si="60"/>
        <v>0</v>
      </c>
      <c r="G199" s="5">
        <v>100</v>
      </c>
      <c r="H199" s="5">
        <f t="shared" si="61"/>
        <v>100</v>
      </c>
      <c r="I199" s="7">
        <f t="shared" si="62"/>
        <v>100</v>
      </c>
      <c r="J199" s="4"/>
      <c r="K199" s="43"/>
      <c r="L199" s="43"/>
      <c r="M199" s="43"/>
      <c r="N199" s="43"/>
      <c r="O199" s="43"/>
      <c r="P199" s="43"/>
      <c r="Q199" s="43"/>
      <c r="R199" s="43"/>
      <c r="S199" s="43"/>
      <c r="T199" s="43"/>
    </row>
    <row r="200" spans="1:20" s="50" customFormat="1" ht="20" customHeight="1">
      <c r="A200" s="12"/>
      <c r="B200" s="12" t="s">
        <v>220</v>
      </c>
      <c r="C200" s="13"/>
      <c r="D200" s="12"/>
      <c r="E200" s="100"/>
      <c r="F200" s="14">
        <f>SUM(F186:F199)</f>
        <v>16392</v>
      </c>
      <c r="G200" s="14"/>
      <c r="H200" s="14">
        <f t="shared" ref="H200:I200" si="63">SUM(H186:H199)</f>
        <v>11408.6</v>
      </c>
      <c r="I200" s="14">
        <f t="shared" si="63"/>
        <v>27800.6</v>
      </c>
      <c r="J200" s="13"/>
      <c r="K200" s="151">
        <f>H200+F200</f>
        <v>27800.6</v>
      </c>
    </row>
    <row r="201" spans="1:20" ht="20" customHeight="1">
      <c r="A201" s="198"/>
      <c r="B201" s="3" t="s">
        <v>229</v>
      </c>
      <c r="C201" s="4"/>
      <c r="D201" s="6"/>
      <c r="E201" s="48"/>
      <c r="F201" s="4"/>
      <c r="G201" s="4"/>
      <c r="H201" s="4"/>
      <c r="I201" s="4"/>
      <c r="J201" s="4"/>
      <c r="K201" s="43"/>
      <c r="L201" s="43"/>
      <c r="M201" s="43"/>
      <c r="N201" s="43"/>
      <c r="O201" s="43"/>
      <c r="P201" s="43"/>
      <c r="Q201" s="43"/>
      <c r="R201" s="43"/>
      <c r="S201" s="43"/>
      <c r="T201" s="43"/>
    </row>
    <row r="202" spans="1:20" ht="20" customHeight="1">
      <c r="A202" s="198"/>
      <c r="B202" s="4" t="s">
        <v>52</v>
      </c>
      <c r="C202" s="5">
        <f>48/6</f>
        <v>8</v>
      </c>
      <c r="D202" s="6" t="s">
        <v>53</v>
      </c>
      <c r="E202" s="11">
        <v>225</v>
      </c>
      <c r="F202" s="5">
        <f>E202*C202</f>
        <v>1800</v>
      </c>
      <c r="G202" s="20">
        <v>0</v>
      </c>
      <c r="H202" s="5">
        <f>G202*C202</f>
        <v>0</v>
      </c>
      <c r="I202" s="49">
        <f>H202+F202</f>
        <v>1800</v>
      </c>
      <c r="J202" s="4"/>
      <c r="K202" s="43"/>
      <c r="L202" s="43"/>
      <c r="M202" s="43"/>
      <c r="N202" s="43"/>
      <c r="O202" s="43"/>
      <c r="P202" s="43"/>
      <c r="Q202" s="43"/>
      <c r="R202" s="43"/>
      <c r="S202" s="43"/>
      <c r="T202" s="43"/>
    </row>
    <row r="203" spans="1:20" ht="20" customHeight="1">
      <c r="A203" s="198"/>
      <c r="B203" s="4" t="s">
        <v>179</v>
      </c>
      <c r="C203" s="5">
        <f>48/6</f>
        <v>8</v>
      </c>
      <c r="D203" s="6" t="s">
        <v>141</v>
      </c>
      <c r="E203" s="11">
        <v>25</v>
      </c>
      <c r="F203" s="5">
        <f t="shared" ref="F203:F213" si="64">E203*C203</f>
        <v>200</v>
      </c>
      <c r="G203" s="20">
        <v>0</v>
      </c>
      <c r="H203" s="5">
        <f t="shared" ref="H203:H213" si="65">G203*C203</f>
        <v>0</v>
      </c>
      <c r="I203" s="49">
        <f t="shared" ref="I203:I213" si="66">H203+F203</f>
        <v>200</v>
      </c>
      <c r="J203" s="4"/>
      <c r="K203" s="43"/>
      <c r="L203" s="43"/>
      <c r="M203" s="43"/>
      <c r="N203" s="43"/>
      <c r="O203" s="43"/>
      <c r="P203" s="43"/>
      <c r="Q203" s="43"/>
      <c r="R203" s="43"/>
      <c r="S203" s="43"/>
      <c r="T203" s="43"/>
    </row>
    <row r="204" spans="1:20" ht="20" customHeight="1">
      <c r="A204" s="198"/>
      <c r="B204" s="4" t="s">
        <v>180</v>
      </c>
      <c r="C204" s="5">
        <f>12/6</f>
        <v>2</v>
      </c>
      <c r="D204" s="6" t="s">
        <v>141</v>
      </c>
      <c r="E204" s="11">
        <v>99</v>
      </c>
      <c r="F204" s="5">
        <f t="shared" si="64"/>
        <v>198</v>
      </c>
      <c r="G204" s="20">
        <v>0</v>
      </c>
      <c r="H204" s="5">
        <f t="shared" si="65"/>
        <v>0</v>
      </c>
      <c r="I204" s="49">
        <f t="shared" si="66"/>
        <v>198</v>
      </c>
      <c r="J204" s="4"/>
      <c r="K204" s="43"/>
      <c r="L204" s="43"/>
      <c r="M204" s="43"/>
      <c r="N204" s="43"/>
      <c r="O204" s="43"/>
      <c r="P204" s="43"/>
      <c r="Q204" s="43"/>
      <c r="R204" s="43"/>
      <c r="S204" s="43"/>
      <c r="T204" s="43"/>
    </row>
    <row r="205" spans="1:20" ht="20" customHeight="1">
      <c r="A205" s="198"/>
      <c r="B205" s="4" t="s">
        <v>181</v>
      </c>
      <c r="C205" s="5">
        <f>12/6</f>
        <v>2</v>
      </c>
      <c r="D205" s="6" t="s">
        <v>141</v>
      </c>
      <c r="E205" s="11">
        <v>99</v>
      </c>
      <c r="F205" s="5">
        <f t="shared" si="64"/>
        <v>198</v>
      </c>
      <c r="G205" s="20">
        <v>0</v>
      </c>
      <c r="H205" s="5">
        <f t="shared" si="65"/>
        <v>0</v>
      </c>
      <c r="I205" s="49">
        <f t="shared" si="66"/>
        <v>198</v>
      </c>
      <c r="J205" s="4"/>
      <c r="K205" s="43"/>
      <c r="L205" s="43"/>
      <c r="M205" s="43"/>
      <c r="N205" s="43"/>
      <c r="O205" s="43"/>
      <c r="P205" s="43"/>
      <c r="Q205" s="43"/>
      <c r="R205" s="43"/>
      <c r="S205" s="43"/>
      <c r="T205" s="43"/>
    </row>
    <row r="206" spans="1:20" ht="20" customHeight="1">
      <c r="A206" s="198"/>
      <c r="B206" s="4" t="s">
        <v>182</v>
      </c>
      <c r="C206" s="5">
        <f>1/6</f>
        <v>0.16666666666666666</v>
      </c>
      <c r="D206" s="6" t="s">
        <v>53</v>
      </c>
      <c r="E206" s="11">
        <v>335</v>
      </c>
      <c r="F206" s="5">
        <f t="shared" si="64"/>
        <v>55.833333333333329</v>
      </c>
      <c r="G206" s="20">
        <v>0</v>
      </c>
      <c r="H206" s="5">
        <f t="shared" si="65"/>
        <v>0</v>
      </c>
      <c r="I206" s="49">
        <f t="shared" si="66"/>
        <v>55.833333333333329</v>
      </c>
      <c r="J206" s="4"/>
      <c r="K206" s="43"/>
      <c r="L206" s="43"/>
      <c r="M206" s="43"/>
      <c r="N206" s="43"/>
      <c r="O206" s="43"/>
      <c r="P206" s="43"/>
      <c r="Q206" s="43"/>
      <c r="R206" s="43"/>
      <c r="S206" s="43"/>
      <c r="T206" s="43"/>
    </row>
    <row r="207" spans="1:20" ht="20" customHeight="1">
      <c r="A207" s="6"/>
      <c r="B207" s="4" t="s">
        <v>63</v>
      </c>
      <c r="C207" s="5">
        <f>1/6</f>
        <v>0.16666666666666666</v>
      </c>
      <c r="D207" s="6" t="s">
        <v>64</v>
      </c>
      <c r="E207" s="11">
        <v>1240</v>
      </c>
      <c r="F207" s="5">
        <f t="shared" si="64"/>
        <v>206.66666666666666</v>
      </c>
      <c r="G207" s="20">
        <v>0</v>
      </c>
      <c r="H207" s="5">
        <f t="shared" si="65"/>
        <v>0</v>
      </c>
      <c r="I207" s="49">
        <f t="shared" si="66"/>
        <v>206.66666666666666</v>
      </c>
      <c r="J207" s="4"/>
      <c r="K207" s="43"/>
      <c r="L207" s="43"/>
      <c r="M207" s="43"/>
      <c r="N207" s="43"/>
      <c r="O207" s="43"/>
      <c r="P207" s="43"/>
      <c r="Q207" s="43"/>
      <c r="R207" s="43"/>
      <c r="S207" s="43"/>
      <c r="T207" s="43"/>
    </row>
    <row r="208" spans="1:20" ht="20" customHeight="1">
      <c r="A208" s="198"/>
      <c r="B208" s="4" t="s">
        <v>65</v>
      </c>
      <c r="C208" s="5">
        <f>2/6</f>
        <v>0.33333333333333331</v>
      </c>
      <c r="D208" s="6" t="s">
        <v>66</v>
      </c>
      <c r="E208" s="11">
        <v>1089</v>
      </c>
      <c r="F208" s="5">
        <f t="shared" si="64"/>
        <v>363</v>
      </c>
      <c r="G208" s="20">
        <v>0</v>
      </c>
      <c r="H208" s="5">
        <f t="shared" si="65"/>
        <v>0</v>
      </c>
      <c r="I208" s="49">
        <f t="shared" si="66"/>
        <v>363</v>
      </c>
      <c r="J208" s="4"/>
      <c r="K208" s="43"/>
      <c r="L208" s="43"/>
      <c r="M208" s="43"/>
      <c r="N208" s="43"/>
      <c r="O208" s="43"/>
      <c r="P208" s="43"/>
      <c r="Q208" s="43"/>
      <c r="R208" s="43"/>
      <c r="S208" s="43"/>
      <c r="T208" s="43"/>
    </row>
    <row r="209" spans="1:20" ht="20" customHeight="1">
      <c r="A209" s="198"/>
      <c r="B209" s="4" t="s">
        <v>68</v>
      </c>
      <c r="C209" s="5">
        <v>0.17</v>
      </c>
      <c r="D209" s="6" t="s">
        <v>64</v>
      </c>
      <c r="E209" s="11">
        <v>1595</v>
      </c>
      <c r="F209" s="5">
        <f t="shared" si="64"/>
        <v>271.15000000000003</v>
      </c>
      <c r="G209" s="20">
        <v>0</v>
      </c>
      <c r="H209" s="5">
        <f t="shared" si="65"/>
        <v>0</v>
      </c>
      <c r="I209" s="49">
        <f t="shared" si="66"/>
        <v>271.15000000000003</v>
      </c>
      <c r="J209" s="4"/>
      <c r="K209" s="43"/>
      <c r="L209" s="43"/>
      <c r="M209" s="43"/>
      <c r="N209" s="43"/>
      <c r="O209" s="43"/>
      <c r="P209" s="43"/>
      <c r="Q209" s="43"/>
      <c r="R209" s="43"/>
      <c r="S209" s="43"/>
      <c r="T209" s="43"/>
    </row>
    <row r="210" spans="1:20" ht="20" customHeight="1">
      <c r="A210" s="198"/>
      <c r="B210" s="4" t="s">
        <v>67</v>
      </c>
      <c r="C210" s="5">
        <f>4/6</f>
        <v>0.66666666666666663</v>
      </c>
      <c r="D210" s="6" t="s">
        <v>66</v>
      </c>
      <c r="E210" s="11">
        <v>389</v>
      </c>
      <c r="F210" s="5">
        <f t="shared" si="64"/>
        <v>259.33333333333331</v>
      </c>
      <c r="G210" s="20">
        <v>0</v>
      </c>
      <c r="H210" s="5">
        <f t="shared" si="65"/>
        <v>0</v>
      </c>
      <c r="I210" s="49">
        <f t="shared" si="66"/>
        <v>259.33333333333331</v>
      </c>
      <c r="J210" s="4"/>
      <c r="K210" s="43"/>
      <c r="L210" s="43"/>
      <c r="M210" s="43"/>
      <c r="N210" s="43"/>
      <c r="O210" s="43"/>
      <c r="P210" s="43"/>
      <c r="Q210" s="43"/>
      <c r="R210" s="43"/>
      <c r="S210" s="43"/>
      <c r="T210" s="43"/>
    </row>
    <row r="211" spans="1:20" ht="20" customHeight="1">
      <c r="A211" s="198"/>
      <c r="B211" s="4" t="s">
        <v>183</v>
      </c>
      <c r="C211" s="5">
        <v>0.17</v>
      </c>
      <c r="D211" s="6" t="s">
        <v>125</v>
      </c>
      <c r="E211" s="11">
        <v>357</v>
      </c>
      <c r="F211" s="5">
        <f t="shared" si="64"/>
        <v>60.690000000000005</v>
      </c>
      <c r="G211" s="20">
        <v>0</v>
      </c>
      <c r="H211" s="5">
        <f t="shared" si="65"/>
        <v>0</v>
      </c>
      <c r="I211" s="49">
        <f t="shared" si="66"/>
        <v>60.690000000000005</v>
      </c>
      <c r="J211" s="4"/>
      <c r="K211" s="43"/>
      <c r="L211" s="43"/>
      <c r="M211" s="43"/>
      <c r="N211" s="43"/>
      <c r="O211" s="43"/>
      <c r="P211" s="43"/>
      <c r="Q211" s="43"/>
      <c r="R211" s="43"/>
      <c r="S211" s="43"/>
      <c r="T211" s="43"/>
    </row>
    <row r="212" spans="1:20" ht="20" customHeight="1">
      <c r="A212" s="198"/>
      <c r="B212" s="4" t="s">
        <v>184</v>
      </c>
      <c r="C212" s="5">
        <v>0.17</v>
      </c>
      <c r="D212" s="6" t="s">
        <v>125</v>
      </c>
      <c r="E212" s="11">
        <v>329</v>
      </c>
      <c r="F212" s="5">
        <f t="shared" si="64"/>
        <v>55.930000000000007</v>
      </c>
      <c r="G212" s="20">
        <v>0</v>
      </c>
      <c r="H212" s="5">
        <f t="shared" si="65"/>
        <v>0</v>
      </c>
      <c r="I212" s="49">
        <f t="shared" si="66"/>
        <v>55.930000000000007</v>
      </c>
      <c r="J212" s="4"/>
      <c r="K212" s="43"/>
      <c r="L212" s="43"/>
      <c r="M212" s="43"/>
      <c r="N212" s="43"/>
      <c r="O212" s="43"/>
      <c r="P212" s="43"/>
      <c r="Q212" s="43"/>
      <c r="R212" s="43"/>
      <c r="S212" s="43"/>
      <c r="T212" s="43"/>
    </row>
    <row r="213" spans="1:20" s="43" customFormat="1" ht="20" customHeight="1">
      <c r="A213" s="198"/>
      <c r="B213" s="4" t="s">
        <v>272</v>
      </c>
      <c r="C213" s="5">
        <v>1</v>
      </c>
      <c r="D213" s="6" t="s">
        <v>264</v>
      </c>
      <c r="E213" s="5">
        <v>0</v>
      </c>
      <c r="F213" s="5">
        <f t="shared" si="64"/>
        <v>0</v>
      </c>
      <c r="G213" s="70">
        <v>1600</v>
      </c>
      <c r="H213" s="5">
        <f t="shared" si="65"/>
        <v>1600</v>
      </c>
      <c r="I213" s="49">
        <f t="shared" si="66"/>
        <v>1600</v>
      </c>
      <c r="J213" s="4"/>
      <c r="K213" s="73"/>
    </row>
    <row r="214" spans="1:20" s="50" customFormat="1" ht="20" customHeight="1">
      <c r="A214" s="12"/>
      <c r="B214" s="12" t="s">
        <v>230</v>
      </c>
      <c r="C214" s="13"/>
      <c r="D214" s="12"/>
      <c r="E214" s="100"/>
      <c r="F214" s="14">
        <f>SUM(F202:F213)</f>
        <v>3668.6033333333335</v>
      </c>
      <c r="G214" s="14"/>
      <c r="H214" s="14">
        <f t="shared" ref="H214:I214" si="67">SUM(H202:H213)</f>
        <v>1600</v>
      </c>
      <c r="I214" s="14">
        <f t="shared" si="67"/>
        <v>5268.6033333333335</v>
      </c>
      <c r="J214" s="13"/>
      <c r="K214" s="151">
        <f>H214+F214</f>
        <v>5268.6033333333335</v>
      </c>
    </row>
    <row r="215" spans="1:20" s="85" customFormat="1" ht="20" customHeight="1">
      <c r="A215" s="204">
        <v>2</v>
      </c>
      <c r="B215" s="81" t="s">
        <v>109</v>
      </c>
      <c r="C215" s="80"/>
      <c r="D215" s="81" t="s">
        <v>11</v>
      </c>
      <c r="E215" s="82"/>
      <c r="F215" s="82">
        <f>F96+F100+F111+F115+F122+F137+F146+F166+F177+F184+F200+F214</f>
        <v>100564.37442867717</v>
      </c>
      <c r="G215" s="82"/>
      <c r="H215" s="82">
        <f t="shared" ref="H215:I215" si="68">H96+H100+H111+H115+H122+H137+H146+H166+H177+H184+H200+H214</f>
        <v>93512.6</v>
      </c>
      <c r="I215" s="82">
        <f t="shared" si="68"/>
        <v>194076.97442867717</v>
      </c>
      <c r="J215" s="83"/>
      <c r="K215" s="151">
        <f>H215+F215</f>
        <v>194076.97442867717</v>
      </c>
      <c r="L215" s="84"/>
      <c r="M215" s="84"/>
      <c r="N215" s="84"/>
      <c r="O215" s="84"/>
      <c r="P215" s="84"/>
      <c r="Q215" s="84"/>
      <c r="R215" s="84"/>
      <c r="S215" s="84"/>
      <c r="T215" s="84"/>
    </row>
    <row r="216" spans="1:20" s="159" customFormat="1" ht="20" customHeight="1" thickBot="1">
      <c r="A216" s="212"/>
      <c r="B216" s="87"/>
      <c r="C216" s="154"/>
      <c r="D216" s="155"/>
      <c r="E216" s="156"/>
      <c r="F216" s="88"/>
      <c r="G216" s="156"/>
      <c r="H216" s="88"/>
      <c r="I216" s="153"/>
      <c r="J216" s="157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</row>
    <row r="217" spans="1:20" s="97" customFormat="1" ht="20" customHeight="1" thickTop="1">
      <c r="A217" s="206">
        <v>3</v>
      </c>
      <c r="B217" s="92" t="s">
        <v>191</v>
      </c>
      <c r="C217" s="93"/>
      <c r="D217" s="190"/>
      <c r="E217" s="94"/>
      <c r="F217" s="93"/>
      <c r="G217" s="93"/>
      <c r="H217" s="93"/>
      <c r="I217" s="93"/>
      <c r="J217" s="93"/>
      <c r="K217" s="96"/>
      <c r="L217" s="96"/>
      <c r="M217" s="96"/>
      <c r="N217" s="96"/>
      <c r="O217" s="96"/>
      <c r="P217" s="96"/>
      <c r="Q217" s="96"/>
      <c r="R217" s="96"/>
      <c r="S217" s="96"/>
      <c r="T217" s="96"/>
    </row>
    <row r="218" spans="1:20" ht="20" customHeight="1">
      <c r="A218" s="198"/>
      <c r="B218" s="3" t="s">
        <v>192</v>
      </c>
      <c r="C218" s="4"/>
      <c r="D218" s="6"/>
      <c r="E218" s="48"/>
      <c r="F218" s="4"/>
      <c r="G218" s="4"/>
      <c r="H218" s="4"/>
      <c r="I218" s="4"/>
      <c r="J218" s="4"/>
      <c r="K218" s="43"/>
      <c r="L218" s="43"/>
      <c r="M218" s="43"/>
      <c r="N218" s="43"/>
      <c r="O218" s="43"/>
      <c r="P218" s="43"/>
      <c r="Q218" s="43"/>
      <c r="R218" s="43"/>
      <c r="S218" s="43"/>
      <c r="T218" s="43"/>
    </row>
    <row r="219" spans="1:20" ht="20" customHeight="1">
      <c r="A219" s="198"/>
      <c r="B219" s="4" t="s">
        <v>207</v>
      </c>
      <c r="C219" s="5">
        <f>90/6</f>
        <v>15</v>
      </c>
      <c r="D219" s="6" t="s">
        <v>141</v>
      </c>
      <c r="E219" s="11">
        <v>31</v>
      </c>
      <c r="F219" s="5">
        <f>E219*C219</f>
        <v>465</v>
      </c>
      <c r="G219" s="20">
        <v>0</v>
      </c>
      <c r="H219" s="5">
        <f t="shared" ref="H219:H223" si="69">G219*C219</f>
        <v>0</v>
      </c>
      <c r="I219" s="7">
        <f>H219+F219</f>
        <v>465</v>
      </c>
      <c r="J219" s="4"/>
      <c r="K219" s="43"/>
      <c r="L219" s="43"/>
      <c r="M219" s="43"/>
      <c r="N219" s="43"/>
      <c r="O219" s="43"/>
      <c r="P219" s="43"/>
      <c r="Q219" s="43"/>
      <c r="R219" s="43"/>
      <c r="S219" s="43"/>
      <c r="T219" s="43"/>
    </row>
    <row r="220" spans="1:20" ht="20" customHeight="1">
      <c r="A220" s="198"/>
      <c r="B220" s="4" t="s">
        <v>242</v>
      </c>
      <c r="C220" s="5">
        <f>96/6</f>
        <v>16</v>
      </c>
      <c r="D220" s="6" t="s">
        <v>141</v>
      </c>
      <c r="E220" s="11">
        <v>65</v>
      </c>
      <c r="F220" s="5">
        <f t="shared" ref="F220:F223" si="70">E220*C220</f>
        <v>1040</v>
      </c>
      <c r="G220" s="20">
        <v>0</v>
      </c>
      <c r="H220" s="5">
        <f t="shared" si="69"/>
        <v>0</v>
      </c>
      <c r="I220" s="7">
        <f t="shared" ref="I220:I223" si="71">H220+F220</f>
        <v>1040</v>
      </c>
      <c r="J220" s="4"/>
      <c r="K220" s="43"/>
      <c r="L220" s="43"/>
      <c r="M220" s="43"/>
      <c r="N220" s="43"/>
      <c r="O220" s="43"/>
      <c r="P220" s="43"/>
      <c r="Q220" s="43"/>
      <c r="R220" s="43"/>
      <c r="S220" s="43"/>
      <c r="T220" s="43"/>
    </row>
    <row r="221" spans="1:20" ht="20" customHeight="1">
      <c r="A221" s="198"/>
      <c r="B221" s="4" t="s">
        <v>208</v>
      </c>
      <c r="C221" s="5">
        <v>1</v>
      </c>
      <c r="D221" s="6" t="s">
        <v>141</v>
      </c>
      <c r="E221" s="11">
        <v>109</v>
      </c>
      <c r="F221" s="5">
        <f t="shared" si="70"/>
        <v>109</v>
      </c>
      <c r="G221" s="20">
        <v>0</v>
      </c>
      <c r="H221" s="5">
        <f t="shared" si="69"/>
        <v>0</v>
      </c>
      <c r="I221" s="7">
        <f t="shared" si="71"/>
        <v>109</v>
      </c>
      <c r="J221" s="4"/>
      <c r="K221" s="43"/>
      <c r="L221" s="43"/>
      <c r="M221" s="43"/>
      <c r="N221" s="43"/>
      <c r="O221" s="43"/>
      <c r="P221" s="43"/>
      <c r="Q221" s="43"/>
      <c r="R221" s="43"/>
      <c r="S221" s="43"/>
      <c r="T221" s="43"/>
    </row>
    <row r="222" spans="1:20" ht="20" customHeight="1">
      <c r="A222" s="6"/>
      <c r="B222" s="4" t="s">
        <v>209</v>
      </c>
      <c r="C222" s="5">
        <v>1</v>
      </c>
      <c r="D222" s="6" t="s">
        <v>141</v>
      </c>
      <c r="E222" s="11">
        <v>349</v>
      </c>
      <c r="F222" s="5">
        <f t="shared" si="70"/>
        <v>349</v>
      </c>
      <c r="G222" s="20">
        <v>0</v>
      </c>
      <c r="H222" s="5">
        <f t="shared" si="69"/>
        <v>0</v>
      </c>
      <c r="I222" s="7">
        <f t="shared" si="71"/>
        <v>349</v>
      </c>
      <c r="J222" s="4"/>
      <c r="K222" s="43"/>
      <c r="L222" s="43"/>
      <c r="M222" s="43"/>
      <c r="N222" s="43"/>
      <c r="O222" s="43"/>
      <c r="P222" s="43"/>
      <c r="Q222" s="43"/>
      <c r="R222" s="43"/>
      <c r="S222" s="43"/>
      <c r="T222" s="43"/>
    </row>
    <row r="223" spans="1:20" ht="20" customHeight="1">
      <c r="A223" s="6"/>
      <c r="B223" s="4" t="s">
        <v>193</v>
      </c>
      <c r="C223" s="5">
        <v>1</v>
      </c>
      <c r="D223" s="6" t="s">
        <v>141</v>
      </c>
      <c r="E223" s="11">
        <v>0</v>
      </c>
      <c r="F223" s="5">
        <f t="shared" si="70"/>
        <v>0</v>
      </c>
      <c r="G223" s="20">
        <v>0</v>
      </c>
      <c r="H223" s="5">
        <f t="shared" si="69"/>
        <v>0</v>
      </c>
      <c r="I223" s="7">
        <f t="shared" si="71"/>
        <v>0</v>
      </c>
      <c r="J223" s="4"/>
      <c r="K223" s="43"/>
      <c r="L223" s="43"/>
      <c r="M223" s="43"/>
      <c r="N223" s="43"/>
      <c r="O223" s="43"/>
      <c r="P223" s="43"/>
      <c r="Q223" s="43"/>
      <c r="R223" s="43"/>
      <c r="S223" s="43"/>
      <c r="T223" s="43"/>
    </row>
    <row r="224" spans="1:20" s="50" customFormat="1" ht="20" customHeight="1">
      <c r="A224" s="12"/>
      <c r="B224" s="12" t="s">
        <v>200</v>
      </c>
      <c r="C224" s="13"/>
      <c r="D224" s="12"/>
      <c r="E224" s="100"/>
      <c r="F224" s="14">
        <f>SUM(F219:F223)</f>
        <v>1963</v>
      </c>
      <c r="G224" s="14"/>
      <c r="H224" s="14">
        <f t="shared" ref="H224:I224" si="72">SUM(H219:H223)</f>
        <v>0</v>
      </c>
      <c r="I224" s="14">
        <f t="shared" si="72"/>
        <v>1963</v>
      </c>
      <c r="J224" s="13"/>
      <c r="K224" s="151">
        <f>H224+F224</f>
        <v>1963</v>
      </c>
    </row>
    <row r="225" spans="1:20" ht="20" customHeight="1">
      <c r="A225" s="198"/>
      <c r="B225" s="3" t="s">
        <v>201</v>
      </c>
      <c r="C225" s="4"/>
      <c r="D225" s="6"/>
      <c r="E225" s="48"/>
      <c r="F225" s="4"/>
      <c r="G225" s="160"/>
      <c r="H225" s="150"/>
      <c r="I225" s="4"/>
      <c r="J225" s="4"/>
      <c r="K225" s="43"/>
      <c r="L225" s="43"/>
      <c r="M225" s="43"/>
      <c r="N225" s="43"/>
      <c r="O225" s="43"/>
      <c r="P225" s="43"/>
      <c r="Q225" s="43"/>
      <c r="R225" s="43"/>
      <c r="S225" s="43"/>
      <c r="T225" s="43"/>
    </row>
    <row r="226" spans="1:20" ht="20" customHeight="1">
      <c r="A226" s="198"/>
      <c r="B226" s="4" t="s">
        <v>232</v>
      </c>
      <c r="C226" s="5">
        <v>3</v>
      </c>
      <c r="D226" s="6" t="s">
        <v>141</v>
      </c>
      <c r="E226" s="5">
        <v>0</v>
      </c>
      <c r="F226" s="5">
        <f>E226*C226</f>
        <v>0</v>
      </c>
      <c r="G226" s="20">
        <v>0</v>
      </c>
      <c r="H226" s="5">
        <f>G226*C226</f>
        <v>0</v>
      </c>
      <c r="I226" s="7">
        <f>H226+F226</f>
        <v>0</v>
      </c>
      <c r="J226" s="4"/>
      <c r="K226" s="43"/>
      <c r="L226" s="43"/>
      <c r="M226" s="43"/>
      <c r="N226" s="43"/>
      <c r="O226" s="43"/>
      <c r="P226" s="43"/>
      <c r="Q226" s="43"/>
      <c r="R226" s="43"/>
      <c r="S226" s="43"/>
      <c r="T226" s="43"/>
    </row>
    <row r="227" spans="1:20" ht="20" customHeight="1">
      <c r="A227" s="198"/>
      <c r="B227" s="4" t="s">
        <v>233</v>
      </c>
      <c r="C227" s="5">
        <v>3</v>
      </c>
      <c r="D227" s="6" t="s">
        <v>141</v>
      </c>
      <c r="E227" s="5">
        <v>0</v>
      </c>
      <c r="F227" s="5">
        <f t="shared" ref="F227:F231" si="73">E227*C227</f>
        <v>0</v>
      </c>
      <c r="G227" s="20">
        <v>0</v>
      </c>
      <c r="H227" s="5">
        <f t="shared" ref="H227:H231" si="74">G227*C227</f>
        <v>0</v>
      </c>
      <c r="I227" s="7">
        <f t="shared" ref="I227:I231" si="75">H227+F227</f>
        <v>0</v>
      </c>
      <c r="J227" s="4"/>
      <c r="K227" s="43"/>
      <c r="L227" s="43"/>
      <c r="M227" s="43"/>
      <c r="N227" s="43"/>
      <c r="O227" s="43"/>
      <c r="P227" s="43"/>
      <c r="Q227" s="43"/>
      <c r="R227" s="43"/>
      <c r="S227" s="43"/>
      <c r="T227" s="43"/>
    </row>
    <row r="228" spans="1:20" ht="20" customHeight="1">
      <c r="A228" s="198"/>
      <c r="B228" s="4" t="s">
        <v>234</v>
      </c>
      <c r="C228" s="5">
        <v>2</v>
      </c>
      <c r="D228" s="6" t="s">
        <v>141</v>
      </c>
      <c r="E228" s="5">
        <v>0</v>
      </c>
      <c r="F228" s="5">
        <f t="shared" si="73"/>
        <v>0</v>
      </c>
      <c r="G228" s="20">
        <v>0</v>
      </c>
      <c r="H228" s="5">
        <f t="shared" si="74"/>
        <v>0</v>
      </c>
      <c r="I228" s="7">
        <f t="shared" si="75"/>
        <v>0</v>
      </c>
      <c r="J228" s="4"/>
      <c r="K228" s="43"/>
      <c r="L228" s="43"/>
      <c r="M228" s="43"/>
      <c r="N228" s="43"/>
      <c r="O228" s="43"/>
      <c r="P228" s="43"/>
      <c r="Q228" s="43"/>
      <c r="R228" s="43"/>
      <c r="S228" s="43"/>
      <c r="T228" s="43"/>
    </row>
    <row r="229" spans="1:20" ht="20" customHeight="1">
      <c r="A229" s="6"/>
      <c r="B229" s="4" t="s">
        <v>194</v>
      </c>
      <c r="C229" s="5">
        <f>66/6</f>
        <v>11</v>
      </c>
      <c r="D229" s="6" t="s">
        <v>141</v>
      </c>
      <c r="E229" s="5">
        <v>0</v>
      </c>
      <c r="F229" s="5">
        <f t="shared" si="73"/>
        <v>0</v>
      </c>
      <c r="G229" s="20">
        <v>0</v>
      </c>
      <c r="H229" s="5">
        <f t="shared" si="74"/>
        <v>0</v>
      </c>
      <c r="I229" s="7">
        <f t="shared" si="75"/>
        <v>0</v>
      </c>
      <c r="J229" s="4"/>
      <c r="K229" s="43"/>
      <c r="L229" s="43"/>
      <c r="M229" s="43"/>
      <c r="N229" s="43"/>
      <c r="O229" s="43"/>
      <c r="P229" s="43"/>
      <c r="Q229" s="43"/>
      <c r="R229" s="43"/>
      <c r="S229" s="43"/>
      <c r="T229" s="43"/>
    </row>
    <row r="230" spans="1:20" ht="20" customHeight="1">
      <c r="A230" s="6"/>
      <c r="B230" s="4" t="s">
        <v>195</v>
      </c>
      <c r="C230" s="5">
        <f>18/6</f>
        <v>3</v>
      </c>
      <c r="D230" s="6" t="s">
        <v>141</v>
      </c>
      <c r="E230" s="5">
        <v>0</v>
      </c>
      <c r="F230" s="5">
        <f t="shared" si="73"/>
        <v>0</v>
      </c>
      <c r="G230" s="20">
        <v>0</v>
      </c>
      <c r="H230" s="5">
        <f t="shared" si="74"/>
        <v>0</v>
      </c>
      <c r="I230" s="7">
        <f t="shared" si="75"/>
        <v>0</v>
      </c>
      <c r="J230" s="4"/>
      <c r="K230" s="43"/>
      <c r="L230" s="43"/>
      <c r="M230" s="43"/>
      <c r="N230" s="43"/>
      <c r="O230" s="43"/>
      <c r="P230" s="43"/>
      <c r="Q230" s="43"/>
      <c r="R230" s="43"/>
      <c r="S230" s="43"/>
      <c r="T230" s="43"/>
    </row>
    <row r="231" spans="1:20" ht="20" customHeight="1">
      <c r="A231" s="6"/>
      <c r="B231" s="4" t="s">
        <v>196</v>
      </c>
      <c r="C231" s="5">
        <f>6/6</f>
        <v>1</v>
      </c>
      <c r="D231" s="6" t="s">
        <v>141</v>
      </c>
      <c r="E231" s="5">
        <v>0</v>
      </c>
      <c r="F231" s="5">
        <f t="shared" si="73"/>
        <v>0</v>
      </c>
      <c r="G231" s="20">
        <v>0</v>
      </c>
      <c r="H231" s="5">
        <f t="shared" si="74"/>
        <v>0</v>
      </c>
      <c r="I231" s="7">
        <f t="shared" si="75"/>
        <v>0</v>
      </c>
      <c r="J231" s="4"/>
      <c r="K231" s="43"/>
      <c r="L231" s="43"/>
      <c r="M231" s="43"/>
      <c r="N231" s="43"/>
      <c r="O231" s="43"/>
      <c r="P231" s="43"/>
      <c r="Q231" s="43"/>
      <c r="R231" s="43"/>
      <c r="S231" s="43"/>
      <c r="T231" s="43"/>
    </row>
    <row r="232" spans="1:20" s="50" customFormat="1" ht="20" customHeight="1">
      <c r="A232" s="12"/>
      <c r="B232" s="12" t="s">
        <v>202</v>
      </c>
      <c r="C232" s="13"/>
      <c r="D232" s="12"/>
      <c r="E232" s="100"/>
      <c r="F232" s="14">
        <f>SUM(F226:F231)</f>
        <v>0</v>
      </c>
      <c r="G232" s="14"/>
      <c r="H232" s="14">
        <f t="shared" ref="H232:I232" si="76">SUM(H226:H231)</f>
        <v>0</v>
      </c>
      <c r="I232" s="14">
        <f t="shared" si="76"/>
        <v>0</v>
      </c>
      <c r="J232" s="13"/>
      <c r="K232" s="151">
        <f>H232+F232</f>
        <v>0</v>
      </c>
    </row>
    <row r="233" spans="1:20" ht="20" customHeight="1">
      <c r="A233" s="198"/>
      <c r="B233" s="3" t="s">
        <v>203</v>
      </c>
      <c r="C233" s="4"/>
      <c r="D233" s="6"/>
      <c r="E233" s="48"/>
      <c r="F233" s="4"/>
      <c r="G233" s="4"/>
      <c r="H233" s="4"/>
      <c r="I233" s="4"/>
      <c r="J233" s="4"/>
      <c r="K233" s="43"/>
      <c r="L233" s="43"/>
      <c r="M233" s="43"/>
      <c r="N233" s="43"/>
      <c r="O233" s="43"/>
      <c r="P233" s="43"/>
      <c r="Q233" s="43"/>
      <c r="R233" s="43"/>
      <c r="S233" s="43"/>
      <c r="T233" s="43"/>
    </row>
    <row r="234" spans="1:20" ht="20" customHeight="1">
      <c r="A234" s="198"/>
      <c r="B234" s="4" t="s">
        <v>231</v>
      </c>
      <c r="C234" s="5">
        <v>1</v>
      </c>
      <c r="D234" s="6" t="s">
        <v>136</v>
      </c>
      <c r="E234" s="5">
        <v>0</v>
      </c>
      <c r="F234" s="5">
        <f>E234*C234</f>
        <v>0</v>
      </c>
      <c r="G234" s="20">
        <v>0</v>
      </c>
      <c r="H234" s="5">
        <f t="shared" ref="H234" si="77">G234*C234</f>
        <v>0</v>
      </c>
      <c r="I234" s="7">
        <f t="shared" ref="I234" si="78">H234+F234</f>
        <v>0</v>
      </c>
      <c r="J234" s="4"/>
      <c r="K234" s="43"/>
      <c r="L234" s="43"/>
      <c r="M234" s="43"/>
      <c r="N234" s="43"/>
      <c r="O234" s="43"/>
      <c r="P234" s="43"/>
      <c r="Q234" s="43"/>
      <c r="R234" s="43"/>
      <c r="S234" s="43"/>
      <c r="T234" s="43"/>
    </row>
    <row r="235" spans="1:20" s="50" customFormat="1" ht="20" customHeight="1">
      <c r="A235" s="12"/>
      <c r="B235" s="12" t="s">
        <v>204</v>
      </c>
      <c r="C235" s="13"/>
      <c r="D235" s="12"/>
      <c r="E235" s="100"/>
      <c r="F235" s="14">
        <f>SUM(F234)</f>
        <v>0</v>
      </c>
      <c r="G235" s="14"/>
      <c r="H235" s="14">
        <f t="shared" ref="H235:I235" si="79">SUM(H234)</f>
        <v>0</v>
      </c>
      <c r="I235" s="14">
        <f t="shared" si="79"/>
        <v>0</v>
      </c>
      <c r="J235" s="13"/>
      <c r="K235" s="151">
        <f>H235+F235</f>
        <v>0</v>
      </c>
    </row>
    <row r="236" spans="1:20" ht="20" customHeight="1">
      <c r="A236" s="198"/>
      <c r="B236" s="3" t="s">
        <v>205</v>
      </c>
      <c r="C236" s="4"/>
      <c r="D236" s="6"/>
      <c r="E236" s="48"/>
      <c r="F236" s="4"/>
      <c r="G236" s="150"/>
      <c r="H236" s="150"/>
      <c r="I236" s="161"/>
      <c r="J236" s="4"/>
      <c r="K236" s="43"/>
      <c r="L236" s="43"/>
      <c r="M236" s="43"/>
      <c r="N236" s="43"/>
      <c r="O236" s="43"/>
      <c r="P236" s="43"/>
      <c r="Q236" s="43"/>
      <c r="R236" s="43"/>
      <c r="S236" s="43"/>
      <c r="T236" s="43"/>
    </row>
    <row r="237" spans="1:20" ht="20" customHeight="1">
      <c r="A237" s="198"/>
      <c r="B237" s="4" t="s">
        <v>197</v>
      </c>
      <c r="C237" s="5">
        <v>1</v>
      </c>
      <c r="D237" s="6" t="s">
        <v>141</v>
      </c>
      <c r="E237" s="5">
        <v>0</v>
      </c>
      <c r="F237" s="5">
        <f>E237*C237</f>
        <v>0</v>
      </c>
      <c r="G237" s="20">
        <v>0</v>
      </c>
      <c r="H237" s="5">
        <f>G237*C237</f>
        <v>0</v>
      </c>
      <c r="I237" s="7">
        <f>H237+F237</f>
        <v>0</v>
      </c>
      <c r="J237" s="4"/>
      <c r="K237" s="43"/>
      <c r="L237" s="43"/>
      <c r="M237" s="43"/>
      <c r="N237" s="43"/>
      <c r="O237" s="43"/>
      <c r="P237" s="43"/>
      <c r="Q237" s="43"/>
      <c r="R237" s="43"/>
      <c r="S237" s="43"/>
      <c r="T237" s="43"/>
    </row>
    <row r="238" spans="1:20" ht="20" customHeight="1">
      <c r="A238" s="198"/>
      <c r="B238" s="4" t="s">
        <v>198</v>
      </c>
      <c r="C238" s="5">
        <v>1</v>
      </c>
      <c r="D238" s="6" t="s">
        <v>141</v>
      </c>
      <c r="E238" s="5">
        <v>0</v>
      </c>
      <c r="F238" s="5">
        <f t="shared" ref="F238:F239" si="80">E238*C238</f>
        <v>0</v>
      </c>
      <c r="G238" s="20">
        <v>0</v>
      </c>
      <c r="H238" s="5">
        <f t="shared" ref="H238:H239" si="81">G238*C238</f>
        <v>0</v>
      </c>
      <c r="I238" s="7">
        <f t="shared" ref="I238:I239" si="82">H238+F238</f>
        <v>0</v>
      </c>
      <c r="J238" s="4"/>
      <c r="K238" s="43"/>
      <c r="L238" s="43"/>
      <c r="M238" s="43"/>
      <c r="N238" s="43"/>
      <c r="O238" s="43"/>
      <c r="P238" s="43"/>
      <c r="Q238" s="43"/>
      <c r="R238" s="43"/>
      <c r="S238" s="43"/>
      <c r="T238" s="43"/>
    </row>
    <row r="239" spans="1:20" s="43" customFormat="1" ht="20" customHeight="1">
      <c r="A239" s="6"/>
      <c r="B239" s="15" t="s">
        <v>271</v>
      </c>
      <c r="C239" s="5">
        <v>1</v>
      </c>
      <c r="D239" s="6" t="s">
        <v>264</v>
      </c>
      <c r="E239" s="5">
        <v>0</v>
      </c>
      <c r="F239" s="5">
        <f t="shared" si="80"/>
        <v>0</v>
      </c>
      <c r="G239" s="70">
        <v>29850</v>
      </c>
      <c r="H239" s="5">
        <f t="shared" si="81"/>
        <v>29850</v>
      </c>
      <c r="I239" s="7">
        <f t="shared" si="82"/>
        <v>29850</v>
      </c>
      <c r="J239" s="4"/>
      <c r="K239" s="73"/>
    </row>
    <row r="240" spans="1:20" s="50" customFormat="1" ht="20" customHeight="1">
      <c r="A240" s="12"/>
      <c r="B240" s="12" t="s">
        <v>206</v>
      </c>
      <c r="C240" s="13"/>
      <c r="D240" s="12"/>
      <c r="E240" s="100"/>
      <c r="F240" s="14">
        <f>SUM(F237:F239)</f>
        <v>0</v>
      </c>
      <c r="G240" s="14"/>
      <c r="H240" s="14">
        <f t="shared" ref="H240:I240" si="83">SUM(H237:H239)</f>
        <v>29850</v>
      </c>
      <c r="I240" s="14">
        <f t="shared" si="83"/>
        <v>29850</v>
      </c>
      <c r="J240" s="13"/>
      <c r="K240" s="151">
        <f>H240+F240</f>
        <v>29850</v>
      </c>
    </row>
    <row r="241" spans="1:20" s="167" customFormat="1" ht="20" customHeight="1">
      <c r="A241" s="207">
        <v>3</v>
      </c>
      <c r="B241" s="102" t="s">
        <v>199</v>
      </c>
      <c r="C241" s="162"/>
      <c r="D241" s="163" t="s">
        <v>11</v>
      </c>
      <c r="E241" s="164"/>
      <c r="F241" s="103">
        <f>F224+F232+F235+F240</f>
        <v>1963</v>
      </c>
      <c r="G241" s="103"/>
      <c r="H241" s="103">
        <f t="shared" ref="H241:I241" si="84">H224+H232+H235+H240</f>
        <v>29850</v>
      </c>
      <c r="I241" s="103">
        <f t="shared" si="84"/>
        <v>31813</v>
      </c>
      <c r="J241" s="165"/>
      <c r="K241" s="151">
        <f>H241+F241</f>
        <v>31813</v>
      </c>
      <c r="L241" s="166"/>
      <c r="M241" s="166"/>
      <c r="N241" s="166"/>
      <c r="O241" s="166"/>
      <c r="P241" s="166"/>
      <c r="Q241" s="166"/>
      <c r="R241" s="166"/>
      <c r="S241" s="166"/>
      <c r="T241" s="166"/>
    </row>
    <row r="242" spans="1:20" s="159" customFormat="1" ht="20" customHeight="1">
      <c r="A242" s="212"/>
      <c r="B242" s="87"/>
      <c r="C242" s="154"/>
      <c r="D242" s="155"/>
      <c r="E242" s="156"/>
      <c r="F242" s="88"/>
      <c r="G242" s="156"/>
      <c r="H242" s="88"/>
      <c r="I242" s="153"/>
      <c r="J242" s="157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</row>
    <row r="243" spans="1:20" s="171" customFormat="1" ht="20" customHeight="1">
      <c r="A243" s="208">
        <v>4</v>
      </c>
      <c r="B243" s="107" t="s">
        <v>278</v>
      </c>
      <c r="C243" s="168"/>
      <c r="D243" s="194"/>
      <c r="E243" s="169"/>
      <c r="F243" s="168"/>
      <c r="G243" s="168"/>
      <c r="H243" s="168"/>
      <c r="I243" s="168"/>
      <c r="J243" s="168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</row>
    <row r="244" spans="1:20" ht="20" customHeight="1">
      <c r="A244" s="198"/>
      <c r="B244" s="4" t="s">
        <v>235</v>
      </c>
      <c r="C244" s="5">
        <v>1</v>
      </c>
      <c r="D244" s="6" t="s">
        <v>53</v>
      </c>
      <c r="E244" s="11">
        <v>1105</v>
      </c>
      <c r="F244" s="5">
        <f>E244*C244</f>
        <v>1105</v>
      </c>
      <c r="G244" s="20">
        <v>0</v>
      </c>
      <c r="H244" s="5">
        <f t="shared" ref="H244:H265" si="85">G244*C244</f>
        <v>0</v>
      </c>
      <c r="I244" s="7">
        <f>H244+F244</f>
        <v>1105</v>
      </c>
      <c r="J244" s="24"/>
    </row>
    <row r="245" spans="1:20" ht="20" customHeight="1">
      <c r="A245" s="6"/>
      <c r="B245" s="4" t="s">
        <v>236</v>
      </c>
      <c r="C245" s="5">
        <f>11/6</f>
        <v>1.8333333333333333</v>
      </c>
      <c r="D245" s="6" t="s">
        <v>53</v>
      </c>
      <c r="E245" s="11">
        <v>810</v>
      </c>
      <c r="F245" s="5">
        <f t="shared" ref="F245:F265" si="86">E245*C245</f>
        <v>1485</v>
      </c>
      <c r="G245" s="20">
        <v>0</v>
      </c>
      <c r="H245" s="5">
        <f t="shared" si="85"/>
        <v>0</v>
      </c>
      <c r="I245" s="7">
        <f t="shared" ref="I245:I265" si="87">H245+F245</f>
        <v>1485</v>
      </c>
      <c r="J245" s="24"/>
    </row>
    <row r="246" spans="1:20" ht="20" customHeight="1">
      <c r="A246" s="6"/>
      <c r="B246" s="4" t="s">
        <v>238</v>
      </c>
      <c r="C246" s="5">
        <f>12/6</f>
        <v>2</v>
      </c>
      <c r="D246" s="6" t="s">
        <v>53</v>
      </c>
      <c r="E246" s="11">
        <v>610</v>
      </c>
      <c r="F246" s="5">
        <f t="shared" si="86"/>
        <v>1220</v>
      </c>
      <c r="G246" s="20">
        <v>0</v>
      </c>
      <c r="H246" s="5">
        <f t="shared" si="85"/>
        <v>0</v>
      </c>
      <c r="I246" s="7">
        <f t="shared" si="87"/>
        <v>1220</v>
      </c>
      <c r="J246" s="24"/>
    </row>
    <row r="247" spans="1:20" ht="20" customHeight="1">
      <c r="A247" s="6"/>
      <c r="B247" s="4" t="s">
        <v>237</v>
      </c>
      <c r="C247" s="5">
        <f>18/3</f>
        <v>6</v>
      </c>
      <c r="D247" s="6" t="s">
        <v>53</v>
      </c>
      <c r="E247" s="11">
        <v>395</v>
      </c>
      <c r="F247" s="5">
        <f t="shared" si="86"/>
        <v>2370</v>
      </c>
      <c r="G247" s="20">
        <v>0</v>
      </c>
      <c r="H247" s="5">
        <f t="shared" si="85"/>
        <v>0</v>
      </c>
      <c r="I247" s="7">
        <f t="shared" si="87"/>
        <v>2370</v>
      </c>
      <c r="J247" s="24"/>
    </row>
    <row r="248" spans="1:20" ht="20" customHeight="1">
      <c r="A248" s="198"/>
      <c r="B248" s="4" t="s">
        <v>239</v>
      </c>
      <c r="C248" s="5">
        <f>7/6</f>
        <v>1.1666666666666667</v>
      </c>
      <c r="D248" s="6" t="s">
        <v>60</v>
      </c>
      <c r="E248" s="11">
        <v>49</v>
      </c>
      <c r="F248" s="5">
        <f t="shared" si="86"/>
        <v>57.166666666666671</v>
      </c>
      <c r="G248" s="20">
        <v>0</v>
      </c>
      <c r="H248" s="5">
        <f t="shared" si="85"/>
        <v>0</v>
      </c>
      <c r="I248" s="7">
        <f t="shared" si="87"/>
        <v>57.166666666666671</v>
      </c>
      <c r="J248" s="24"/>
    </row>
    <row r="249" spans="1:20" ht="20" customHeight="1">
      <c r="A249" s="198"/>
      <c r="B249" s="4" t="s">
        <v>240</v>
      </c>
      <c r="C249" s="5">
        <f>7/6</f>
        <v>1.1666666666666667</v>
      </c>
      <c r="D249" s="6" t="s">
        <v>60</v>
      </c>
      <c r="E249" s="11">
        <v>39</v>
      </c>
      <c r="F249" s="5">
        <f t="shared" si="86"/>
        <v>45.5</v>
      </c>
      <c r="G249" s="20">
        <v>0</v>
      </c>
      <c r="H249" s="5">
        <f t="shared" si="85"/>
        <v>0</v>
      </c>
      <c r="I249" s="7">
        <f t="shared" si="87"/>
        <v>45.5</v>
      </c>
      <c r="J249" s="24"/>
    </row>
    <row r="250" spans="1:20" ht="20" customHeight="1">
      <c r="A250" s="198"/>
      <c r="B250" s="4" t="s">
        <v>241</v>
      </c>
      <c r="C250" s="5">
        <f>2/6</f>
        <v>0.33333333333333331</v>
      </c>
      <c r="D250" s="6" t="s">
        <v>53</v>
      </c>
      <c r="E250" s="11">
        <v>285</v>
      </c>
      <c r="F250" s="5">
        <f t="shared" si="86"/>
        <v>95</v>
      </c>
      <c r="G250" s="20">
        <v>0</v>
      </c>
      <c r="H250" s="5">
        <f t="shared" si="85"/>
        <v>0</v>
      </c>
      <c r="I250" s="7">
        <f t="shared" si="87"/>
        <v>95</v>
      </c>
      <c r="J250" s="24"/>
    </row>
    <row r="251" spans="1:20" ht="20" customHeight="1">
      <c r="A251" s="198"/>
      <c r="B251" s="4" t="s">
        <v>222</v>
      </c>
      <c r="C251" s="5">
        <f>13/6</f>
        <v>2.1666666666666665</v>
      </c>
      <c r="D251" s="6" t="s">
        <v>53</v>
      </c>
      <c r="E251" s="11">
        <v>250</v>
      </c>
      <c r="F251" s="5">
        <f t="shared" si="86"/>
        <v>541.66666666666663</v>
      </c>
      <c r="G251" s="20">
        <v>0</v>
      </c>
      <c r="H251" s="5">
        <f t="shared" si="85"/>
        <v>0</v>
      </c>
      <c r="I251" s="7">
        <f t="shared" si="87"/>
        <v>541.66666666666663</v>
      </c>
      <c r="J251" s="24"/>
    </row>
    <row r="252" spans="1:20" ht="20" customHeight="1">
      <c r="A252" s="198"/>
      <c r="B252" s="4" t="s">
        <v>243</v>
      </c>
      <c r="C252" s="5">
        <f>51/6</f>
        <v>8.5</v>
      </c>
      <c r="D252" s="6" t="s">
        <v>123</v>
      </c>
      <c r="E252" s="11">
        <v>212</v>
      </c>
      <c r="F252" s="5">
        <f t="shared" si="86"/>
        <v>1802</v>
      </c>
      <c r="G252" s="20">
        <v>0</v>
      </c>
      <c r="H252" s="5">
        <f t="shared" si="85"/>
        <v>0</v>
      </c>
      <c r="I252" s="7">
        <f t="shared" si="87"/>
        <v>1802</v>
      </c>
      <c r="J252" s="24"/>
    </row>
    <row r="253" spans="1:20" ht="20" customHeight="1">
      <c r="A253" s="198"/>
      <c r="B253" s="4" t="s">
        <v>244</v>
      </c>
      <c r="C253" s="5">
        <f>200/6</f>
        <v>33.333333333333336</v>
      </c>
      <c r="D253" s="6" t="s">
        <v>82</v>
      </c>
      <c r="E253" s="11">
        <v>2.7</v>
      </c>
      <c r="F253" s="5">
        <f t="shared" si="86"/>
        <v>90.000000000000014</v>
      </c>
      <c r="G253" s="20">
        <v>0</v>
      </c>
      <c r="H253" s="5">
        <f t="shared" si="85"/>
        <v>0</v>
      </c>
      <c r="I253" s="7">
        <f t="shared" si="87"/>
        <v>90.000000000000014</v>
      </c>
      <c r="J253" s="24"/>
    </row>
    <row r="254" spans="1:20" ht="20" customHeight="1">
      <c r="A254" s="198"/>
      <c r="B254" s="4" t="s">
        <v>63</v>
      </c>
      <c r="C254" s="5">
        <f>1/6</f>
        <v>0.16666666666666666</v>
      </c>
      <c r="D254" s="6" t="s">
        <v>64</v>
      </c>
      <c r="E254" s="11">
        <v>1500</v>
      </c>
      <c r="F254" s="5">
        <f t="shared" si="86"/>
        <v>250</v>
      </c>
      <c r="G254" s="20">
        <v>0</v>
      </c>
      <c r="H254" s="5">
        <f t="shared" si="85"/>
        <v>0</v>
      </c>
      <c r="I254" s="7">
        <f t="shared" si="87"/>
        <v>250</v>
      </c>
      <c r="J254" s="4"/>
    </row>
    <row r="255" spans="1:20" ht="20" customHeight="1">
      <c r="A255" s="198"/>
      <c r="B255" s="4" t="s">
        <v>65</v>
      </c>
      <c r="C255" s="5">
        <v>0.5</v>
      </c>
      <c r="D255" s="6" t="s">
        <v>66</v>
      </c>
      <c r="E255" s="11">
        <v>1189</v>
      </c>
      <c r="F255" s="5">
        <f t="shared" si="86"/>
        <v>594.5</v>
      </c>
      <c r="G255" s="20">
        <v>0</v>
      </c>
      <c r="H255" s="5">
        <f t="shared" si="85"/>
        <v>0</v>
      </c>
      <c r="I255" s="7">
        <f t="shared" si="87"/>
        <v>594.5</v>
      </c>
      <c r="J255" s="4"/>
    </row>
    <row r="256" spans="1:20" ht="20" customHeight="1">
      <c r="A256" s="198"/>
      <c r="B256" s="4" t="s">
        <v>67</v>
      </c>
      <c r="C256" s="5">
        <f>1/6</f>
        <v>0.16666666666666666</v>
      </c>
      <c r="D256" s="6" t="s">
        <v>66</v>
      </c>
      <c r="E256" s="11">
        <v>499</v>
      </c>
      <c r="F256" s="5">
        <f t="shared" si="86"/>
        <v>83.166666666666657</v>
      </c>
      <c r="G256" s="20">
        <v>0</v>
      </c>
      <c r="H256" s="5">
        <f t="shared" si="85"/>
        <v>0</v>
      </c>
      <c r="I256" s="7">
        <f t="shared" si="87"/>
        <v>83.166666666666657</v>
      </c>
      <c r="J256" s="4"/>
    </row>
    <row r="257" spans="1:20" ht="20" customHeight="1">
      <c r="A257" s="198"/>
      <c r="B257" s="4" t="s">
        <v>68</v>
      </c>
      <c r="C257" s="113">
        <v>1</v>
      </c>
      <c r="D257" s="6" t="s">
        <v>69</v>
      </c>
      <c r="E257" s="11">
        <v>98</v>
      </c>
      <c r="F257" s="5">
        <f t="shared" si="86"/>
        <v>98</v>
      </c>
      <c r="G257" s="20">
        <v>0</v>
      </c>
      <c r="H257" s="5">
        <f t="shared" si="85"/>
        <v>0</v>
      </c>
      <c r="I257" s="7">
        <f t="shared" si="87"/>
        <v>98</v>
      </c>
      <c r="J257" s="4"/>
    </row>
    <row r="258" spans="1:20" s="119" customFormat="1" ht="20" customHeight="1">
      <c r="A258" s="209"/>
      <c r="B258" s="114" t="s">
        <v>255</v>
      </c>
      <c r="C258" s="115">
        <v>80</v>
      </c>
      <c r="D258" s="31" t="s">
        <v>263</v>
      </c>
      <c r="E258" s="5">
        <v>0</v>
      </c>
      <c r="F258" s="5">
        <f t="shared" si="86"/>
        <v>0</v>
      </c>
      <c r="G258" s="116">
        <v>23.291666666666668</v>
      </c>
      <c r="H258" s="5">
        <f t="shared" si="85"/>
        <v>1863.3333333333335</v>
      </c>
      <c r="I258" s="7">
        <f t="shared" si="87"/>
        <v>1863.3333333333335</v>
      </c>
      <c r="J258" s="117"/>
    </row>
    <row r="259" spans="1:20" s="119" customFormat="1" ht="20" customHeight="1">
      <c r="A259" s="31"/>
      <c r="B259" s="120" t="s">
        <v>256</v>
      </c>
      <c r="C259" s="115">
        <v>250</v>
      </c>
      <c r="D259" s="34" t="s">
        <v>123</v>
      </c>
      <c r="E259" s="5">
        <v>0</v>
      </c>
      <c r="F259" s="5">
        <f t="shared" si="86"/>
        <v>0</v>
      </c>
      <c r="G259" s="121">
        <v>6.4533333333333331</v>
      </c>
      <c r="H259" s="5">
        <f t="shared" si="85"/>
        <v>1613.3333333333333</v>
      </c>
      <c r="I259" s="7">
        <f t="shared" si="87"/>
        <v>1613.3333333333333</v>
      </c>
      <c r="J259" s="117"/>
    </row>
    <row r="260" spans="1:20" s="119" customFormat="1" ht="20" customHeight="1">
      <c r="A260" s="31"/>
      <c r="B260" s="122" t="s">
        <v>257</v>
      </c>
      <c r="C260" s="115">
        <v>35</v>
      </c>
      <c r="D260" s="31" t="s">
        <v>123</v>
      </c>
      <c r="E260" s="5">
        <v>0</v>
      </c>
      <c r="F260" s="5">
        <f t="shared" si="86"/>
        <v>0</v>
      </c>
      <c r="G260" s="121">
        <v>17.5</v>
      </c>
      <c r="H260" s="5">
        <f t="shared" si="85"/>
        <v>612.5</v>
      </c>
      <c r="I260" s="7">
        <f t="shared" si="87"/>
        <v>612.5</v>
      </c>
      <c r="J260" s="117"/>
    </row>
    <row r="261" spans="1:20" s="119" customFormat="1" ht="20" customHeight="1">
      <c r="A261" s="31"/>
      <c r="B261" s="114" t="s">
        <v>258</v>
      </c>
      <c r="C261" s="123">
        <v>500</v>
      </c>
      <c r="D261" s="31" t="s">
        <v>21</v>
      </c>
      <c r="E261" s="5">
        <v>0</v>
      </c>
      <c r="F261" s="5">
        <f t="shared" si="86"/>
        <v>0</v>
      </c>
      <c r="G261" s="116">
        <v>1.3333333333333333</v>
      </c>
      <c r="H261" s="5">
        <f t="shared" si="85"/>
        <v>666.66666666666663</v>
      </c>
      <c r="I261" s="7">
        <f t="shared" si="87"/>
        <v>666.66666666666663</v>
      </c>
      <c r="J261" s="117"/>
    </row>
    <row r="262" spans="1:20" s="119" customFormat="1" ht="20" customHeight="1">
      <c r="A262" s="209"/>
      <c r="B262" s="120" t="s">
        <v>259</v>
      </c>
      <c r="C262" s="124">
        <v>35</v>
      </c>
      <c r="D262" s="34" t="s">
        <v>263</v>
      </c>
      <c r="E262" s="5">
        <v>0</v>
      </c>
      <c r="F262" s="5">
        <f t="shared" si="86"/>
        <v>0</v>
      </c>
      <c r="G262" s="125">
        <v>18.900000000000002</v>
      </c>
      <c r="H262" s="5">
        <f t="shared" si="85"/>
        <v>661.50000000000011</v>
      </c>
      <c r="I262" s="7">
        <f t="shared" si="87"/>
        <v>661.50000000000011</v>
      </c>
      <c r="J262" s="117"/>
    </row>
    <row r="263" spans="1:20" s="119" customFormat="1" ht="20" customHeight="1">
      <c r="A263" s="209"/>
      <c r="B263" s="122" t="s">
        <v>260</v>
      </c>
      <c r="C263" s="124">
        <v>25</v>
      </c>
      <c r="D263" s="31" t="s">
        <v>263</v>
      </c>
      <c r="E263" s="5">
        <v>0</v>
      </c>
      <c r="F263" s="5">
        <f t="shared" si="86"/>
        <v>0</v>
      </c>
      <c r="G263" s="125">
        <v>18.900000000000002</v>
      </c>
      <c r="H263" s="5">
        <f t="shared" si="85"/>
        <v>472.50000000000006</v>
      </c>
      <c r="I263" s="7">
        <f t="shared" si="87"/>
        <v>472.50000000000006</v>
      </c>
      <c r="J263" s="117"/>
    </row>
    <row r="264" spans="1:20" s="119" customFormat="1" ht="20" customHeight="1">
      <c r="A264" s="209"/>
      <c r="B264" s="122" t="s">
        <v>261</v>
      </c>
      <c r="C264" s="124">
        <v>300</v>
      </c>
      <c r="D264" s="192" t="s">
        <v>264</v>
      </c>
      <c r="E264" s="5">
        <v>0</v>
      </c>
      <c r="F264" s="5">
        <f t="shared" si="86"/>
        <v>0</v>
      </c>
      <c r="G264" s="121">
        <v>1</v>
      </c>
      <c r="H264" s="5">
        <f t="shared" si="85"/>
        <v>300</v>
      </c>
      <c r="I264" s="7">
        <f t="shared" si="87"/>
        <v>300</v>
      </c>
      <c r="J264" s="117"/>
    </row>
    <row r="265" spans="1:20" s="119" customFormat="1" ht="20" customHeight="1">
      <c r="A265" s="209"/>
      <c r="B265" s="114" t="s">
        <v>262</v>
      </c>
      <c r="C265" s="124">
        <v>55</v>
      </c>
      <c r="D265" s="34" t="s">
        <v>123</v>
      </c>
      <c r="E265" s="5">
        <v>0</v>
      </c>
      <c r="F265" s="5">
        <f t="shared" si="86"/>
        <v>0</v>
      </c>
      <c r="G265" s="116">
        <v>6.47</v>
      </c>
      <c r="H265" s="5">
        <f t="shared" si="85"/>
        <v>355.84999999999997</v>
      </c>
      <c r="I265" s="7">
        <f t="shared" si="87"/>
        <v>355.84999999999997</v>
      </c>
      <c r="J265" s="117"/>
    </row>
    <row r="266" spans="1:20" s="177" customFormat="1" ht="20" customHeight="1">
      <c r="A266" s="213">
        <v>4</v>
      </c>
      <c r="B266" s="173" t="s">
        <v>221</v>
      </c>
      <c r="C266" s="172"/>
      <c r="D266" s="173" t="s">
        <v>11</v>
      </c>
      <c r="E266" s="174"/>
      <c r="F266" s="174">
        <f>SUM(F244:F265)</f>
        <v>9837</v>
      </c>
      <c r="G266" s="174"/>
      <c r="H266" s="174">
        <f t="shared" ref="H266:I266" si="88">SUM(H244:H265)</f>
        <v>6545.6833333333343</v>
      </c>
      <c r="I266" s="174">
        <f t="shared" si="88"/>
        <v>16382.683333333334</v>
      </c>
      <c r="J266" s="175"/>
      <c r="K266" s="151">
        <f>H266+F266</f>
        <v>16382.683333333334</v>
      </c>
      <c r="L266" s="176"/>
      <c r="M266" s="176"/>
      <c r="N266" s="176"/>
      <c r="O266" s="176"/>
      <c r="P266" s="176"/>
      <c r="Q266" s="176"/>
      <c r="R266" s="176"/>
      <c r="S266" s="176"/>
      <c r="T266" s="176"/>
    </row>
    <row r="268" spans="1:20" ht="20" customHeight="1">
      <c r="A268" s="185"/>
      <c r="B268" s="43"/>
      <c r="C268" s="43"/>
      <c r="D268" s="185"/>
      <c r="E268" s="44"/>
      <c r="F268" s="43"/>
      <c r="G268" s="43"/>
      <c r="H268" s="43"/>
      <c r="I268" s="43"/>
      <c r="J268" s="43"/>
      <c r="K268" s="43"/>
    </row>
    <row r="269" spans="1:20" ht="20" customHeight="1">
      <c r="A269" s="193">
        <f t="shared" ref="A269:I269" si="89">A66</f>
        <v>1</v>
      </c>
      <c r="B269" s="143" t="str">
        <f t="shared" si="89"/>
        <v>รวมค่างานโครงสร้างวิศวกรรมทั้งหมด</v>
      </c>
      <c r="C269" s="143">
        <f t="shared" si="89"/>
        <v>0</v>
      </c>
      <c r="D269" s="193" t="str">
        <f t="shared" si="89"/>
        <v>รวม</v>
      </c>
      <c r="E269" s="143">
        <f t="shared" si="89"/>
        <v>0</v>
      </c>
      <c r="F269" s="143">
        <f t="shared" si="89"/>
        <v>110913.89039339942</v>
      </c>
      <c r="G269" s="143">
        <f t="shared" si="89"/>
        <v>0</v>
      </c>
      <c r="H269" s="143">
        <f t="shared" si="89"/>
        <v>48853.341666666667</v>
      </c>
      <c r="I269" s="143">
        <f t="shared" si="89"/>
        <v>159767.2320600661</v>
      </c>
      <c r="J269" s="143"/>
      <c r="K269" s="43"/>
    </row>
    <row r="270" spans="1:20" ht="20" customHeight="1">
      <c r="A270" s="193">
        <f t="shared" ref="A270:I270" si="90">A215</f>
        <v>2</v>
      </c>
      <c r="B270" s="143" t="str">
        <f t="shared" si="90"/>
        <v>รวมค่างานสถาปัตยกรรมทั้งหมด</v>
      </c>
      <c r="C270" s="143">
        <f t="shared" si="90"/>
        <v>0</v>
      </c>
      <c r="D270" s="193" t="str">
        <f t="shared" si="90"/>
        <v>รวม</v>
      </c>
      <c r="E270" s="143">
        <f t="shared" si="90"/>
        <v>0</v>
      </c>
      <c r="F270" s="143">
        <f t="shared" si="90"/>
        <v>100564.37442867717</v>
      </c>
      <c r="G270" s="143">
        <f t="shared" si="90"/>
        <v>0</v>
      </c>
      <c r="H270" s="143">
        <f t="shared" si="90"/>
        <v>93512.6</v>
      </c>
      <c r="I270" s="143">
        <f t="shared" si="90"/>
        <v>194076.97442867717</v>
      </c>
      <c r="J270" s="143"/>
      <c r="K270" s="43"/>
    </row>
    <row r="271" spans="1:20" ht="20" customHeight="1">
      <c r="A271" s="193">
        <f t="shared" ref="A271:I271" si="91">A241</f>
        <v>3</v>
      </c>
      <c r="B271" s="143" t="str">
        <f t="shared" si="91"/>
        <v xml:space="preserve">รวมค่างานระบบไฟฟ้าและสื่อสารทั้งหมด </v>
      </c>
      <c r="C271" s="143">
        <f t="shared" si="91"/>
        <v>0</v>
      </c>
      <c r="D271" s="193" t="str">
        <f t="shared" si="91"/>
        <v>รวม</v>
      </c>
      <c r="E271" s="143">
        <f t="shared" si="91"/>
        <v>0</v>
      </c>
      <c r="F271" s="143">
        <f t="shared" si="91"/>
        <v>1963</v>
      </c>
      <c r="G271" s="143">
        <f t="shared" si="91"/>
        <v>0</v>
      </c>
      <c r="H271" s="143">
        <f t="shared" si="91"/>
        <v>29850</v>
      </c>
      <c r="I271" s="143">
        <f t="shared" si="91"/>
        <v>31813</v>
      </c>
      <c r="J271" s="143"/>
      <c r="K271" s="43"/>
    </row>
    <row r="272" spans="1:20" ht="20" customHeight="1">
      <c r="A272" s="193">
        <f t="shared" ref="A272:I272" si="92">A266</f>
        <v>4</v>
      </c>
      <c r="B272" s="143" t="str">
        <f t="shared" si="92"/>
        <v xml:space="preserve">รวมค่างานต่อเติมหลังคาที่จอดรถหน้าทั้งหมด </v>
      </c>
      <c r="C272" s="143">
        <f t="shared" si="92"/>
        <v>0</v>
      </c>
      <c r="D272" s="193" t="str">
        <f t="shared" si="92"/>
        <v>รวม</v>
      </c>
      <c r="E272" s="143">
        <f t="shared" si="92"/>
        <v>0</v>
      </c>
      <c r="F272" s="143">
        <f t="shared" si="92"/>
        <v>9837</v>
      </c>
      <c r="G272" s="143">
        <f t="shared" si="92"/>
        <v>0</v>
      </c>
      <c r="H272" s="143">
        <f t="shared" si="92"/>
        <v>6545.6833333333343</v>
      </c>
      <c r="I272" s="143">
        <f t="shared" si="92"/>
        <v>16382.683333333334</v>
      </c>
      <c r="J272" s="143"/>
      <c r="K272" s="43"/>
    </row>
    <row r="273" spans="1:11" s="179" customFormat="1" ht="20" customHeight="1">
      <c r="A273" s="232" t="s">
        <v>11</v>
      </c>
      <c r="B273" s="233"/>
      <c r="C273" s="234"/>
      <c r="D273" s="180"/>
      <c r="E273" s="181"/>
      <c r="F273" s="182">
        <f>SUM(F269:F272)</f>
        <v>223278.2648220766</v>
      </c>
      <c r="G273" s="182"/>
      <c r="H273" s="182">
        <f t="shared" ref="H273" si="93">SUM(H269:H272)</f>
        <v>178761.625</v>
      </c>
      <c r="I273" s="183">
        <f>SUM(I269:I272)</f>
        <v>402039.88982207666</v>
      </c>
      <c r="J273" s="180"/>
      <c r="K273" s="178">
        <f>H273+F273</f>
        <v>402039.8898220766</v>
      </c>
    </row>
    <row r="274" spans="1:11" ht="20" customHeight="1">
      <c r="A274" s="185"/>
      <c r="B274" s="43"/>
      <c r="C274" s="43"/>
      <c r="D274" s="185"/>
      <c r="E274" s="44"/>
      <c r="F274" s="43"/>
      <c r="G274" s="43"/>
      <c r="H274" s="43"/>
      <c r="I274" s="43"/>
      <c r="J274" s="43"/>
      <c r="K274" s="43"/>
    </row>
  </sheetData>
  <mergeCells count="9">
    <mergeCell ref="E4:F4"/>
    <mergeCell ref="G4:H4"/>
    <mergeCell ref="J4:J5"/>
    <mergeCell ref="A1:J1"/>
    <mergeCell ref="A273:C273"/>
    <mergeCell ref="A4:A5"/>
    <mergeCell ref="B4:B5"/>
    <mergeCell ref="C4:C5"/>
    <mergeCell ref="D4:D5"/>
  </mergeCells>
  <pageMargins left="0.7" right="0.7" top="0.75" bottom="0.75" header="0.3" footer="0.3"/>
  <pageSetup paperSize="9" scale="9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9C51-DF70-4245-8128-01BE6BE85BCC}">
  <dimension ref="A1:T273"/>
  <sheetViews>
    <sheetView view="pageBreakPreview" topLeftCell="A61" zoomScaleNormal="100" zoomScaleSheetLayoutView="100" workbookViewId="0">
      <selection activeCell="L78" sqref="L78"/>
    </sheetView>
  </sheetViews>
  <sheetFormatPr defaultRowHeight="20" customHeight="1"/>
  <cols>
    <col min="1" max="1" width="6.59765625" customWidth="1"/>
    <col min="2" max="2" width="45.59765625" customWidth="1"/>
    <col min="3" max="4" width="8.59765625" customWidth="1"/>
    <col min="5" max="10" width="13.59765625" customWidth="1"/>
    <col min="11" max="11" width="11.33203125" customWidth="1"/>
  </cols>
  <sheetData>
    <row r="1" spans="1:11" ht="20" customHeight="1">
      <c r="A1" s="228" t="s">
        <v>284</v>
      </c>
      <c r="B1" s="228"/>
      <c r="C1" s="228"/>
      <c r="D1" s="228"/>
      <c r="E1" s="228"/>
      <c r="F1" s="228"/>
      <c r="G1" s="228"/>
      <c r="H1" s="228"/>
      <c r="I1" s="228"/>
      <c r="J1" s="228"/>
    </row>
    <row r="2" spans="1:11" ht="20" customHeight="1">
      <c r="A2" s="196"/>
      <c r="B2" s="41"/>
      <c r="C2" s="41"/>
      <c r="D2" s="184"/>
      <c r="E2" s="42"/>
      <c r="F2" s="41"/>
      <c r="G2" s="41"/>
      <c r="H2" s="41"/>
      <c r="I2" s="41"/>
      <c r="J2" s="41"/>
    </row>
    <row r="3" spans="1:11" ht="20" customHeight="1" thickBot="1">
      <c r="A3" s="185"/>
      <c r="B3" s="43"/>
      <c r="C3" s="43"/>
      <c r="D3" s="185"/>
      <c r="E3" s="44"/>
      <c r="F3" s="43"/>
      <c r="G3" s="43"/>
      <c r="H3" s="43"/>
      <c r="I3" s="43"/>
      <c r="J3" s="43"/>
    </row>
    <row r="4" spans="1:11" ht="20" customHeight="1" thickTop="1">
      <c r="A4" s="226" t="s">
        <v>0</v>
      </c>
      <c r="B4" s="226" t="s">
        <v>1</v>
      </c>
      <c r="C4" s="226" t="s">
        <v>2</v>
      </c>
      <c r="D4" s="226" t="s">
        <v>3</v>
      </c>
      <c r="E4" s="226" t="s">
        <v>4</v>
      </c>
      <c r="F4" s="226"/>
      <c r="G4" s="226" t="s">
        <v>5</v>
      </c>
      <c r="H4" s="226"/>
      <c r="I4" s="220" t="s">
        <v>6</v>
      </c>
      <c r="J4" s="226" t="s">
        <v>7</v>
      </c>
    </row>
    <row r="5" spans="1:11" ht="20" customHeight="1" thickBot="1">
      <c r="A5" s="227"/>
      <c r="B5" s="227"/>
      <c r="C5" s="227"/>
      <c r="D5" s="227"/>
      <c r="E5" s="221" t="s">
        <v>8</v>
      </c>
      <c r="F5" s="218" t="s">
        <v>9</v>
      </c>
      <c r="G5" s="218" t="s">
        <v>8</v>
      </c>
      <c r="H5" s="218" t="s">
        <v>9</v>
      </c>
      <c r="I5" s="222" t="s">
        <v>10</v>
      </c>
      <c r="J5" s="227"/>
    </row>
    <row r="6" spans="1:11" ht="20" customHeight="1" thickTop="1">
      <c r="A6" s="197">
        <v>1</v>
      </c>
      <c r="B6" s="1" t="s">
        <v>12</v>
      </c>
      <c r="C6" s="2"/>
      <c r="D6" s="186"/>
      <c r="E6" s="46"/>
      <c r="F6" s="2"/>
      <c r="G6" s="2"/>
      <c r="H6" s="2"/>
      <c r="I6" s="2"/>
      <c r="J6" s="2"/>
    </row>
    <row r="7" spans="1:11" ht="20" customHeight="1">
      <c r="A7" s="198"/>
      <c r="B7" s="3" t="s">
        <v>13</v>
      </c>
      <c r="C7" s="4"/>
      <c r="D7" s="6"/>
      <c r="E7" s="48"/>
      <c r="F7" s="4"/>
      <c r="G7" s="4"/>
      <c r="H7" s="4"/>
      <c r="I7" s="4"/>
      <c r="J7" s="4"/>
    </row>
    <row r="8" spans="1:11" ht="20" customHeight="1">
      <c r="A8" s="198"/>
      <c r="B8" s="4" t="s">
        <v>14</v>
      </c>
      <c r="C8" s="5">
        <f>(หลังริม!C8*2)+(หลังกลาง!C8*2)</f>
        <v>6.666666666666667</v>
      </c>
      <c r="D8" s="6" t="s">
        <v>15</v>
      </c>
      <c r="E8" s="11">
        <v>3500</v>
      </c>
      <c r="F8" s="5">
        <f>E8*C8</f>
        <v>23333.333333333336</v>
      </c>
      <c r="G8" s="5">
        <v>0</v>
      </c>
      <c r="H8" s="29">
        <f>G8*E8</f>
        <v>0</v>
      </c>
      <c r="I8" s="49">
        <f>H8+F8</f>
        <v>23333.333333333336</v>
      </c>
      <c r="J8" s="4"/>
    </row>
    <row r="9" spans="1:11" s="40" customFormat="1" ht="20" customHeight="1">
      <c r="A9" s="198"/>
      <c r="B9" s="4" t="s">
        <v>36</v>
      </c>
      <c r="C9" s="5">
        <f>(หลังริม!C9*2)+(หลังกลาง!C9*2)</f>
        <v>3.6666666666666665</v>
      </c>
      <c r="D9" s="6" t="s">
        <v>16</v>
      </c>
      <c r="E9" s="11">
        <v>1500</v>
      </c>
      <c r="F9" s="5">
        <f t="shared" ref="F9:F11" si="0">E9*C9</f>
        <v>5500</v>
      </c>
      <c r="G9" s="5">
        <v>1</v>
      </c>
      <c r="H9" s="29">
        <f t="shared" ref="H9:H11" si="1">G9*E9</f>
        <v>1500</v>
      </c>
      <c r="I9" s="49">
        <f t="shared" ref="I9:I11" si="2">H9+F9</f>
        <v>7000</v>
      </c>
      <c r="J9" s="4"/>
    </row>
    <row r="10" spans="1:11" s="40" customFormat="1" ht="20" customHeight="1">
      <c r="A10" s="198"/>
      <c r="B10" s="4" t="s">
        <v>17</v>
      </c>
      <c r="C10" s="5">
        <f>(หลังริม!C10*2)+(หลังกลาง!C10*2)</f>
        <v>0</v>
      </c>
      <c r="D10" s="6" t="s">
        <v>16</v>
      </c>
      <c r="E10" s="11">
        <v>0</v>
      </c>
      <c r="F10" s="5">
        <f t="shared" si="0"/>
        <v>0</v>
      </c>
      <c r="G10" s="11">
        <v>2</v>
      </c>
      <c r="H10" s="29">
        <f t="shared" si="1"/>
        <v>0</v>
      </c>
      <c r="I10" s="49">
        <f t="shared" si="2"/>
        <v>0</v>
      </c>
      <c r="J10" s="4"/>
    </row>
    <row r="11" spans="1:11" s="40" customFormat="1" ht="20" customHeight="1">
      <c r="A11" s="198"/>
      <c r="B11" s="4" t="s">
        <v>18</v>
      </c>
      <c r="C11" s="5">
        <f>(หลังริม!C11*2)+(หลังกลาง!C11*2)</f>
        <v>26.666666666666668</v>
      </c>
      <c r="D11" s="6" t="s">
        <v>16</v>
      </c>
      <c r="E11" s="11">
        <v>100</v>
      </c>
      <c r="F11" s="5">
        <f t="shared" si="0"/>
        <v>2666.666666666667</v>
      </c>
      <c r="G11" s="5">
        <v>3</v>
      </c>
      <c r="H11" s="29">
        <f t="shared" si="1"/>
        <v>300</v>
      </c>
      <c r="I11" s="49">
        <f t="shared" si="2"/>
        <v>2966.666666666667</v>
      </c>
      <c r="J11" s="4"/>
    </row>
    <row r="12" spans="1:11" s="50" customFormat="1" ht="20" customHeight="1">
      <c r="A12" s="199"/>
      <c r="B12" s="12" t="s">
        <v>19</v>
      </c>
      <c r="C12" s="5">
        <f>(หลังริม!C12*2)+(หลังกลาง!C12*2)</f>
        <v>0</v>
      </c>
      <c r="D12" s="12"/>
      <c r="E12" s="100"/>
      <c r="F12" s="14">
        <f>SUM(F8:F11)</f>
        <v>31500.000000000004</v>
      </c>
      <c r="G12" s="14"/>
      <c r="H12" s="14">
        <f t="shared" ref="H12:I12" si="3">SUM(H8:H11)</f>
        <v>1800</v>
      </c>
      <c r="I12" s="14">
        <f t="shared" si="3"/>
        <v>33300</v>
      </c>
      <c r="J12" s="13"/>
      <c r="K12" s="151">
        <f>H12+F12</f>
        <v>33300</v>
      </c>
    </row>
    <row r="13" spans="1:11" s="40" customFormat="1" ht="20" customHeight="1">
      <c r="A13" s="198"/>
      <c r="B13" s="3" t="s">
        <v>20</v>
      </c>
      <c r="C13" s="5">
        <f>(หลังริม!C13*2)+(หลังกลาง!C13*2)</f>
        <v>0</v>
      </c>
      <c r="D13" s="6"/>
      <c r="E13" s="48"/>
      <c r="F13" s="4"/>
      <c r="G13" s="4"/>
      <c r="H13" s="4"/>
      <c r="I13" s="4"/>
      <c r="J13" s="4"/>
    </row>
    <row r="14" spans="1:11" s="40" customFormat="1" ht="20" customHeight="1">
      <c r="A14" s="198"/>
      <c r="B14" s="4" t="s">
        <v>110</v>
      </c>
      <c r="C14" s="5">
        <f>(หลังริม!C14*2)+(หลังกลาง!C14*2)</f>
        <v>35.333333333333336</v>
      </c>
      <c r="D14" s="6" t="s">
        <v>21</v>
      </c>
      <c r="E14" s="11">
        <v>2080</v>
      </c>
      <c r="F14" s="5">
        <f>E14*C14</f>
        <v>73493.333333333343</v>
      </c>
      <c r="G14" s="5">
        <v>750</v>
      </c>
      <c r="H14" s="5">
        <f>G14*C14</f>
        <v>26500</v>
      </c>
      <c r="I14" s="7">
        <f>H14+F14</f>
        <v>99993.333333333343</v>
      </c>
      <c r="J14" s="4"/>
    </row>
    <row r="15" spans="1:11" s="40" customFormat="1" ht="20" customHeight="1">
      <c r="A15" s="198"/>
      <c r="B15" s="4" t="s">
        <v>22</v>
      </c>
      <c r="C15" s="5">
        <f>(หลังริม!C15*2)+(หลังกลาง!C15*2)</f>
        <v>0</v>
      </c>
      <c r="D15" s="6" t="s">
        <v>21</v>
      </c>
      <c r="E15" s="11">
        <v>0</v>
      </c>
      <c r="F15" s="5">
        <f>E15*C15</f>
        <v>0</v>
      </c>
      <c r="G15" s="11">
        <v>0</v>
      </c>
      <c r="H15" s="5">
        <f>G15*C15</f>
        <v>0</v>
      </c>
      <c r="I15" s="7">
        <f>H15+F15</f>
        <v>0</v>
      </c>
      <c r="J15" s="4"/>
    </row>
    <row r="16" spans="1:11" s="50" customFormat="1" ht="20" customHeight="1">
      <c r="A16" s="199"/>
      <c r="B16" s="12" t="s">
        <v>23</v>
      </c>
      <c r="C16" s="5">
        <f>(หลังริม!C16*2)+(หลังกลาง!C16*2)</f>
        <v>0</v>
      </c>
      <c r="D16" s="12"/>
      <c r="E16" s="100"/>
      <c r="F16" s="14">
        <f>SUM(F14:F15)</f>
        <v>73493.333333333343</v>
      </c>
      <c r="G16" s="14"/>
      <c r="H16" s="14">
        <f t="shared" ref="H16:I16" si="4">SUM(H14:H15)</f>
        <v>26500</v>
      </c>
      <c r="I16" s="14">
        <f t="shared" si="4"/>
        <v>99993.333333333343</v>
      </c>
      <c r="J16" s="13"/>
      <c r="K16" s="151">
        <f>H16+F16</f>
        <v>99993.333333333343</v>
      </c>
    </row>
    <row r="17" spans="1:11" s="40" customFormat="1" ht="20" customHeight="1">
      <c r="A17" s="198"/>
      <c r="B17" s="3" t="s">
        <v>24</v>
      </c>
      <c r="C17" s="5">
        <f>(หลังริม!C17*2)+(หลังกลาง!C17*2)</f>
        <v>0</v>
      </c>
      <c r="D17" s="6"/>
      <c r="E17" s="48"/>
      <c r="F17" s="4"/>
      <c r="G17" s="4"/>
      <c r="H17" s="4"/>
      <c r="I17" s="4"/>
      <c r="J17" s="4"/>
    </row>
    <row r="18" spans="1:11" s="40" customFormat="1" ht="20" customHeight="1">
      <c r="A18" s="198"/>
      <c r="B18" s="4" t="s">
        <v>25</v>
      </c>
      <c r="C18" s="5">
        <f>(หลังริม!C18*2)+(หลังกลาง!C18*2)</f>
        <v>13.333333333333334</v>
      </c>
      <c r="D18" s="6" t="s">
        <v>60</v>
      </c>
      <c r="E18" s="11">
        <v>590</v>
      </c>
      <c r="F18" s="5">
        <f>E18*C18</f>
        <v>7866.666666666667</v>
      </c>
      <c r="G18" s="5">
        <v>0</v>
      </c>
      <c r="H18" s="29">
        <f>G18*E18</f>
        <v>0</v>
      </c>
      <c r="I18" s="49">
        <f>H18+F18</f>
        <v>7866.666666666667</v>
      </c>
      <c r="J18" s="4"/>
    </row>
    <row r="19" spans="1:11" s="40" customFormat="1" ht="20" customHeight="1">
      <c r="A19" s="198"/>
      <c r="B19" s="4" t="s">
        <v>27</v>
      </c>
      <c r="C19" s="5">
        <f>(หลังริม!C19*2)+(หลังกลาง!C19*2)</f>
        <v>0</v>
      </c>
      <c r="D19" s="6" t="s">
        <v>26</v>
      </c>
      <c r="E19" s="11">
        <v>0</v>
      </c>
      <c r="F19" s="5">
        <f t="shared" ref="F19:F22" si="5">E19*C19</f>
        <v>0</v>
      </c>
      <c r="G19" s="5">
        <v>0</v>
      </c>
      <c r="H19" s="29">
        <f t="shared" ref="H19:H22" si="6">G19*E19</f>
        <v>0</v>
      </c>
      <c r="I19" s="49">
        <f t="shared" ref="I19:I22" si="7">H19+F19</f>
        <v>0</v>
      </c>
      <c r="J19" s="4"/>
    </row>
    <row r="20" spans="1:11" s="40" customFormat="1" ht="20" customHeight="1">
      <c r="A20" s="6"/>
      <c r="B20" s="4" t="s">
        <v>28</v>
      </c>
      <c r="C20" s="5">
        <f>(หลังริม!C20*2)+(หลังกลาง!C20*2)</f>
        <v>133.33333333333334</v>
      </c>
      <c r="D20" s="6" t="s">
        <v>21</v>
      </c>
      <c r="E20" s="11">
        <v>25</v>
      </c>
      <c r="F20" s="5">
        <f t="shared" si="5"/>
        <v>3333.3333333333335</v>
      </c>
      <c r="G20" s="5">
        <v>0</v>
      </c>
      <c r="H20" s="29">
        <f t="shared" si="6"/>
        <v>0</v>
      </c>
      <c r="I20" s="49">
        <f t="shared" si="7"/>
        <v>3333.3333333333335</v>
      </c>
      <c r="J20" s="4"/>
    </row>
    <row r="21" spans="1:11" s="40" customFormat="1" ht="20" customHeight="1">
      <c r="A21" s="6"/>
      <c r="B21" s="4" t="s">
        <v>29</v>
      </c>
      <c r="C21" s="5">
        <f>(หลังริม!C21*2)+(หลังกลาง!C21*2)</f>
        <v>0</v>
      </c>
      <c r="D21" s="6" t="s">
        <v>30</v>
      </c>
      <c r="E21" s="11">
        <v>0</v>
      </c>
      <c r="F21" s="5">
        <f t="shared" si="5"/>
        <v>0</v>
      </c>
      <c r="G21" s="5">
        <v>0</v>
      </c>
      <c r="H21" s="29">
        <f t="shared" si="6"/>
        <v>0</v>
      </c>
      <c r="I21" s="49">
        <f t="shared" si="7"/>
        <v>0</v>
      </c>
      <c r="J21" s="4"/>
    </row>
    <row r="22" spans="1:11" s="40" customFormat="1" ht="20" customHeight="1">
      <c r="A22" s="198"/>
      <c r="B22" s="4" t="s">
        <v>31</v>
      </c>
      <c r="C22" s="5">
        <f>(หลังริม!C22*2)+(หลังกลาง!C22*2)</f>
        <v>0</v>
      </c>
      <c r="D22" s="6" t="s">
        <v>32</v>
      </c>
      <c r="E22" s="11">
        <v>0</v>
      </c>
      <c r="F22" s="5">
        <f t="shared" si="5"/>
        <v>0</v>
      </c>
      <c r="G22" s="5">
        <v>0</v>
      </c>
      <c r="H22" s="29">
        <f t="shared" si="6"/>
        <v>0</v>
      </c>
      <c r="I22" s="49">
        <f t="shared" si="7"/>
        <v>0</v>
      </c>
      <c r="J22" s="4"/>
    </row>
    <row r="23" spans="1:11" s="50" customFormat="1" ht="20" customHeight="1">
      <c r="A23" s="199"/>
      <c r="B23" s="12" t="s">
        <v>33</v>
      </c>
      <c r="C23" s="5">
        <f>(หลังริม!C23*2)+(หลังกลาง!C23*2)</f>
        <v>0</v>
      </c>
      <c r="D23" s="12"/>
      <c r="E23" s="100"/>
      <c r="F23" s="14">
        <f>SUM(F18:F22)</f>
        <v>11200</v>
      </c>
      <c r="G23" s="14"/>
      <c r="H23" s="14">
        <f t="shared" ref="H23:I23" si="8">SUM(H18:H22)</f>
        <v>0</v>
      </c>
      <c r="I23" s="14">
        <f t="shared" si="8"/>
        <v>11200</v>
      </c>
      <c r="J23" s="13"/>
      <c r="K23" s="151">
        <f>H23+F23</f>
        <v>11200</v>
      </c>
    </row>
    <row r="24" spans="1:11" s="40" customFormat="1" ht="20" customHeight="1">
      <c r="A24" s="198"/>
      <c r="B24" s="3" t="s">
        <v>34</v>
      </c>
      <c r="C24" s="5">
        <f>(หลังริม!C24*2)+(หลังกลาง!C24*2)</f>
        <v>0</v>
      </c>
      <c r="D24" s="6"/>
      <c r="E24" s="48"/>
      <c r="F24" s="4"/>
      <c r="G24" s="4"/>
      <c r="H24" s="4"/>
      <c r="I24" s="4"/>
      <c r="J24" s="4"/>
    </row>
    <row r="25" spans="1:11" s="40" customFormat="1" ht="20" customHeight="1">
      <c r="A25" s="198"/>
      <c r="B25" s="4" t="s">
        <v>35</v>
      </c>
      <c r="C25" s="5">
        <f>(หลังริม!C25*2)+(หลังกลาง!C25*2)</f>
        <v>10</v>
      </c>
      <c r="D25" s="6" t="s">
        <v>16</v>
      </c>
      <c r="E25" s="11">
        <v>1300</v>
      </c>
      <c r="F25" s="5">
        <f>E25*C25</f>
        <v>13000</v>
      </c>
      <c r="G25" s="5">
        <v>0</v>
      </c>
      <c r="H25" s="5">
        <f>G25*C25</f>
        <v>0</v>
      </c>
      <c r="I25" s="49">
        <f>H25+F25</f>
        <v>13000</v>
      </c>
      <c r="J25" s="4"/>
    </row>
    <row r="26" spans="1:11" s="40" customFormat="1" ht="20" customHeight="1">
      <c r="A26" s="198"/>
      <c r="B26" s="4" t="s">
        <v>36</v>
      </c>
      <c r="C26" s="5">
        <f>(หลังริม!C26*2)+(หลังกลาง!C26*2)</f>
        <v>36.666666666666664</v>
      </c>
      <c r="D26" s="6" t="s">
        <v>16</v>
      </c>
      <c r="E26" s="11">
        <v>1500</v>
      </c>
      <c r="F26" s="5">
        <f t="shared" ref="F26:F29" si="9">E26*C26</f>
        <v>55000</v>
      </c>
      <c r="G26" s="5">
        <v>0</v>
      </c>
      <c r="H26" s="5">
        <f t="shared" ref="H26:H29" si="10">G26*C26</f>
        <v>0</v>
      </c>
      <c r="I26" s="49">
        <f t="shared" ref="I26:I29" si="11">H26+F26</f>
        <v>55000</v>
      </c>
      <c r="J26" s="4"/>
    </row>
    <row r="27" spans="1:11" s="40" customFormat="1" ht="20" customHeight="1">
      <c r="A27" s="198"/>
      <c r="B27" s="4" t="s">
        <v>37</v>
      </c>
      <c r="C27" s="5">
        <f>(หลังริม!C27*2)+(หลังกลาง!C27*2)</f>
        <v>0</v>
      </c>
      <c r="D27" s="6" t="s">
        <v>16</v>
      </c>
      <c r="E27" s="11">
        <v>1600</v>
      </c>
      <c r="F27" s="5">
        <f t="shared" si="9"/>
        <v>0</v>
      </c>
      <c r="G27" s="5">
        <v>0</v>
      </c>
      <c r="H27" s="5">
        <f t="shared" si="10"/>
        <v>0</v>
      </c>
      <c r="I27" s="49">
        <f t="shared" si="11"/>
        <v>0</v>
      </c>
      <c r="J27" s="4"/>
    </row>
    <row r="28" spans="1:11" s="40" customFormat="1" ht="20" customHeight="1">
      <c r="A28" s="198"/>
      <c r="B28" s="4" t="s">
        <v>38</v>
      </c>
      <c r="C28" s="5">
        <f>(หลังริม!C28*2)+(หลังกลาง!C28*2)</f>
        <v>400</v>
      </c>
      <c r="D28" s="6" t="s">
        <v>32</v>
      </c>
      <c r="E28" s="11">
        <v>74.2</v>
      </c>
      <c r="F28" s="5">
        <f t="shared" si="9"/>
        <v>29680</v>
      </c>
      <c r="G28" s="5">
        <v>0</v>
      </c>
      <c r="H28" s="5">
        <f t="shared" si="10"/>
        <v>0</v>
      </c>
      <c r="I28" s="49">
        <f t="shared" si="11"/>
        <v>29680</v>
      </c>
      <c r="J28" s="4"/>
    </row>
    <row r="29" spans="1:11" s="40" customFormat="1" ht="20" customHeight="1">
      <c r="A29" s="198"/>
      <c r="B29" s="4" t="s">
        <v>286</v>
      </c>
      <c r="C29" s="5">
        <f>(หลังริม!C29*2)+(หลังกลาง!C29*2)</f>
        <v>400</v>
      </c>
      <c r="D29" s="6" t="s">
        <v>32</v>
      </c>
      <c r="E29" s="11">
        <v>0</v>
      </c>
      <c r="F29" s="5">
        <f t="shared" si="9"/>
        <v>0</v>
      </c>
      <c r="G29" s="223">
        <v>173.47</v>
      </c>
      <c r="H29" s="5">
        <f t="shared" si="10"/>
        <v>69388</v>
      </c>
      <c r="I29" s="49">
        <f t="shared" si="11"/>
        <v>69388</v>
      </c>
      <c r="J29" s="4"/>
    </row>
    <row r="30" spans="1:11" s="50" customFormat="1" ht="20" customHeight="1">
      <c r="A30" s="12"/>
      <c r="B30" s="12" t="s">
        <v>39</v>
      </c>
      <c r="C30" s="5">
        <f>(หลังริม!C30*2)+(หลังกลาง!C30*2)</f>
        <v>0</v>
      </c>
      <c r="D30" s="12"/>
      <c r="E30" s="100"/>
      <c r="F30" s="14">
        <f>SUM(F25:F29)</f>
        <v>97680</v>
      </c>
      <c r="G30" s="14"/>
      <c r="H30" s="14">
        <f t="shared" ref="H30:I30" si="12">SUM(H25:H29)</f>
        <v>69388</v>
      </c>
      <c r="I30" s="14">
        <f t="shared" si="12"/>
        <v>167068</v>
      </c>
      <c r="J30" s="13"/>
      <c r="K30" s="151">
        <f>H30+F30</f>
        <v>167068</v>
      </c>
    </row>
    <row r="31" spans="1:11" s="40" customFormat="1" ht="20" customHeight="1">
      <c r="A31" s="198"/>
      <c r="B31" s="3" t="s">
        <v>40</v>
      </c>
      <c r="C31" s="5">
        <f>(หลังริม!C31*2)+(หลังกลาง!C31*2)</f>
        <v>0</v>
      </c>
      <c r="D31" s="6"/>
      <c r="E31" s="48"/>
      <c r="F31" s="4"/>
      <c r="G31" s="8"/>
      <c r="H31" s="8"/>
      <c r="I31" s="8"/>
      <c r="J31" s="4"/>
    </row>
    <row r="32" spans="1:11" s="40" customFormat="1" ht="20" customHeight="1">
      <c r="A32" s="198"/>
      <c r="B32" s="4" t="s">
        <v>41</v>
      </c>
      <c r="C32" s="5">
        <f>(หลังริม!C32*2)+(หลังกลาง!C32*2)</f>
        <v>7.400000000000001E-2</v>
      </c>
      <c r="D32" s="6" t="s">
        <v>42</v>
      </c>
      <c r="E32" s="11">
        <v>64</v>
      </c>
      <c r="F32" s="5">
        <f>C32*1000/2.22*E32</f>
        <v>2133.3333333333335</v>
      </c>
      <c r="G32" s="5">
        <v>0</v>
      </c>
      <c r="H32" s="5">
        <f>G32*C32</f>
        <v>0</v>
      </c>
      <c r="I32" s="49">
        <f>H32+F32</f>
        <v>2133.3333333333335</v>
      </c>
      <c r="J32" s="4"/>
    </row>
    <row r="33" spans="1:11" s="40" customFormat="1" ht="20" customHeight="1">
      <c r="A33" s="198"/>
      <c r="B33" s="4" t="s">
        <v>43</v>
      </c>
      <c r="C33" s="5">
        <f>(หลังริม!C33*2)+(หลังกลาง!C33*2)</f>
        <v>0.21623333333333336</v>
      </c>
      <c r="D33" s="6" t="s">
        <v>42</v>
      </c>
      <c r="E33" s="11">
        <v>137</v>
      </c>
      <c r="F33" s="5">
        <f>C33*1000/4.99*E33</f>
        <v>5936.666666666667</v>
      </c>
      <c r="G33" s="5">
        <v>0</v>
      </c>
      <c r="H33" s="5">
        <f t="shared" ref="H33:H36" si="13">G33*C33</f>
        <v>0</v>
      </c>
      <c r="I33" s="49">
        <f t="shared" ref="I33:I36" si="14">H33+F33</f>
        <v>5936.666666666667</v>
      </c>
      <c r="J33" s="4"/>
    </row>
    <row r="34" spans="1:11" s="40" customFormat="1" ht="20" customHeight="1">
      <c r="A34" s="198"/>
      <c r="B34" s="4" t="s">
        <v>44</v>
      </c>
      <c r="C34" s="5">
        <f>(หลังริม!C34*2)+(หลังกลาง!C34*2)</f>
        <v>1.2728000000000002</v>
      </c>
      <c r="D34" s="6" t="s">
        <v>42</v>
      </c>
      <c r="E34" s="11">
        <v>240</v>
      </c>
      <c r="F34" s="5">
        <f>C34*1000/8.88*E34</f>
        <v>34400</v>
      </c>
      <c r="G34" s="5">
        <v>0</v>
      </c>
      <c r="H34" s="5">
        <f t="shared" si="13"/>
        <v>0</v>
      </c>
      <c r="I34" s="49">
        <f t="shared" si="14"/>
        <v>34400</v>
      </c>
      <c r="J34" s="4"/>
    </row>
    <row r="35" spans="1:11" s="40" customFormat="1" ht="20" customHeight="1">
      <c r="A35" s="198"/>
      <c r="B35" s="4" t="s">
        <v>45</v>
      </c>
      <c r="C35" s="5">
        <f>(หลังริม!C35*2)+(หลังกลาง!C35*2)</f>
        <v>0</v>
      </c>
      <c r="D35" s="6" t="s">
        <v>42</v>
      </c>
      <c r="E35" s="11">
        <v>425</v>
      </c>
      <c r="F35" s="5">
        <f>C35*1000/15.78*E35</f>
        <v>0</v>
      </c>
      <c r="G35" s="5">
        <v>0</v>
      </c>
      <c r="H35" s="5">
        <f t="shared" si="13"/>
        <v>0</v>
      </c>
      <c r="I35" s="49">
        <f t="shared" si="14"/>
        <v>0</v>
      </c>
      <c r="J35" s="4"/>
    </row>
    <row r="36" spans="1:11" s="40" customFormat="1" ht="20" customHeight="1">
      <c r="A36" s="198"/>
      <c r="B36" s="4" t="s">
        <v>46</v>
      </c>
      <c r="C36" s="5">
        <f>(หลังริม!C36*2)+(หลังกลาง!C36*2)</f>
        <v>0</v>
      </c>
      <c r="D36" s="6" t="s">
        <v>30</v>
      </c>
      <c r="E36" s="11">
        <v>0</v>
      </c>
      <c r="F36" s="5">
        <f t="shared" ref="F36" si="15">E36*C36</f>
        <v>0</v>
      </c>
      <c r="G36" s="5">
        <v>0</v>
      </c>
      <c r="H36" s="5">
        <f t="shared" si="13"/>
        <v>0</v>
      </c>
      <c r="I36" s="49">
        <f t="shared" si="14"/>
        <v>0</v>
      </c>
      <c r="J36" s="4"/>
    </row>
    <row r="37" spans="1:11" s="50" customFormat="1" ht="20" customHeight="1">
      <c r="A37" s="199"/>
      <c r="B37" s="12" t="s">
        <v>47</v>
      </c>
      <c r="C37" s="5">
        <f>(หลังริม!C37*2)+(หลังกลาง!C37*2)</f>
        <v>0</v>
      </c>
      <c r="D37" s="12"/>
      <c r="E37" s="21"/>
      <c r="F37" s="18">
        <f>SUM(F32:F36)</f>
        <v>42470</v>
      </c>
      <c r="G37" s="18"/>
      <c r="H37" s="18">
        <f t="shared" ref="H37:I37" si="16">SUM(H32:H36)</f>
        <v>0</v>
      </c>
      <c r="I37" s="18">
        <f t="shared" si="16"/>
        <v>42470</v>
      </c>
      <c r="J37" s="13"/>
      <c r="K37" s="151">
        <f>H37+F37</f>
        <v>42470</v>
      </c>
    </row>
    <row r="38" spans="1:11" s="40" customFormat="1" ht="20" customHeight="1">
      <c r="A38" s="198"/>
      <c r="B38" s="3" t="s">
        <v>48</v>
      </c>
      <c r="C38" s="5">
        <f>(หลังริม!C38*2)+(หลังกลาง!C38*2)</f>
        <v>0</v>
      </c>
      <c r="D38" s="6"/>
      <c r="E38" s="48"/>
      <c r="F38" s="4"/>
      <c r="G38" s="4"/>
      <c r="H38" s="4"/>
      <c r="I38" s="4"/>
      <c r="J38" s="4"/>
    </row>
    <row r="39" spans="1:11" s="40" customFormat="1" ht="20" customHeight="1">
      <c r="A39" s="198"/>
      <c r="B39" s="4" t="s">
        <v>43</v>
      </c>
      <c r="C39" s="5">
        <f>(หลังริม!C39*2)+(หลังกลาง!C39*2)</f>
        <v>0.19933333333333333</v>
      </c>
      <c r="D39" s="6" t="s">
        <v>42</v>
      </c>
      <c r="E39" s="11">
        <v>137</v>
      </c>
      <c r="F39" s="5">
        <f>C39*1000/4.99*E39</f>
        <v>5472.6786907147625</v>
      </c>
      <c r="G39" s="20">
        <v>0</v>
      </c>
      <c r="H39" s="5">
        <f>G39*C39</f>
        <v>0</v>
      </c>
      <c r="I39" s="49">
        <f>H39+F39</f>
        <v>5472.6786907147625</v>
      </c>
      <c r="J39" s="4"/>
    </row>
    <row r="40" spans="1:11" s="40" customFormat="1" ht="20" customHeight="1">
      <c r="A40" s="198"/>
      <c r="B40" s="4" t="s">
        <v>44</v>
      </c>
      <c r="C40" s="5">
        <f>(หลังริม!C40*2)+(หลังกลาง!C40*2)</f>
        <v>0.35333333333333333</v>
      </c>
      <c r="D40" s="6" t="s">
        <v>42</v>
      </c>
      <c r="E40" s="11">
        <v>240</v>
      </c>
      <c r="F40" s="5">
        <f>C40*1000/8.88*E40</f>
        <v>9549.5495495495488</v>
      </c>
      <c r="G40" s="20">
        <v>0</v>
      </c>
      <c r="H40" s="5">
        <f t="shared" ref="H40:H43" si="17">G40*C40</f>
        <v>0</v>
      </c>
      <c r="I40" s="49">
        <f>H40+F40</f>
        <v>9549.5495495495488</v>
      </c>
      <c r="J40" s="4"/>
    </row>
    <row r="41" spans="1:11" s="40" customFormat="1" ht="20" customHeight="1">
      <c r="A41" s="6"/>
      <c r="B41" s="4" t="s">
        <v>111</v>
      </c>
      <c r="C41" s="5">
        <f>(หลังริม!C41*2)+(หลังกลาง!C41*2)</f>
        <v>39.333333333333336</v>
      </c>
      <c r="D41" s="6" t="s">
        <v>16</v>
      </c>
      <c r="E41" s="11">
        <v>1600</v>
      </c>
      <c r="F41" s="5">
        <f>E41*C41</f>
        <v>62933.333333333336</v>
      </c>
      <c r="G41" s="20">
        <v>0</v>
      </c>
      <c r="H41" s="5">
        <f t="shared" si="17"/>
        <v>0</v>
      </c>
      <c r="I41" s="49">
        <f t="shared" ref="I41:I43" si="18">H41+F41</f>
        <v>62933.333333333336</v>
      </c>
      <c r="J41" s="4"/>
    </row>
    <row r="42" spans="1:11" s="40" customFormat="1" ht="20" customHeight="1">
      <c r="A42" s="6"/>
      <c r="B42" s="4" t="s">
        <v>49</v>
      </c>
      <c r="C42" s="5">
        <f>(หลังริม!C42*2)+(หลังกลาง!C42*2)</f>
        <v>400</v>
      </c>
      <c r="D42" s="6" t="s">
        <v>32</v>
      </c>
      <c r="E42" s="11">
        <v>74.2</v>
      </c>
      <c r="F42" s="5">
        <f>E42*C42</f>
        <v>29680</v>
      </c>
      <c r="G42" s="20">
        <v>0</v>
      </c>
      <c r="H42" s="5">
        <f t="shared" si="17"/>
        <v>0</v>
      </c>
      <c r="I42" s="49">
        <f t="shared" si="18"/>
        <v>29680</v>
      </c>
      <c r="J42" s="4"/>
    </row>
    <row r="43" spans="1:11" s="40" customFormat="1" ht="20" customHeight="1">
      <c r="A43" s="198"/>
      <c r="B43" s="4" t="s">
        <v>287</v>
      </c>
      <c r="C43" s="5">
        <f>(หลังริม!C43*2)+(หลังกลาง!C43*2)</f>
        <v>400</v>
      </c>
      <c r="D43" s="6" t="s">
        <v>32</v>
      </c>
      <c r="E43" s="11">
        <v>0</v>
      </c>
      <c r="F43" s="5">
        <v>0</v>
      </c>
      <c r="G43" s="20">
        <v>115</v>
      </c>
      <c r="H43" s="5">
        <f t="shared" si="17"/>
        <v>46000</v>
      </c>
      <c r="I43" s="49">
        <f t="shared" si="18"/>
        <v>46000</v>
      </c>
      <c r="J43" s="4"/>
    </row>
    <row r="44" spans="1:11" s="50" customFormat="1" ht="20" customHeight="1" thickBot="1">
      <c r="A44" s="12"/>
      <c r="B44" s="12" t="s">
        <v>50</v>
      </c>
      <c r="C44" s="5">
        <f>(หลังริม!C44*2)+(หลังกลาง!C44*2)</f>
        <v>0</v>
      </c>
      <c r="D44" s="12"/>
      <c r="E44" s="21"/>
      <c r="F44" s="18">
        <f>SUM(F39:F43)</f>
        <v>107635.56157359765</v>
      </c>
      <c r="G44" s="18"/>
      <c r="H44" s="18">
        <f t="shared" ref="H44:I44" si="19">SUM(H39:H43)</f>
        <v>46000</v>
      </c>
      <c r="I44" s="18">
        <f t="shared" si="19"/>
        <v>153635.56157359766</v>
      </c>
      <c r="J44" s="13"/>
      <c r="K44" s="151">
        <f>H44+F44</f>
        <v>153635.56157359766</v>
      </c>
    </row>
    <row r="45" spans="1:11" s="40" customFormat="1" ht="20" customHeight="1" thickTop="1">
      <c r="A45" s="200"/>
      <c r="B45" s="22" t="s">
        <v>51</v>
      </c>
      <c r="C45" s="5">
        <f>(หลังริม!C45*2)+(หลังกลาง!C45*2)</f>
        <v>0</v>
      </c>
      <c r="D45" s="187"/>
      <c r="E45" s="51"/>
      <c r="F45" s="23"/>
      <c r="G45" s="23"/>
      <c r="H45" s="23"/>
      <c r="I45" s="23"/>
      <c r="J45" s="23"/>
    </row>
    <row r="46" spans="1:11" s="40" customFormat="1" ht="20" customHeight="1">
      <c r="A46" s="198"/>
      <c r="B46" s="4" t="s">
        <v>52</v>
      </c>
      <c r="C46" s="5">
        <f>(หลังริม!C46*2)+(หลังกลาง!C46*2)</f>
        <v>8</v>
      </c>
      <c r="D46" s="6" t="s">
        <v>53</v>
      </c>
      <c r="E46" s="11">
        <v>225</v>
      </c>
      <c r="F46" s="5">
        <f>E46*C46</f>
        <v>1800</v>
      </c>
      <c r="G46" s="20">
        <v>0</v>
      </c>
      <c r="H46" s="5">
        <f>G46*C46</f>
        <v>0</v>
      </c>
      <c r="I46" s="49">
        <f>H46+F46</f>
        <v>1800</v>
      </c>
      <c r="J46" s="24"/>
    </row>
    <row r="47" spans="1:11" s="40" customFormat="1" ht="20" customHeight="1">
      <c r="A47" s="198"/>
      <c r="B47" s="4" t="s">
        <v>54</v>
      </c>
      <c r="C47" s="5">
        <f>(หลังริม!C47*2)+(หลังกลาง!C47*2)</f>
        <v>48.666666666666664</v>
      </c>
      <c r="D47" s="6" t="s">
        <v>53</v>
      </c>
      <c r="E47" s="11">
        <v>500</v>
      </c>
      <c r="F47" s="5">
        <f t="shared" ref="F47:F64" si="20">E47*C47</f>
        <v>24333.333333333332</v>
      </c>
      <c r="G47" s="20">
        <v>0</v>
      </c>
      <c r="H47" s="5">
        <f t="shared" ref="H47:H64" si="21">G47*C47</f>
        <v>0</v>
      </c>
      <c r="I47" s="49">
        <f t="shared" ref="I47:I64" si="22">H47+F47</f>
        <v>24333.333333333332</v>
      </c>
      <c r="J47" s="24"/>
    </row>
    <row r="48" spans="1:11" s="40" customFormat="1" ht="20" customHeight="1">
      <c r="A48" s="6"/>
      <c r="B48" s="4" t="s">
        <v>112</v>
      </c>
      <c r="C48" s="5">
        <f>(หลังริม!C48*2)+(หลังกลาง!C48*2)</f>
        <v>30.666666666666668</v>
      </c>
      <c r="D48" s="6" t="s">
        <v>53</v>
      </c>
      <c r="E48" s="11">
        <v>650</v>
      </c>
      <c r="F48" s="5">
        <f t="shared" si="20"/>
        <v>19933.333333333336</v>
      </c>
      <c r="G48" s="20">
        <v>0</v>
      </c>
      <c r="H48" s="5">
        <f t="shared" si="21"/>
        <v>0</v>
      </c>
      <c r="I48" s="49">
        <f t="shared" si="22"/>
        <v>19933.333333333336</v>
      </c>
      <c r="J48" s="24"/>
    </row>
    <row r="49" spans="1:10" s="40" customFormat="1" ht="20" customHeight="1">
      <c r="A49" s="198"/>
      <c r="B49" s="4" t="s">
        <v>55</v>
      </c>
      <c r="C49" s="5">
        <f>(หลังริม!C49*2)+(หลังกลาง!C49*2)</f>
        <v>18.666666666666668</v>
      </c>
      <c r="D49" s="6" t="s">
        <v>53</v>
      </c>
      <c r="E49" s="11">
        <v>740</v>
      </c>
      <c r="F49" s="5">
        <f t="shared" si="20"/>
        <v>13813.333333333334</v>
      </c>
      <c r="G49" s="20">
        <v>0</v>
      </c>
      <c r="H49" s="5">
        <f t="shared" si="21"/>
        <v>0</v>
      </c>
      <c r="I49" s="49">
        <f t="shared" si="22"/>
        <v>13813.333333333334</v>
      </c>
      <c r="J49" s="24"/>
    </row>
    <row r="50" spans="1:10" s="40" customFormat="1" ht="20" customHeight="1">
      <c r="A50" s="198"/>
      <c r="B50" s="4" t="s">
        <v>56</v>
      </c>
      <c r="C50" s="5">
        <f>(หลังริม!C50*2)+(หลังกลาง!C50*2)</f>
        <v>1.3333333333333333</v>
      </c>
      <c r="D50" s="6" t="s">
        <v>53</v>
      </c>
      <c r="E50" s="11">
        <v>1900</v>
      </c>
      <c r="F50" s="5">
        <f t="shared" si="20"/>
        <v>2533.333333333333</v>
      </c>
      <c r="G50" s="20">
        <v>0</v>
      </c>
      <c r="H50" s="5">
        <f t="shared" si="21"/>
        <v>0</v>
      </c>
      <c r="I50" s="49">
        <f t="shared" si="22"/>
        <v>2533.333333333333</v>
      </c>
      <c r="J50" s="24"/>
    </row>
    <row r="51" spans="1:10" s="40" customFormat="1" ht="20" customHeight="1">
      <c r="A51" s="198"/>
      <c r="B51" s="4" t="s">
        <v>57</v>
      </c>
      <c r="C51" s="5">
        <f>(หลังริม!C51*2)+(หลังกลาง!C51*2)</f>
        <v>0.66666666666666663</v>
      </c>
      <c r="D51" s="6" t="s">
        <v>53</v>
      </c>
      <c r="E51" s="11">
        <v>905</v>
      </c>
      <c r="F51" s="5">
        <f t="shared" si="20"/>
        <v>603.33333333333326</v>
      </c>
      <c r="G51" s="20">
        <v>0</v>
      </c>
      <c r="H51" s="5">
        <f t="shared" si="21"/>
        <v>0</v>
      </c>
      <c r="I51" s="49">
        <f t="shared" si="22"/>
        <v>603.33333333333326</v>
      </c>
      <c r="J51" s="24"/>
    </row>
    <row r="52" spans="1:10" s="40" customFormat="1" ht="20" customHeight="1">
      <c r="A52" s="198"/>
      <c r="B52" s="4" t="s">
        <v>58</v>
      </c>
      <c r="C52" s="5">
        <f>(หลังริม!C52*2)+(หลังกลาง!C52*2)</f>
        <v>5.333333333333333</v>
      </c>
      <c r="D52" s="6" t="s">
        <v>53</v>
      </c>
      <c r="E52" s="11">
        <v>1040</v>
      </c>
      <c r="F52" s="5">
        <f t="shared" si="20"/>
        <v>5546.6666666666661</v>
      </c>
      <c r="G52" s="20">
        <v>0</v>
      </c>
      <c r="H52" s="5">
        <f t="shared" si="21"/>
        <v>0</v>
      </c>
      <c r="I52" s="49">
        <f t="shared" si="22"/>
        <v>5546.6666666666661</v>
      </c>
      <c r="J52" s="24"/>
    </row>
    <row r="53" spans="1:10" s="40" customFormat="1" ht="20" customHeight="1">
      <c r="A53" s="198"/>
      <c r="B53" s="4" t="s">
        <v>59</v>
      </c>
      <c r="C53" s="5">
        <f>(หลังริม!C53*2)+(หลังกลาง!C53*2)</f>
        <v>4</v>
      </c>
      <c r="D53" s="6" t="s">
        <v>60</v>
      </c>
      <c r="E53" s="11">
        <v>109</v>
      </c>
      <c r="F53" s="5">
        <f t="shared" si="20"/>
        <v>436</v>
      </c>
      <c r="G53" s="20">
        <v>0</v>
      </c>
      <c r="H53" s="5">
        <f t="shared" si="21"/>
        <v>0</v>
      </c>
      <c r="I53" s="49">
        <f t="shared" si="22"/>
        <v>436</v>
      </c>
      <c r="J53" s="24"/>
    </row>
    <row r="54" spans="1:10" s="40" customFormat="1" ht="20" customHeight="1">
      <c r="A54" s="6"/>
      <c r="B54" s="4" t="s">
        <v>61</v>
      </c>
      <c r="C54" s="5">
        <f>(หลังริม!C54*2)+(หลังกลาง!C54*2)</f>
        <v>9.3333333333333339</v>
      </c>
      <c r="D54" s="6" t="s">
        <v>60</v>
      </c>
      <c r="E54" s="11">
        <v>53</v>
      </c>
      <c r="F54" s="5">
        <f t="shared" si="20"/>
        <v>494.66666666666669</v>
      </c>
      <c r="G54" s="20">
        <v>0</v>
      </c>
      <c r="H54" s="5">
        <f t="shared" si="21"/>
        <v>0</v>
      </c>
      <c r="I54" s="49">
        <f t="shared" si="22"/>
        <v>494.66666666666669</v>
      </c>
      <c r="J54" s="24"/>
    </row>
    <row r="55" spans="1:10" s="40" customFormat="1" ht="20" customHeight="1">
      <c r="A55" s="6"/>
      <c r="B55" s="4" t="s">
        <v>62</v>
      </c>
      <c r="C55" s="5">
        <f>(หลังริม!C55*2)+(หลังกลาง!C55*2)</f>
        <v>0.66666666666666663</v>
      </c>
      <c r="D55" s="6" t="s">
        <v>60</v>
      </c>
      <c r="E55" s="11">
        <v>670</v>
      </c>
      <c r="F55" s="5">
        <f t="shared" si="20"/>
        <v>446.66666666666663</v>
      </c>
      <c r="G55" s="20">
        <v>0</v>
      </c>
      <c r="H55" s="5">
        <f t="shared" si="21"/>
        <v>0</v>
      </c>
      <c r="I55" s="49">
        <f t="shared" si="22"/>
        <v>446.66666666666663</v>
      </c>
      <c r="J55" s="24"/>
    </row>
    <row r="56" spans="1:10" s="40" customFormat="1" ht="20" customHeight="1">
      <c r="A56" s="198"/>
      <c r="B56" s="4" t="s">
        <v>63</v>
      </c>
      <c r="C56" s="5">
        <f>(หลังริม!C56*2)+(หลังกลาง!C56*2)</f>
        <v>0.66666666666666663</v>
      </c>
      <c r="D56" s="6" t="s">
        <v>64</v>
      </c>
      <c r="E56" s="11">
        <v>1500</v>
      </c>
      <c r="F56" s="5">
        <f t="shared" si="20"/>
        <v>1000</v>
      </c>
      <c r="G56" s="20">
        <v>0</v>
      </c>
      <c r="H56" s="5">
        <f t="shared" si="21"/>
        <v>0</v>
      </c>
      <c r="I56" s="49">
        <f t="shared" si="22"/>
        <v>1000</v>
      </c>
      <c r="J56" s="4"/>
    </row>
    <row r="57" spans="1:10" s="40" customFormat="1" ht="20" customHeight="1">
      <c r="A57" s="198"/>
      <c r="B57" s="4" t="s">
        <v>65</v>
      </c>
      <c r="C57" s="5">
        <f>(หลังริม!C57*2)+(หลังกลาง!C57*2)</f>
        <v>4</v>
      </c>
      <c r="D57" s="6" t="s">
        <v>66</v>
      </c>
      <c r="E57" s="11">
        <v>1189</v>
      </c>
      <c r="F57" s="5">
        <f t="shared" si="20"/>
        <v>4756</v>
      </c>
      <c r="G57" s="20">
        <v>0</v>
      </c>
      <c r="H57" s="5">
        <f t="shared" si="21"/>
        <v>0</v>
      </c>
      <c r="I57" s="49">
        <f t="shared" si="22"/>
        <v>4756</v>
      </c>
      <c r="J57" s="4"/>
    </row>
    <row r="58" spans="1:10" s="40" customFormat="1" ht="20" customHeight="1">
      <c r="A58" s="198"/>
      <c r="B58" s="4" t="s">
        <v>67</v>
      </c>
      <c r="C58" s="5">
        <f>(หลังริม!C58*2)+(หลังกลาง!C58*2)</f>
        <v>6.666666666666667</v>
      </c>
      <c r="D58" s="6" t="s">
        <v>66</v>
      </c>
      <c r="E58" s="11">
        <v>499</v>
      </c>
      <c r="F58" s="5">
        <f t="shared" si="20"/>
        <v>3326.666666666667</v>
      </c>
      <c r="G58" s="20">
        <v>0</v>
      </c>
      <c r="H58" s="5">
        <f t="shared" si="21"/>
        <v>0</v>
      </c>
      <c r="I58" s="49">
        <f t="shared" si="22"/>
        <v>3326.666666666667</v>
      </c>
      <c r="J58" s="4"/>
    </row>
    <row r="59" spans="1:10" s="40" customFormat="1" ht="20" customHeight="1">
      <c r="A59" s="198"/>
      <c r="B59" s="4" t="s">
        <v>68</v>
      </c>
      <c r="C59" s="5">
        <f>(หลังริม!C59*2)+(หลังกลาง!C59*2)</f>
        <v>6.666666666666667</v>
      </c>
      <c r="D59" s="16" t="s">
        <v>69</v>
      </c>
      <c r="E59" s="11">
        <v>98</v>
      </c>
      <c r="F59" s="5">
        <f t="shared" si="20"/>
        <v>653.33333333333337</v>
      </c>
      <c r="G59" s="20">
        <v>0</v>
      </c>
      <c r="H59" s="5">
        <f t="shared" si="21"/>
        <v>0</v>
      </c>
      <c r="I59" s="49">
        <f t="shared" si="22"/>
        <v>653.33333333333337</v>
      </c>
      <c r="J59" s="4"/>
    </row>
    <row r="60" spans="1:10" s="40" customFormat="1" ht="20" customHeight="1">
      <c r="A60" s="198"/>
      <c r="B60" s="39" t="s">
        <v>255</v>
      </c>
      <c r="C60" s="5">
        <f>(หลังริม!C60*2)+(หลังกลาง!C60*2)</f>
        <v>297.62</v>
      </c>
      <c r="D60" s="27" t="s">
        <v>263</v>
      </c>
      <c r="E60" s="28">
        <v>0</v>
      </c>
      <c r="F60" s="5">
        <f t="shared" si="20"/>
        <v>0</v>
      </c>
      <c r="G60" s="11">
        <v>135</v>
      </c>
      <c r="H60" s="5">
        <f t="shared" si="21"/>
        <v>40178.699999999997</v>
      </c>
      <c r="I60" s="49">
        <f t="shared" si="22"/>
        <v>40178.699999999997</v>
      </c>
      <c r="J60" s="24"/>
    </row>
    <row r="61" spans="1:10" s="40" customFormat="1" ht="20" customHeight="1">
      <c r="A61" s="198"/>
      <c r="B61" s="4" t="s">
        <v>266</v>
      </c>
      <c r="C61" s="5">
        <f>(หลังริม!C61*2)+(หลังกลาง!C61*2)</f>
        <v>2</v>
      </c>
      <c r="D61" s="31" t="s">
        <v>264</v>
      </c>
      <c r="E61" s="28">
        <v>0</v>
      </c>
      <c r="F61" s="5">
        <f t="shared" si="20"/>
        <v>0</v>
      </c>
      <c r="G61" s="32">
        <v>1000</v>
      </c>
      <c r="H61" s="5">
        <f t="shared" si="21"/>
        <v>2000</v>
      </c>
      <c r="I61" s="49">
        <f t="shared" si="22"/>
        <v>2000</v>
      </c>
      <c r="J61" s="24"/>
    </row>
    <row r="62" spans="1:10" s="40" customFormat="1" ht="20" customHeight="1">
      <c r="A62" s="198"/>
      <c r="B62" s="4" t="s">
        <v>258</v>
      </c>
      <c r="C62" s="5">
        <f>(หลังริม!C62*2)+(หลังกลาง!C62*2)</f>
        <v>7.333333333333333</v>
      </c>
      <c r="D62" s="31" t="s">
        <v>21</v>
      </c>
      <c r="E62" s="28">
        <v>0</v>
      </c>
      <c r="F62" s="5">
        <f t="shared" si="20"/>
        <v>0</v>
      </c>
      <c r="G62" s="33">
        <v>300</v>
      </c>
      <c r="H62" s="5">
        <f t="shared" si="21"/>
        <v>2200</v>
      </c>
      <c r="I62" s="49">
        <f t="shared" si="22"/>
        <v>2200</v>
      </c>
      <c r="J62" s="24"/>
    </row>
    <row r="63" spans="1:10" s="40" customFormat="1" ht="20" customHeight="1">
      <c r="A63" s="6"/>
      <c r="B63" s="4" t="s">
        <v>267</v>
      </c>
      <c r="C63" s="5">
        <f>(หลังริม!C63*2)+(หลังกลาง!C63*2)</f>
        <v>5.333333333333333</v>
      </c>
      <c r="D63" s="31" t="s">
        <v>21</v>
      </c>
      <c r="E63" s="28">
        <v>0</v>
      </c>
      <c r="F63" s="5">
        <f t="shared" si="20"/>
        <v>0</v>
      </c>
      <c r="G63" s="11">
        <v>500</v>
      </c>
      <c r="H63" s="5">
        <f t="shared" si="21"/>
        <v>2666.6666666666665</v>
      </c>
      <c r="I63" s="49">
        <f t="shared" si="22"/>
        <v>2666.6666666666665</v>
      </c>
      <c r="J63" s="24"/>
    </row>
    <row r="64" spans="1:10" s="40" customFormat="1" ht="20" customHeight="1">
      <c r="A64" s="6"/>
      <c r="B64" s="39" t="s">
        <v>268</v>
      </c>
      <c r="C64" s="5">
        <f>(หลังริม!C64*2)+(หลังกลาง!C64*2)</f>
        <v>16</v>
      </c>
      <c r="D64" s="34" t="s">
        <v>123</v>
      </c>
      <c r="E64" s="28">
        <v>0</v>
      </c>
      <c r="F64" s="5">
        <f t="shared" si="20"/>
        <v>0</v>
      </c>
      <c r="G64" s="11">
        <v>80</v>
      </c>
      <c r="H64" s="5">
        <f t="shared" si="21"/>
        <v>1280</v>
      </c>
      <c r="I64" s="49">
        <f t="shared" si="22"/>
        <v>1280</v>
      </c>
      <c r="J64" s="24"/>
    </row>
    <row r="65" spans="1:11" s="50" customFormat="1" ht="20" customHeight="1">
      <c r="A65" s="199"/>
      <c r="B65" s="12" t="s">
        <v>70</v>
      </c>
      <c r="C65" s="5">
        <f>(หลังริม!C65*2)+(หลังกลาง!C65*2)</f>
        <v>0</v>
      </c>
      <c r="D65" s="12"/>
      <c r="E65" s="100"/>
      <c r="F65" s="14">
        <f>SUM(F46:F64)</f>
        <v>79676.666666666686</v>
      </c>
      <c r="G65" s="14"/>
      <c r="H65" s="14">
        <f t="shared" ref="H65:I65" si="23">SUM(H46:H64)</f>
        <v>48325.366666666661</v>
      </c>
      <c r="I65" s="14">
        <f t="shared" si="23"/>
        <v>128002.03333333335</v>
      </c>
      <c r="J65" s="13"/>
      <c r="K65" s="151">
        <f>H65+F65</f>
        <v>128002.03333333335</v>
      </c>
    </row>
    <row r="66" spans="1:11" s="152" customFormat="1" ht="20" customHeight="1">
      <c r="A66" s="211">
        <v>1</v>
      </c>
      <c r="B66" s="36" t="s">
        <v>71</v>
      </c>
      <c r="C66" s="5">
        <f>(หลังริม!C66*2)+(หลังกลาง!C66*2)</f>
        <v>0</v>
      </c>
      <c r="D66" s="36" t="s">
        <v>11</v>
      </c>
      <c r="E66" s="37"/>
      <c r="F66" s="37">
        <f>F12+F16+F23+F30+F37+F44+F65</f>
        <v>443655.56157359766</v>
      </c>
      <c r="G66" s="37"/>
      <c r="H66" s="37">
        <f t="shared" ref="H66:I66" si="24">H12+H16+H23+H30+H37+H44+H65</f>
        <v>192013.36666666667</v>
      </c>
      <c r="I66" s="37">
        <f t="shared" si="24"/>
        <v>635668.92824026442</v>
      </c>
      <c r="J66" s="38"/>
      <c r="K66" s="151">
        <f>H66+F66</f>
        <v>635668.9282402643</v>
      </c>
    </row>
    <row r="67" spans="1:11" s="91" customFormat="1" ht="20" customHeight="1" thickBot="1">
      <c r="A67" s="205"/>
      <c r="B67" s="87"/>
      <c r="C67" s="5">
        <f>(หลังริม!C67*2)+(หลังกลาง!C67*2)</f>
        <v>0</v>
      </c>
      <c r="D67" s="87"/>
      <c r="E67" s="88"/>
      <c r="F67" s="88"/>
      <c r="G67" s="88"/>
      <c r="H67" s="88"/>
      <c r="I67" s="153"/>
      <c r="J67" s="89"/>
    </row>
    <row r="68" spans="1:11" s="69" customFormat="1" ht="20" customHeight="1" thickTop="1">
      <c r="A68" s="203">
        <v>2</v>
      </c>
      <c r="B68" s="66" t="s">
        <v>72</v>
      </c>
      <c r="C68" s="5">
        <f>(หลังริม!C68*2)+(หลังกลาง!C68*2)</f>
        <v>0</v>
      </c>
      <c r="D68" s="188"/>
      <c r="E68" s="68"/>
      <c r="F68" s="67"/>
      <c r="G68" s="67"/>
      <c r="H68" s="67"/>
      <c r="I68" s="67"/>
      <c r="J68" s="67"/>
    </row>
    <row r="69" spans="1:11" s="40" customFormat="1" ht="20" customHeight="1">
      <c r="A69" s="198"/>
      <c r="B69" s="3" t="s">
        <v>73</v>
      </c>
      <c r="C69" s="5">
        <f>(หลังริม!C69*2)+(หลังกลาง!C69*2)</f>
        <v>0</v>
      </c>
      <c r="D69" s="6"/>
      <c r="E69" s="48"/>
      <c r="F69" s="4"/>
      <c r="G69" s="4"/>
      <c r="H69" s="4"/>
      <c r="I69" s="4"/>
      <c r="J69" s="4"/>
    </row>
    <row r="70" spans="1:11" s="40" customFormat="1" ht="20" customHeight="1">
      <c r="A70" s="198"/>
      <c r="B70" s="4" t="s">
        <v>74</v>
      </c>
      <c r="C70" s="5">
        <f>(หลังริม!C70*2)+(หลังกลาง!C70*2)</f>
        <v>20</v>
      </c>
      <c r="D70" s="6" t="s">
        <v>53</v>
      </c>
      <c r="E70" s="11">
        <v>1090</v>
      </c>
      <c r="F70" s="5">
        <f>E70*C70</f>
        <v>21800</v>
      </c>
      <c r="G70" s="20">
        <v>0</v>
      </c>
      <c r="H70" s="5">
        <f>G70*C70</f>
        <v>0</v>
      </c>
      <c r="I70" s="49">
        <f>H70+F70</f>
        <v>21800</v>
      </c>
      <c r="J70" s="4"/>
    </row>
    <row r="71" spans="1:11" s="40" customFormat="1" ht="20" customHeight="1">
      <c r="A71" s="198"/>
      <c r="B71" s="4" t="s">
        <v>75</v>
      </c>
      <c r="C71" s="5">
        <f>(หลังริม!C71*2)+(หลังกลาง!C71*2)</f>
        <v>8</v>
      </c>
      <c r="D71" s="6" t="s">
        <v>53</v>
      </c>
      <c r="E71" s="11">
        <v>510</v>
      </c>
      <c r="F71" s="5">
        <f t="shared" ref="F71:F95" si="25">E71*C71</f>
        <v>4080</v>
      </c>
      <c r="G71" s="20">
        <v>0</v>
      </c>
      <c r="H71" s="5">
        <f t="shared" ref="H71:H95" si="26">G71*C71</f>
        <v>0</v>
      </c>
      <c r="I71" s="49">
        <f t="shared" ref="I71:I95" si="27">H71+F71</f>
        <v>4080</v>
      </c>
      <c r="J71" s="4"/>
    </row>
    <row r="72" spans="1:11" s="40" customFormat="1" ht="20" customHeight="1">
      <c r="A72" s="6"/>
      <c r="B72" s="4" t="s">
        <v>76</v>
      </c>
      <c r="C72" s="5">
        <f>(หลังริม!C72*2)+(หลังกลาง!C72*2)</f>
        <v>4</v>
      </c>
      <c r="D72" s="6" t="s">
        <v>53</v>
      </c>
      <c r="E72" s="11">
        <v>234</v>
      </c>
      <c r="F72" s="5">
        <f t="shared" si="25"/>
        <v>936</v>
      </c>
      <c r="G72" s="20">
        <v>0</v>
      </c>
      <c r="H72" s="5">
        <f t="shared" si="26"/>
        <v>0</v>
      </c>
      <c r="I72" s="49">
        <f t="shared" si="27"/>
        <v>936</v>
      </c>
      <c r="J72" s="4"/>
    </row>
    <row r="73" spans="1:11" s="40" customFormat="1" ht="20" customHeight="1">
      <c r="A73" s="198"/>
      <c r="B73" s="4" t="s">
        <v>77</v>
      </c>
      <c r="C73" s="5">
        <f>(หลังริม!C73*2)+(หลังกลาง!C73*2)</f>
        <v>8</v>
      </c>
      <c r="D73" s="6" t="s">
        <v>53</v>
      </c>
      <c r="E73" s="11">
        <v>144</v>
      </c>
      <c r="F73" s="5">
        <f t="shared" si="25"/>
        <v>1152</v>
      </c>
      <c r="G73" s="20">
        <v>0</v>
      </c>
      <c r="H73" s="5">
        <f t="shared" si="26"/>
        <v>0</v>
      </c>
      <c r="I73" s="49">
        <f t="shared" si="27"/>
        <v>1152</v>
      </c>
      <c r="J73" s="4"/>
    </row>
    <row r="74" spans="1:11" s="40" customFormat="1" ht="20" customHeight="1">
      <c r="A74" s="198"/>
      <c r="B74" s="4" t="s">
        <v>78</v>
      </c>
      <c r="C74" s="5">
        <f>(หลังริม!C74*2)+(หลังกลาง!C74*2)</f>
        <v>4</v>
      </c>
      <c r="D74" s="6" t="s">
        <v>53</v>
      </c>
      <c r="E74" s="11">
        <v>53</v>
      </c>
      <c r="F74" s="5">
        <f t="shared" si="25"/>
        <v>212</v>
      </c>
      <c r="G74" s="20">
        <v>0</v>
      </c>
      <c r="H74" s="5">
        <f t="shared" si="26"/>
        <v>0</v>
      </c>
      <c r="I74" s="49">
        <f t="shared" si="27"/>
        <v>212</v>
      </c>
      <c r="J74" s="4"/>
    </row>
    <row r="75" spans="1:11" s="40" customFormat="1" ht="20" customHeight="1">
      <c r="A75" s="6"/>
      <c r="B75" s="4" t="s">
        <v>79</v>
      </c>
      <c r="C75" s="5">
        <f>(หลังริม!C75*2)+(หลังกลาง!C75*2)</f>
        <v>4</v>
      </c>
      <c r="D75" s="6" t="s">
        <v>53</v>
      </c>
      <c r="E75" s="11">
        <v>48</v>
      </c>
      <c r="F75" s="5">
        <f t="shared" si="25"/>
        <v>192</v>
      </c>
      <c r="G75" s="20">
        <v>0</v>
      </c>
      <c r="H75" s="5">
        <f t="shared" si="26"/>
        <v>0</v>
      </c>
      <c r="I75" s="49">
        <f t="shared" si="27"/>
        <v>192</v>
      </c>
      <c r="J75" s="4"/>
    </row>
    <row r="76" spans="1:11" s="40" customFormat="1" ht="20" customHeight="1">
      <c r="A76" s="6"/>
      <c r="B76" s="4" t="s">
        <v>80</v>
      </c>
      <c r="C76" s="5">
        <f>(หลังริม!C76*2)+(หลังกลาง!C76*2)</f>
        <v>4</v>
      </c>
      <c r="D76" s="6" t="s">
        <v>53</v>
      </c>
      <c r="E76" s="11">
        <v>64</v>
      </c>
      <c r="F76" s="5">
        <f t="shared" si="25"/>
        <v>256</v>
      </c>
      <c r="G76" s="20">
        <v>0</v>
      </c>
      <c r="H76" s="5">
        <f t="shared" si="26"/>
        <v>0</v>
      </c>
      <c r="I76" s="49">
        <f t="shared" si="27"/>
        <v>256</v>
      </c>
      <c r="J76" s="4"/>
    </row>
    <row r="77" spans="1:11" s="40" customFormat="1" ht="20" customHeight="1">
      <c r="A77" s="198"/>
      <c r="B77" s="4" t="s">
        <v>81</v>
      </c>
      <c r="C77" s="5">
        <f>(หลังริม!C77*2)+(หลังกลาง!C77*2)</f>
        <v>4</v>
      </c>
      <c r="D77" s="6" t="s">
        <v>82</v>
      </c>
      <c r="E77" s="11">
        <v>84.6</v>
      </c>
      <c r="F77" s="5">
        <f t="shared" si="25"/>
        <v>338.4</v>
      </c>
      <c r="G77" s="20">
        <v>0</v>
      </c>
      <c r="H77" s="5">
        <f t="shared" si="26"/>
        <v>0</v>
      </c>
      <c r="I77" s="49">
        <f t="shared" si="27"/>
        <v>338.4</v>
      </c>
      <c r="J77" s="4"/>
    </row>
    <row r="78" spans="1:11" s="40" customFormat="1" ht="20" customHeight="1">
      <c r="A78" s="198"/>
      <c r="B78" s="4" t="s">
        <v>83</v>
      </c>
      <c r="C78" s="5">
        <f>(หลังริม!C78*2)+(หลังกลาง!C78*2)</f>
        <v>12</v>
      </c>
      <c r="D78" s="6" t="s">
        <v>82</v>
      </c>
      <c r="E78" s="11">
        <v>84.6</v>
      </c>
      <c r="F78" s="5">
        <f t="shared" si="25"/>
        <v>1015.1999999999999</v>
      </c>
      <c r="G78" s="20">
        <v>0</v>
      </c>
      <c r="H78" s="5">
        <f t="shared" si="26"/>
        <v>0</v>
      </c>
      <c r="I78" s="49">
        <f t="shared" si="27"/>
        <v>1015.1999999999999</v>
      </c>
      <c r="J78" s="4"/>
    </row>
    <row r="79" spans="1:11" s="40" customFormat="1" ht="20" customHeight="1">
      <c r="A79" s="198"/>
      <c r="B79" s="4" t="s">
        <v>84</v>
      </c>
      <c r="C79" s="5">
        <f>(หลังริม!C79*2)+(หลังกลาง!C79*2)</f>
        <v>16</v>
      </c>
      <c r="D79" s="6" t="s">
        <v>82</v>
      </c>
      <c r="E79" s="11">
        <v>22.8</v>
      </c>
      <c r="F79" s="5">
        <f t="shared" si="25"/>
        <v>364.8</v>
      </c>
      <c r="G79" s="20">
        <v>0</v>
      </c>
      <c r="H79" s="5">
        <f t="shared" si="26"/>
        <v>0</v>
      </c>
      <c r="I79" s="49">
        <f t="shared" si="27"/>
        <v>364.8</v>
      </c>
      <c r="J79" s="4"/>
    </row>
    <row r="80" spans="1:11" s="40" customFormat="1" ht="20" customHeight="1">
      <c r="A80" s="198"/>
      <c r="B80" s="4" t="s">
        <v>85</v>
      </c>
      <c r="C80" s="5">
        <f>(หลังริม!C80*2)+(หลังกลาง!C80*2)</f>
        <v>8</v>
      </c>
      <c r="D80" s="6" t="s">
        <v>82</v>
      </c>
      <c r="E80" s="11">
        <v>31.3</v>
      </c>
      <c r="F80" s="5">
        <f t="shared" si="25"/>
        <v>250.4</v>
      </c>
      <c r="G80" s="20">
        <v>0</v>
      </c>
      <c r="H80" s="5">
        <f t="shared" si="26"/>
        <v>0</v>
      </c>
      <c r="I80" s="49">
        <f t="shared" si="27"/>
        <v>250.4</v>
      </c>
      <c r="J80" s="4"/>
    </row>
    <row r="81" spans="1:11" s="40" customFormat="1" ht="20" customHeight="1">
      <c r="A81" s="198"/>
      <c r="B81" s="4" t="s">
        <v>86</v>
      </c>
      <c r="C81" s="5">
        <f>(หลังริม!C81*2)+(หลังกลาง!C81*2)</f>
        <v>16</v>
      </c>
      <c r="D81" s="6" t="s">
        <v>82</v>
      </c>
      <c r="E81" s="11">
        <v>13.9</v>
      </c>
      <c r="F81" s="5">
        <f t="shared" si="25"/>
        <v>222.4</v>
      </c>
      <c r="G81" s="20">
        <v>0</v>
      </c>
      <c r="H81" s="5">
        <f t="shared" si="26"/>
        <v>0</v>
      </c>
      <c r="I81" s="49">
        <f t="shared" si="27"/>
        <v>222.4</v>
      </c>
      <c r="J81" s="4"/>
    </row>
    <row r="82" spans="1:11" s="40" customFormat="1" ht="20" customHeight="1">
      <c r="A82" s="198"/>
      <c r="B82" s="4" t="s">
        <v>87</v>
      </c>
      <c r="C82" s="5">
        <f>(หลังริม!C82*2)+(หลังกลาง!C82*2)</f>
        <v>4</v>
      </c>
      <c r="D82" s="6" t="s">
        <v>82</v>
      </c>
      <c r="E82" s="11">
        <v>8.0500000000000007</v>
      </c>
      <c r="F82" s="5">
        <f t="shared" si="25"/>
        <v>32.200000000000003</v>
      </c>
      <c r="G82" s="20">
        <v>0</v>
      </c>
      <c r="H82" s="5">
        <f t="shared" si="26"/>
        <v>0</v>
      </c>
      <c r="I82" s="49">
        <f t="shared" si="27"/>
        <v>32.200000000000003</v>
      </c>
      <c r="J82" s="4"/>
    </row>
    <row r="83" spans="1:11" s="40" customFormat="1" ht="20" customHeight="1">
      <c r="A83" s="198"/>
      <c r="B83" s="4" t="s">
        <v>88</v>
      </c>
      <c r="C83" s="5">
        <f>(หลังริม!C83*2)+(หลังกลาง!C83*2)</f>
        <v>8</v>
      </c>
      <c r="D83" s="6" t="s">
        <v>82</v>
      </c>
      <c r="E83" s="11">
        <v>18.600000000000001</v>
      </c>
      <c r="F83" s="5">
        <f t="shared" si="25"/>
        <v>148.80000000000001</v>
      </c>
      <c r="G83" s="20">
        <v>0</v>
      </c>
      <c r="H83" s="5">
        <f t="shared" si="26"/>
        <v>0</v>
      </c>
      <c r="I83" s="49">
        <f t="shared" si="27"/>
        <v>148.80000000000001</v>
      </c>
      <c r="J83" s="4"/>
    </row>
    <row r="84" spans="1:11" s="40" customFormat="1" ht="20" customHeight="1">
      <c r="A84" s="198"/>
      <c r="B84" s="4" t="s">
        <v>89</v>
      </c>
      <c r="C84" s="5">
        <f>(หลังริม!C84*2)+(หลังกลาง!C84*2)</f>
        <v>4</v>
      </c>
      <c r="D84" s="6" t="s">
        <v>82</v>
      </c>
      <c r="E84" s="11">
        <v>13.8</v>
      </c>
      <c r="F84" s="5">
        <f t="shared" si="25"/>
        <v>55.2</v>
      </c>
      <c r="G84" s="20">
        <v>0</v>
      </c>
      <c r="H84" s="5">
        <f t="shared" si="26"/>
        <v>0</v>
      </c>
      <c r="I84" s="49">
        <f t="shared" si="27"/>
        <v>55.2</v>
      </c>
      <c r="J84" s="4"/>
    </row>
    <row r="85" spans="1:11" s="40" customFormat="1" ht="20" customHeight="1">
      <c r="A85" s="198"/>
      <c r="B85" s="4" t="s">
        <v>90</v>
      </c>
      <c r="C85" s="5">
        <f>(หลังริม!C85*2)+(หลังกลาง!C85*2)</f>
        <v>4</v>
      </c>
      <c r="D85" s="6" t="s">
        <v>82</v>
      </c>
      <c r="E85" s="11">
        <v>15</v>
      </c>
      <c r="F85" s="5">
        <f t="shared" si="25"/>
        <v>60</v>
      </c>
      <c r="G85" s="20">
        <v>0</v>
      </c>
      <c r="H85" s="5">
        <f t="shared" si="26"/>
        <v>0</v>
      </c>
      <c r="I85" s="49">
        <f t="shared" si="27"/>
        <v>60</v>
      </c>
      <c r="J85" s="4"/>
    </row>
    <row r="86" spans="1:11" s="40" customFormat="1" ht="20" customHeight="1">
      <c r="A86" s="198"/>
      <c r="B86" s="4" t="s">
        <v>91</v>
      </c>
      <c r="C86" s="5">
        <f>(หลังริม!C86*2)+(หลังกลาง!C86*2)</f>
        <v>4</v>
      </c>
      <c r="D86" s="6" t="s">
        <v>82</v>
      </c>
      <c r="E86" s="11">
        <v>13</v>
      </c>
      <c r="F86" s="5">
        <f t="shared" si="25"/>
        <v>52</v>
      </c>
      <c r="G86" s="20">
        <v>0</v>
      </c>
      <c r="H86" s="5">
        <f t="shared" si="26"/>
        <v>0</v>
      </c>
      <c r="I86" s="49">
        <f t="shared" si="27"/>
        <v>52</v>
      </c>
      <c r="J86" s="4"/>
    </row>
    <row r="87" spans="1:11" s="40" customFormat="1" ht="20" customHeight="1">
      <c r="A87" s="198"/>
      <c r="B87" s="4" t="s">
        <v>92</v>
      </c>
      <c r="C87" s="5">
        <f>(หลังริม!C87*2)+(หลังกลาง!C87*2)</f>
        <v>4</v>
      </c>
      <c r="D87" s="6" t="s">
        <v>82</v>
      </c>
      <c r="E87" s="11">
        <v>12</v>
      </c>
      <c r="F87" s="5">
        <f t="shared" si="25"/>
        <v>48</v>
      </c>
      <c r="G87" s="20">
        <v>0</v>
      </c>
      <c r="H87" s="5">
        <f t="shared" si="26"/>
        <v>0</v>
      </c>
      <c r="I87" s="49">
        <f t="shared" si="27"/>
        <v>48</v>
      </c>
      <c r="J87" s="4"/>
    </row>
    <row r="88" spans="1:11" s="40" customFormat="1" ht="20" customHeight="1">
      <c r="A88" s="198"/>
      <c r="B88" s="4" t="s">
        <v>93</v>
      </c>
      <c r="C88" s="5">
        <f>(หลังริม!C88*2)+(หลังกลาง!C88*2)</f>
        <v>4</v>
      </c>
      <c r="D88" s="6" t="s">
        <v>82</v>
      </c>
      <c r="E88" s="11">
        <v>4.7</v>
      </c>
      <c r="F88" s="5">
        <f t="shared" si="25"/>
        <v>18.8</v>
      </c>
      <c r="G88" s="20">
        <v>0</v>
      </c>
      <c r="H88" s="5">
        <f t="shared" si="26"/>
        <v>0</v>
      </c>
      <c r="I88" s="49">
        <f t="shared" si="27"/>
        <v>18.8</v>
      </c>
      <c r="J88" s="4"/>
    </row>
    <row r="89" spans="1:11" s="40" customFormat="1" ht="20" customHeight="1">
      <c r="A89" s="6"/>
      <c r="B89" s="4" t="s">
        <v>94</v>
      </c>
      <c r="C89" s="5">
        <f>(หลังริม!C89*2)+(หลังกลาง!C89*2)</f>
        <v>5</v>
      </c>
      <c r="D89" s="6" t="s">
        <v>95</v>
      </c>
      <c r="E89" s="11">
        <v>434</v>
      </c>
      <c r="F89" s="5">
        <f t="shared" si="25"/>
        <v>2170</v>
      </c>
      <c r="G89" s="20">
        <v>0</v>
      </c>
      <c r="H89" s="5">
        <f t="shared" si="26"/>
        <v>0</v>
      </c>
      <c r="I89" s="49">
        <f t="shared" si="27"/>
        <v>2170</v>
      </c>
      <c r="J89" s="4"/>
    </row>
    <row r="90" spans="1:11" s="40" customFormat="1" ht="20" customHeight="1">
      <c r="A90" s="6"/>
      <c r="B90" s="4" t="s">
        <v>96</v>
      </c>
      <c r="C90" s="5">
        <f>(หลังริม!C90*2)+(หลังกลาง!C90*2)</f>
        <v>4</v>
      </c>
      <c r="D90" s="6" t="s">
        <v>66</v>
      </c>
      <c r="E90" s="11">
        <v>3600</v>
      </c>
      <c r="F90" s="5">
        <f t="shared" si="25"/>
        <v>14400</v>
      </c>
      <c r="G90" s="20">
        <v>0</v>
      </c>
      <c r="H90" s="5">
        <f t="shared" si="26"/>
        <v>0</v>
      </c>
      <c r="I90" s="49">
        <f t="shared" si="27"/>
        <v>14400</v>
      </c>
      <c r="J90" s="4"/>
    </row>
    <row r="91" spans="1:11" s="40" customFormat="1" ht="20" customHeight="1">
      <c r="A91" s="198"/>
      <c r="B91" s="3" t="s">
        <v>280</v>
      </c>
      <c r="C91" s="5">
        <f>(หลังริม!C91*2)+(หลังกลาง!C91*2)</f>
        <v>1.3333333333333333</v>
      </c>
      <c r="D91" s="6" t="s">
        <v>97</v>
      </c>
      <c r="E91" s="11">
        <v>600</v>
      </c>
      <c r="F91" s="5">
        <f t="shared" si="25"/>
        <v>800</v>
      </c>
      <c r="G91" s="20">
        <v>0</v>
      </c>
      <c r="H91" s="5">
        <f t="shared" si="26"/>
        <v>0</v>
      </c>
      <c r="I91" s="49">
        <f t="shared" si="27"/>
        <v>800</v>
      </c>
      <c r="J91" s="4"/>
    </row>
    <row r="92" spans="1:11" s="40" customFormat="1" ht="20" customHeight="1">
      <c r="A92" s="198"/>
      <c r="B92" s="4" t="s">
        <v>113</v>
      </c>
      <c r="C92" s="5">
        <f>(หลังริม!C92*2)+(หลังกลาง!C92*2)</f>
        <v>4</v>
      </c>
      <c r="D92" s="6" t="s">
        <v>66</v>
      </c>
      <c r="E92" s="11">
        <v>1100</v>
      </c>
      <c r="F92" s="5">
        <f t="shared" si="25"/>
        <v>4400</v>
      </c>
      <c r="G92" s="20">
        <v>0</v>
      </c>
      <c r="H92" s="5">
        <f t="shared" si="26"/>
        <v>0</v>
      </c>
      <c r="I92" s="49">
        <f t="shared" si="27"/>
        <v>4400</v>
      </c>
      <c r="J92" s="4"/>
    </row>
    <row r="93" spans="1:11" s="40" customFormat="1" ht="20" customHeight="1">
      <c r="A93" s="198"/>
      <c r="B93" s="4" t="s">
        <v>98</v>
      </c>
      <c r="C93" s="5">
        <f>(หลังริม!C93*2)+(หลังกลาง!C93*2)</f>
        <v>2.3333333333333335</v>
      </c>
      <c r="D93" s="6" t="s">
        <v>97</v>
      </c>
      <c r="E93" s="11">
        <v>160</v>
      </c>
      <c r="F93" s="5">
        <f t="shared" si="25"/>
        <v>373.33333333333337</v>
      </c>
      <c r="G93" s="20">
        <v>0</v>
      </c>
      <c r="H93" s="5">
        <f t="shared" si="26"/>
        <v>0</v>
      </c>
      <c r="I93" s="49">
        <f t="shared" si="27"/>
        <v>373.33333333333337</v>
      </c>
      <c r="J93" s="4"/>
    </row>
    <row r="94" spans="1:11" s="40" customFormat="1" ht="20" customHeight="1">
      <c r="A94" s="6"/>
      <c r="B94" s="4" t="s">
        <v>99</v>
      </c>
      <c r="C94" s="5">
        <f>(หลังริม!C94*2)+(หลังกลาง!C94*2)</f>
        <v>8</v>
      </c>
      <c r="D94" s="6" t="s">
        <v>100</v>
      </c>
      <c r="E94" s="11">
        <v>108</v>
      </c>
      <c r="F94" s="5">
        <f t="shared" si="25"/>
        <v>864</v>
      </c>
      <c r="G94" s="20">
        <v>0</v>
      </c>
      <c r="H94" s="5">
        <f t="shared" si="26"/>
        <v>0</v>
      </c>
      <c r="I94" s="49">
        <f t="shared" si="27"/>
        <v>864</v>
      </c>
      <c r="J94" s="4"/>
    </row>
    <row r="95" spans="1:11" s="40" customFormat="1" ht="20" customHeight="1">
      <c r="A95" s="6"/>
      <c r="B95" s="4" t="s">
        <v>101</v>
      </c>
      <c r="C95" s="5">
        <f>(หลังริม!C95*2)+(หลังกลาง!C95*2)</f>
        <v>8</v>
      </c>
      <c r="D95" s="6" t="s">
        <v>102</v>
      </c>
      <c r="E95" s="11">
        <v>42</v>
      </c>
      <c r="F95" s="5">
        <f t="shared" si="25"/>
        <v>336</v>
      </c>
      <c r="G95" s="20">
        <v>0</v>
      </c>
      <c r="H95" s="5">
        <f t="shared" si="26"/>
        <v>0</v>
      </c>
      <c r="I95" s="49">
        <f t="shared" si="27"/>
        <v>336</v>
      </c>
      <c r="J95" s="4"/>
    </row>
    <row r="96" spans="1:11" s="50" customFormat="1" ht="20" customHeight="1">
      <c r="A96" s="199"/>
      <c r="B96" s="12" t="s">
        <v>103</v>
      </c>
      <c r="C96" s="5">
        <f>(หลังริม!C96*2)+(หลังกลาง!C96*2)</f>
        <v>0</v>
      </c>
      <c r="D96" s="12"/>
      <c r="E96" s="21"/>
      <c r="F96" s="18">
        <f>SUM(F70:F95)</f>
        <v>54577.53333333334</v>
      </c>
      <c r="G96" s="18"/>
      <c r="H96" s="18">
        <f t="shared" ref="H96:I96" si="28">SUM(H70:H95)</f>
        <v>0</v>
      </c>
      <c r="I96" s="18">
        <f t="shared" si="28"/>
        <v>54577.53333333334</v>
      </c>
      <c r="J96" s="13"/>
      <c r="K96" s="151">
        <f>H96+F96</f>
        <v>54577.53333333334</v>
      </c>
    </row>
    <row r="97" spans="1:11" s="40" customFormat="1" ht="20" customHeight="1">
      <c r="A97" s="6"/>
      <c r="B97" s="3" t="s">
        <v>114</v>
      </c>
      <c r="C97" s="5">
        <f>(หลังริม!C97*2)+(หลังกลาง!C97*2)</f>
        <v>0</v>
      </c>
      <c r="D97" s="6"/>
      <c r="E97" s="11"/>
      <c r="F97" s="5"/>
      <c r="G97" s="10"/>
      <c r="H97" s="5"/>
      <c r="I97" s="7"/>
      <c r="J97" s="4"/>
    </row>
    <row r="98" spans="1:11" s="40" customFormat="1" ht="20" customHeight="1">
      <c r="A98" s="198"/>
      <c r="B98" s="4" t="s">
        <v>104</v>
      </c>
      <c r="C98" s="5">
        <f>(หลังริม!C98*2)+(หลังกลาง!C98*2)</f>
        <v>4</v>
      </c>
      <c r="D98" s="6" t="s">
        <v>105</v>
      </c>
      <c r="E98" s="11">
        <v>109</v>
      </c>
      <c r="F98" s="5">
        <f>E98*C98</f>
        <v>436</v>
      </c>
      <c r="G98" s="20">
        <v>6000</v>
      </c>
      <c r="H98" s="5">
        <f t="shared" ref="H98:H99" si="29">G98*C98</f>
        <v>24000</v>
      </c>
      <c r="I98" s="49">
        <f t="shared" ref="I98:I99" si="30">H98+F98</f>
        <v>24436</v>
      </c>
      <c r="J98" s="4"/>
    </row>
    <row r="99" spans="1:11" s="40" customFormat="1" ht="20" customHeight="1">
      <c r="A99" s="198"/>
      <c r="B99" s="4" t="s">
        <v>106</v>
      </c>
      <c r="C99" s="5">
        <f>(หลังริม!C99*2)+(หลังกลาง!C99*2)</f>
        <v>13.333333333333334</v>
      </c>
      <c r="D99" s="6" t="s">
        <v>105</v>
      </c>
      <c r="E99" s="11">
        <v>75</v>
      </c>
      <c r="F99" s="5">
        <f>E99*C99</f>
        <v>1000</v>
      </c>
      <c r="G99" s="20">
        <v>0</v>
      </c>
      <c r="H99" s="5">
        <f t="shared" si="29"/>
        <v>0</v>
      </c>
      <c r="I99" s="49">
        <f t="shared" si="30"/>
        <v>1000</v>
      </c>
      <c r="J99" s="4"/>
    </row>
    <row r="100" spans="1:11" s="50" customFormat="1" ht="20" customHeight="1">
      <c r="A100" s="12"/>
      <c r="B100" s="12" t="s">
        <v>115</v>
      </c>
      <c r="C100" s="5">
        <f>(หลังริม!C100*2)+(หลังกลาง!C100*2)</f>
        <v>0</v>
      </c>
      <c r="D100" s="12"/>
      <c r="E100" s="100"/>
      <c r="F100" s="14">
        <f>SUM(F98:F99)</f>
        <v>1436</v>
      </c>
      <c r="G100" s="14"/>
      <c r="H100" s="14">
        <f t="shared" ref="H100:I100" si="31">SUM(H98:H99)</f>
        <v>24000</v>
      </c>
      <c r="I100" s="14">
        <f t="shared" si="31"/>
        <v>25436</v>
      </c>
      <c r="J100" s="13"/>
      <c r="K100" s="151">
        <f>H100+F100</f>
        <v>25436</v>
      </c>
    </row>
    <row r="101" spans="1:11" s="40" customFormat="1" ht="20" customHeight="1">
      <c r="A101" s="198"/>
      <c r="B101" s="3" t="s">
        <v>210</v>
      </c>
      <c r="C101" s="5">
        <f>(หลังริม!C101*2)+(หลังกลาง!C101*2)</f>
        <v>0</v>
      </c>
      <c r="D101" s="6"/>
      <c r="E101" s="48"/>
      <c r="F101" s="4"/>
      <c r="G101" s="4"/>
      <c r="H101" s="4"/>
      <c r="I101" s="4"/>
      <c r="J101" s="4"/>
    </row>
    <row r="102" spans="1:11" s="40" customFormat="1" ht="20" customHeight="1">
      <c r="A102" s="198"/>
      <c r="B102" s="4" t="s">
        <v>211</v>
      </c>
      <c r="C102" s="5">
        <f>(หลังริม!C102*2)+(หลังกลาง!C102*2)</f>
        <v>350</v>
      </c>
      <c r="D102" s="6" t="s">
        <v>246</v>
      </c>
      <c r="E102" s="11">
        <v>5.5</v>
      </c>
      <c r="F102" s="5">
        <f>E102*C102</f>
        <v>1925</v>
      </c>
      <c r="G102" s="20">
        <v>0</v>
      </c>
      <c r="H102" s="5">
        <f t="shared" ref="H102:H109" si="32">G102*C102</f>
        <v>0</v>
      </c>
      <c r="I102" s="49">
        <f>H102+F102</f>
        <v>1925</v>
      </c>
      <c r="J102" s="4"/>
    </row>
    <row r="103" spans="1:11" s="40" customFormat="1" ht="20" customHeight="1">
      <c r="A103" s="198"/>
      <c r="B103" s="4" t="s">
        <v>212</v>
      </c>
      <c r="C103" s="5">
        <f>(หลังริม!C103*2)+(หลังกลาง!C103*2)</f>
        <v>1.3333333333333333</v>
      </c>
      <c r="D103" s="6" t="s">
        <v>214</v>
      </c>
      <c r="E103" s="11">
        <v>500</v>
      </c>
      <c r="F103" s="5">
        <f t="shared" ref="F103:F110" si="33">E103*C103</f>
        <v>666.66666666666663</v>
      </c>
      <c r="G103" s="20">
        <v>0</v>
      </c>
      <c r="H103" s="5">
        <f t="shared" si="32"/>
        <v>0</v>
      </c>
      <c r="I103" s="49">
        <f t="shared" ref="I103:I110" si="34">H103+F103</f>
        <v>666.66666666666663</v>
      </c>
      <c r="J103" s="4"/>
    </row>
    <row r="104" spans="1:11" s="40" customFormat="1" ht="20" customHeight="1">
      <c r="A104" s="198"/>
      <c r="B104" s="4" t="s">
        <v>213</v>
      </c>
      <c r="C104" s="5">
        <f>(หลังริม!C104*2)+(หลังกลาง!C104*2)</f>
        <v>1.3333333333333333</v>
      </c>
      <c r="D104" s="6" t="s">
        <v>214</v>
      </c>
      <c r="E104" s="11">
        <v>400</v>
      </c>
      <c r="F104" s="5">
        <f t="shared" si="33"/>
        <v>533.33333333333326</v>
      </c>
      <c r="G104" s="20">
        <v>0</v>
      </c>
      <c r="H104" s="5">
        <f t="shared" si="32"/>
        <v>0</v>
      </c>
      <c r="I104" s="49">
        <f t="shared" si="34"/>
        <v>533.33333333333326</v>
      </c>
      <c r="J104" s="4"/>
    </row>
    <row r="105" spans="1:11" s="40" customFormat="1" ht="20" customHeight="1">
      <c r="A105" s="198"/>
      <c r="B105" s="4" t="s">
        <v>107</v>
      </c>
      <c r="C105" s="5">
        <f>(หลังริม!C105*2)+(หลังกลาง!C105*2)</f>
        <v>13.333333333333334</v>
      </c>
      <c r="D105" s="6" t="s">
        <v>105</v>
      </c>
      <c r="E105" s="11">
        <v>92</v>
      </c>
      <c r="F105" s="5">
        <f t="shared" si="33"/>
        <v>1226.6666666666667</v>
      </c>
      <c r="G105" s="20">
        <v>0</v>
      </c>
      <c r="H105" s="5">
        <f t="shared" si="32"/>
        <v>0</v>
      </c>
      <c r="I105" s="49">
        <f t="shared" si="34"/>
        <v>1226.6666666666667</v>
      </c>
      <c r="J105" s="4"/>
    </row>
    <row r="106" spans="1:11" s="40" customFormat="1" ht="20" customHeight="1">
      <c r="A106" s="198"/>
      <c r="B106" s="4" t="s">
        <v>108</v>
      </c>
      <c r="C106" s="5">
        <f>(หลังริม!C106*2)+(หลังกลาง!C106*2)</f>
        <v>40</v>
      </c>
      <c r="D106" s="6" t="s">
        <v>105</v>
      </c>
      <c r="E106" s="11">
        <v>61</v>
      </c>
      <c r="F106" s="5">
        <f t="shared" si="33"/>
        <v>2440</v>
      </c>
      <c r="G106" s="20">
        <v>0</v>
      </c>
      <c r="H106" s="5">
        <f t="shared" si="32"/>
        <v>0</v>
      </c>
      <c r="I106" s="49">
        <f t="shared" si="34"/>
        <v>2440</v>
      </c>
      <c r="J106" s="4"/>
    </row>
    <row r="107" spans="1:11" s="40" customFormat="1" ht="20" customHeight="1">
      <c r="A107" s="198"/>
      <c r="B107" s="4" t="s">
        <v>245</v>
      </c>
      <c r="C107" s="5">
        <f>(หลังริม!C107*2)+(หลังกลาง!C107*2)</f>
        <v>6.666666666666667</v>
      </c>
      <c r="D107" s="6" t="s">
        <v>53</v>
      </c>
      <c r="E107" s="11">
        <v>110</v>
      </c>
      <c r="F107" s="5">
        <f t="shared" si="33"/>
        <v>733.33333333333337</v>
      </c>
      <c r="G107" s="20">
        <v>0</v>
      </c>
      <c r="H107" s="5">
        <f t="shared" si="32"/>
        <v>0</v>
      </c>
      <c r="I107" s="49">
        <f t="shared" si="34"/>
        <v>733.33333333333337</v>
      </c>
      <c r="J107" s="4"/>
    </row>
    <row r="108" spans="1:11" s="40" customFormat="1" ht="20" customHeight="1">
      <c r="A108" s="198"/>
      <c r="B108" s="4" t="s">
        <v>41</v>
      </c>
      <c r="C108" s="5">
        <f>(หลังริม!C108*2)+(หลังกลาง!C108*2)</f>
        <v>6.666666666666667</v>
      </c>
      <c r="D108" s="6" t="s">
        <v>53</v>
      </c>
      <c r="E108" s="11">
        <v>64</v>
      </c>
      <c r="F108" s="5">
        <f t="shared" si="33"/>
        <v>426.66666666666669</v>
      </c>
      <c r="G108" s="20">
        <v>0</v>
      </c>
      <c r="H108" s="5">
        <f t="shared" si="32"/>
        <v>0</v>
      </c>
      <c r="I108" s="49">
        <f t="shared" si="34"/>
        <v>426.66666666666669</v>
      </c>
      <c r="J108" s="4"/>
    </row>
    <row r="109" spans="1:11" s="40" customFormat="1" ht="20" customHeight="1">
      <c r="A109" s="198"/>
      <c r="B109" s="4" t="s">
        <v>215</v>
      </c>
      <c r="C109" s="5">
        <f>(หลังริม!C109*2)+(หลังกลาง!C109*2)</f>
        <v>0.66666666666666663</v>
      </c>
      <c r="D109" s="6" t="s">
        <v>97</v>
      </c>
      <c r="E109" s="11">
        <v>0</v>
      </c>
      <c r="F109" s="5">
        <f t="shared" si="33"/>
        <v>0</v>
      </c>
      <c r="G109" s="20">
        <v>0</v>
      </c>
      <c r="H109" s="5">
        <f t="shared" si="32"/>
        <v>0</v>
      </c>
      <c r="I109" s="49">
        <f t="shared" si="34"/>
        <v>0</v>
      </c>
      <c r="J109" s="4"/>
    </row>
    <row r="110" spans="1:11" s="43" customFormat="1" ht="20" customHeight="1">
      <c r="A110" s="6"/>
      <c r="B110" s="4" t="s">
        <v>281</v>
      </c>
      <c r="C110" s="5">
        <f>(หลังริม!C110*2)+(หลังกลาง!C110*2)</f>
        <v>4</v>
      </c>
      <c r="D110" s="6" t="s">
        <v>264</v>
      </c>
      <c r="E110" s="5">
        <v>0</v>
      </c>
      <c r="F110" s="5">
        <f t="shared" si="33"/>
        <v>0</v>
      </c>
      <c r="G110" s="70">
        <v>1012</v>
      </c>
      <c r="H110" s="5">
        <f>G110*C110</f>
        <v>4048</v>
      </c>
      <c r="I110" s="49">
        <f t="shared" si="34"/>
        <v>4048</v>
      </c>
      <c r="J110" s="4"/>
      <c r="K110" s="73"/>
    </row>
    <row r="111" spans="1:11" s="72" customFormat="1" ht="20" customHeight="1">
      <c r="A111" s="12"/>
      <c r="B111" s="12" t="s">
        <v>128</v>
      </c>
      <c r="C111" s="5">
        <f>(หลังริม!C111*2)+(หลังกลาง!C111*2)</f>
        <v>0</v>
      </c>
      <c r="D111" s="12"/>
      <c r="E111" s="99"/>
      <c r="F111" s="71">
        <f>SUM(F102:F110)</f>
        <v>7951.666666666667</v>
      </c>
      <c r="G111" s="71"/>
      <c r="H111" s="71">
        <f t="shared" ref="H111:I111" si="35">SUM(H102:H110)</f>
        <v>4048</v>
      </c>
      <c r="I111" s="71">
        <f t="shared" si="35"/>
        <v>11999.666666666668</v>
      </c>
      <c r="J111" s="12"/>
      <c r="K111" s="151">
        <f>H111+F111</f>
        <v>11999.666666666668</v>
      </c>
    </row>
    <row r="112" spans="1:11" s="40" customFormat="1" ht="20" customHeight="1">
      <c r="A112" s="198"/>
      <c r="B112" s="3" t="s">
        <v>216</v>
      </c>
      <c r="C112" s="5">
        <f>(หลังริม!C112*2)+(หลังกลาง!C112*2)</f>
        <v>0</v>
      </c>
      <c r="D112" s="6"/>
      <c r="E112" s="48"/>
      <c r="F112" s="4"/>
      <c r="G112" s="4"/>
      <c r="H112" s="4"/>
      <c r="I112" s="4"/>
      <c r="J112" s="4"/>
    </row>
    <row r="113" spans="1:20" s="40" customFormat="1" ht="20" customHeight="1">
      <c r="A113" s="198"/>
      <c r="B113" s="4" t="s">
        <v>217</v>
      </c>
      <c r="C113" s="5">
        <f>(หลังริม!C113*2)+(หลังกลาง!C113*2)</f>
        <v>96</v>
      </c>
      <c r="D113" s="6" t="s">
        <v>32</v>
      </c>
      <c r="E113" s="11">
        <v>45</v>
      </c>
      <c r="F113" s="5">
        <f>E113*C113</f>
        <v>4320</v>
      </c>
      <c r="G113" s="5">
        <v>80</v>
      </c>
      <c r="H113" s="5">
        <f>G113*C113</f>
        <v>7680</v>
      </c>
      <c r="I113" s="7">
        <f>F113+H113</f>
        <v>12000</v>
      </c>
      <c r="J113" s="4"/>
    </row>
    <row r="114" spans="1:20" s="40" customFormat="1" ht="20" customHeight="1">
      <c r="A114" s="198"/>
      <c r="B114" s="4" t="s">
        <v>36</v>
      </c>
      <c r="C114" s="5">
        <f>(หลังริม!C114*2)+(หลังกลาง!C114*2)</f>
        <v>11.333333333333334</v>
      </c>
      <c r="D114" s="6" t="s">
        <v>16</v>
      </c>
      <c r="E114" s="11">
        <v>1500</v>
      </c>
      <c r="F114" s="5">
        <f>E114*C114</f>
        <v>17000</v>
      </c>
      <c r="G114" s="20">
        <v>0</v>
      </c>
      <c r="H114" s="5">
        <f>G114*C114</f>
        <v>0</v>
      </c>
      <c r="I114" s="7">
        <f>F114+H114</f>
        <v>17000</v>
      </c>
      <c r="J114" s="4"/>
    </row>
    <row r="115" spans="1:20" s="72" customFormat="1" ht="20" customHeight="1">
      <c r="A115" s="12"/>
      <c r="B115" s="12" t="s">
        <v>134</v>
      </c>
      <c r="C115" s="5">
        <f>(หลังริม!C115*2)+(หลังกลาง!C115*2)</f>
        <v>0</v>
      </c>
      <c r="D115" s="12"/>
      <c r="E115" s="99"/>
      <c r="F115" s="71">
        <f>SUM(F113:F114)</f>
        <v>21320</v>
      </c>
      <c r="G115" s="71"/>
      <c r="H115" s="71">
        <f t="shared" ref="H115:I115" si="36">SUM(H113:H114)</f>
        <v>7680</v>
      </c>
      <c r="I115" s="71">
        <f t="shared" si="36"/>
        <v>29000</v>
      </c>
      <c r="J115" s="12"/>
      <c r="K115" s="151">
        <f>H115+F115</f>
        <v>29000</v>
      </c>
    </row>
    <row r="116" spans="1:20" s="40" customFormat="1" ht="20" customHeight="1">
      <c r="A116" s="198"/>
      <c r="B116" s="3" t="s">
        <v>247</v>
      </c>
      <c r="C116" s="5">
        <f>(หลังริม!C116*2)+(หลังกลาง!C116*2)</f>
        <v>0</v>
      </c>
      <c r="D116" s="6"/>
      <c r="E116" s="11"/>
      <c r="F116" s="5"/>
      <c r="G116" s="5"/>
      <c r="H116" s="5"/>
      <c r="I116" s="7"/>
      <c r="J116" s="4"/>
    </row>
    <row r="117" spans="1:20" s="40" customFormat="1" ht="20" customHeight="1">
      <c r="A117" s="198"/>
      <c r="B117" s="4" t="s">
        <v>43</v>
      </c>
      <c r="C117" s="5">
        <f>(หลังริม!C117*2)+(หลังกลาง!C117*2)</f>
        <v>3.3333333333333333E-2</v>
      </c>
      <c r="D117" s="6" t="s">
        <v>42</v>
      </c>
      <c r="E117" s="11">
        <v>137</v>
      </c>
      <c r="F117" s="5">
        <f>C117*1000/4.99*E117</f>
        <v>915.16366065464263</v>
      </c>
      <c r="G117" s="20">
        <v>0</v>
      </c>
      <c r="H117" s="5">
        <f>G117*C117</f>
        <v>0</v>
      </c>
      <c r="I117" s="49">
        <f>H117+F117</f>
        <v>915.16366065464263</v>
      </c>
      <c r="J117" s="4"/>
    </row>
    <row r="118" spans="1:20" s="40" customFormat="1" ht="20" customHeight="1">
      <c r="A118" s="198"/>
      <c r="B118" s="4" t="s">
        <v>44</v>
      </c>
      <c r="C118" s="5">
        <f>(หลังริม!C118*2)+(หลังกลาง!C118*2)</f>
        <v>2.6666666666666668E-2</v>
      </c>
      <c r="D118" s="6" t="s">
        <v>42</v>
      </c>
      <c r="E118" s="11">
        <v>240</v>
      </c>
      <c r="F118" s="5">
        <f>C118*1000/8.88*E118</f>
        <v>720.72072072072069</v>
      </c>
      <c r="G118" s="20">
        <v>0</v>
      </c>
      <c r="H118" s="5">
        <f t="shared" ref="H118:H121" si="37">G118*C118</f>
        <v>0</v>
      </c>
      <c r="I118" s="49">
        <f t="shared" ref="I118:I121" si="38">H118+F118</f>
        <v>720.72072072072069</v>
      </c>
      <c r="J118" s="4"/>
    </row>
    <row r="119" spans="1:20" s="40" customFormat="1" ht="20" customHeight="1">
      <c r="A119" s="6"/>
      <c r="B119" s="4" t="s">
        <v>111</v>
      </c>
      <c r="C119" s="5">
        <f>(หลังริม!C119*2)+(หลังกลาง!C119*2)</f>
        <v>8.6666666666666661</v>
      </c>
      <c r="D119" s="6" t="s">
        <v>16</v>
      </c>
      <c r="E119" s="11">
        <v>1600</v>
      </c>
      <c r="F119" s="5">
        <f>E119*C119</f>
        <v>13866.666666666666</v>
      </c>
      <c r="G119" s="20">
        <v>0</v>
      </c>
      <c r="H119" s="5">
        <f t="shared" si="37"/>
        <v>0</v>
      </c>
      <c r="I119" s="49">
        <f t="shared" si="38"/>
        <v>13866.666666666666</v>
      </c>
      <c r="J119" s="4"/>
    </row>
    <row r="120" spans="1:20" s="40" customFormat="1" ht="20" customHeight="1">
      <c r="A120" s="6"/>
      <c r="B120" s="4" t="s">
        <v>49</v>
      </c>
      <c r="C120" s="5">
        <f>(หลังริม!C120*2)+(หลังกลาง!C120*2)</f>
        <v>86.666666666666671</v>
      </c>
      <c r="D120" s="6" t="s">
        <v>32</v>
      </c>
      <c r="E120" s="11">
        <v>74.2</v>
      </c>
      <c r="F120" s="5">
        <f>E120*C120</f>
        <v>6430.666666666667</v>
      </c>
      <c r="G120" s="20">
        <v>0</v>
      </c>
      <c r="H120" s="5">
        <f t="shared" si="37"/>
        <v>0</v>
      </c>
      <c r="I120" s="49">
        <f t="shared" si="38"/>
        <v>6430.666666666667</v>
      </c>
      <c r="J120" s="4"/>
    </row>
    <row r="121" spans="1:20" s="43" customFormat="1" ht="20" customHeight="1">
      <c r="A121" s="6"/>
      <c r="B121" s="4" t="s">
        <v>275</v>
      </c>
      <c r="C121" s="5">
        <f>(หลังริม!C121*2)+(หลังกลาง!C121*2)</f>
        <v>4</v>
      </c>
      <c r="D121" s="6" t="s">
        <v>264</v>
      </c>
      <c r="E121" s="5">
        <v>0</v>
      </c>
      <c r="F121" s="5">
        <f>E121*C121</f>
        <v>0</v>
      </c>
      <c r="G121" s="70">
        <v>2500</v>
      </c>
      <c r="H121" s="5">
        <f t="shared" si="37"/>
        <v>10000</v>
      </c>
      <c r="I121" s="49">
        <f t="shared" si="38"/>
        <v>10000</v>
      </c>
      <c r="J121" s="4"/>
      <c r="K121" s="73"/>
    </row>
    <row r="122" spans="1:20" s="72" customFormat="1" ht="20" customHeight="1">
      <c r="A122" s="12"/>
      <c r="B122" s="12" t="s">
        <v>162</v>
      </c>
      <c r="C122" s="5">
        <f>(หลังริม!C122*2)+(หลังกลาง!C122*2)</f>
        <v>0</v>
      </c>
      <c r="D122" s="12"/>
      <c r="E122" s="99"/>
      <c r="F122" s="71">
        <f>SUM(F117:F121)</f>
        <v>21933.217714708695</v>
      </c>
      <c r="G122" s="71"/>
      <c r="H122" s="71">
        <f t="shared" ref="H122:I122" si="39">SUM(H117:H121)</f>
        <v>10000</v>
      </c>
      <c r="I122" s="71">
        <f t="shared" si="39"/>
        <v>31933.217714708695</v>
      </c>
      <c r="J122" s="12"/>
      <c r="K122" s="151">
        <f>H122+F122</f>
        <v>31933.217714708695</v>
      </c>
    </row>
    <row r="123" spans="1:20" s="40" customFormat="1" ht="20" customHeight="1">
      <c r="A123" s="198"/>
      <c r="B123" s="3" t="s">
        <v>223</v>
      </c>
      <c r="C123" s="5">
        <f>(หลังริม!C123*2)+(หลังกลาง!C123*2)</f>
        <v>0</v>
      </c>
      <c r="D123" s="6"/>
      <c r="E123" s="48"/>
      <c r="F123" s="4"/>
      <c r="G123" s="4"/>
      <c r="H123" s="4"/>
      <c r="I123" s="4"/>
      <c r="J123" s="4"/>
      <c r="K123" s="43"/>
      <c r="L123" s="43"/>
      <c r="M123" s="43"/>
      <c r="N123" s="43"/>
      <c r="O123" s="43"/>
      <c r="P123" s="43"/>
      <c r="Q123" s="43"/>
      <c r="R123" s="43"/>
      <c r="S123" s="43"/>
      <c r="T123" s="43"/>
    </row>
    <row r="124" spans="1:20" s="40" customFormat="1" ht="20" customHeight="1">
      <c r="A124" s="198"/>
      <c r="B124" s="4" t="s">
        <v>117</v>
      </c>
      <c r="C124" s="5">
        <f>(หลังริม!C124*2)+(หลังกลาง!C124*2)</f>
        <v>416</v>
      </c>
      <c r="D124" s="6" t="s">
        <v>60</v>
      </c>
      <c r="E124" s="11">
        <v>67</v>
      </c>
      <c r="F124" s="5">
        <f>E124*C124</f>
        <v>27872</v>
      </c>
      <c r="G124" s="20">
        <v>0</v>
      </c>
      <c r="H124" s="5">
        <f>G124*C124</f>
        <v>0</v>
      </c>
      <c r="I124" s="49">
        <f>H124+F124</f>
        <v>27872</v>
      </c>
      <c r="J124" s="4"/>
      <c r="K124" s="43"/>
      <c r="L124" s="43"/>
      <c r="M124" s="43"/>
      <c r="N124" s="43"/>
      <c r="O124" s="43"/>
      <c r="P124" s="43"/>
      <c r="Q124" s="43"/>
      <c r="R124" s="43"/>
      <c r="S124" s="43"/>
      <c r="T124" s="43"/>
    </row>
    <row r="125" spans="1:20" s="40" customFormat="1" ht="20" customHeight="1">
      <c r="A125" s="198"/>
      <c r="B125" s="4" t="s">
        <v>118</v>
      </c>
      <c r="C125" s="5">
        <f>(หลังริม!C125*2)+(หลังกลาง!C125*2)</f>
        <v>104</v>
      </c>
      <c r="D125" s="6" t="s">
        <v>60</v>
      </c>
      <c r="E125" s="11">
        <v>82</v>
      </c>
      <c r="F125" s="5">
        <f t="shared" ref="F125:F136" si="40">E125*C125</f>
        <v>8528</v>
      </c>
      <c r="G125" s="20">
        <v>0</v>
      </c>
      <c r="H125" s="5">
        <f t="shared" ref="H125:H136" si="41">G125*C125</f>
        <v>0</v>
      </c>
      <c r="I125" s="49">
        <f t="shared" ref="I125:I136" si="42">H125+F125</f>
        <v>8528</v>
      </c>
      <c r="J125" s="4"/>
      <c r="K125" s="43"/>
      <c r="L125" s="43"/>
      <c r="M125" s="43"/>
      <c r="N125" s="43"/>
      <c r="O125" s="43"/>
      <c r="P125" s="43"/>
      <c r="Q125" s="43"/>
      <c r="R125" s="43"/>
      <c r="S125" s="43"/>
      <c r="T125" s="43"/>
    </row>
    <row r="126" spans="1:20" s="40" customFormat="1" ht="20" customHeight="1">
      <c r="A126" s="6"/>
      <c r="B126" s="4" t="s">
        <v>156</v>
      </c>
      <c r="C126" s="5">
        <f>(หลังริม!C126*2)+(หลังกลาง!C126*2)</f>
        <v>10</v>
      </c>
      <c r="D126" s="6" t="s">
        <v>125</v>
      </c>
      <c r="E126" s="11">
        <v>870</v>
      </c>
      <c r="F126" s="5">
        <f t="shared" si="40"/>
        <v>8700</v>
      </c>
      <c r="G126" s="20">
        <v>0</v>
      </c>
      <c r="H126" s="5">
        <f t="shared" si="41"/>
        <v>0</v>
      </c>
      <c r="I126" s="49">
        <f t="shared" si="42"/>
        <v>8700</v>
      </c>
      <c r="J126" s="4"/>
      <c r="K126" s="43"/>
      <c r="L126" s="43"/>
      <c r="M126" s="43"/>
      <c r="N126" s="43"/>
      <c r="O126" s="43"/>
      <c r="P126" s="43"/>
      <c r="Q126" s="43"/>
      <c r="R126" s="43"/>
      <c r="S126" s="43"/>
      <c r="T126" s="43"/>
    </row>
    <row r="127" spans="1:20" s="40" customFormat="1" ht="20" customHeight="1">
      <c r="A127" s="198"/>
      <c r="B127" s="4" t="s">
        <v>126</v>
      </c>
      <c r="C127" s="5">
        <f>(หลังริม!C127*2)+(หลังกลาง!C127*2)</f>
        <v>4</v>
      </c>
      <c r="D127" s="6" t="s">
        <v>60</v>
      </c>
      <c r="E127" s="11">
        <v>53</v>
      </c>
      <c r="F127" s="5">
        <f t="shared" si="40"/>
        <v>212</v>
      </c>
      <c r="G127" s="20">
        <v>0</v>
      </c>
      <c r="H127" s="5">
        <f t="shared" si="41"/>
        <v>0</v>
      </c>
      <c r="I127" s="49">
        <f t="shared" si="42"/>
        <v>212</v>
      </c>
      <c r="J127" s="4"/>
      <c r="K127" s="43"/>
      <c r="L127" s="43"/>
      <c r="M127" s="43"/>
      <c r="N127" s="43"/>
      <c r="O127" s="43"/>
      <c r="P127" s="43"/>
      <c r="Q127" s="43"/>
      <c r="R127" s="43"/>
      <c r="S127" s="43"/>
      <c r="T127" s="43"/>
    </row>
    <row r="128" spans="1:20" s="40" customFormat="1" ht="20" customHeight="1">
      <c r="A128" s="198"/>
      <c r="B128" s="4" t="s">
        <v>127</v>
      </c>
      <c r="C128" s="5">
        <f>(หลังริม!C128*2)+(หลังกลาง!C128*2)</f>
        <v>8</v>
      </c>
      <c r="D128" s="6" t="s">
        <v>60</v>
      </c>
      <c r="E128" s="11">
        <v>63</v>
      </c>
      <c r="F128" s="5">
        <f t="shared" si="40"/>
        <v>504</v>
      </c>
      <c r="G128" s="20">
        <v>0</v>
      </c>
      <c r="H128" s="5">
        <f t="shared" si="41"/>
        <v>0</v>
      </c>
      <c r="I128" s="49">
        <f t="shared" si="42"/>
        <v>504</v>
      </c>
      <c r="J128" s="4"/>
      <c r="K128" s="43"/>
      <c r="L128" s="43"/>
      <c r="M128" s="43"/>
      <c r="N128" s="43"/>
      <c r="O128" s="43"/>
      <c r="P128" s="43"/>
      <c r="Q128" s="43"/>
      <c r="R128" s="43"/>
      <c r="S128" s="43"/>
      <c r="T128" s="43"/>
    </row>
    <row r="129" spans="1:20" s="40" customFormat="1" ht="20" customHeight="1">
      <c r="A129" s="198"/>
      <c r="B129" s="4" t="s">
        <v>116</v>
      </c>
      <c r="C129" s="5">
        <f>(หลังริม!C129*2)+(หลังกลาง!C129*2)</f>
        <v>16</v>
      </c>
      <c r="D129" s="6" t="s">
        <v>60</v>
      </c>
      <c r="E129" s="11">
        <v>137</v>
      </c>
      <c r="F129" s="5">
        <f t="shared" si="40"/>
        <v>2192</v>
      </c>
      <c r="G129" s="20">
        <v>0</v>
      </c>
      <c r="H129" s="5">
        <f t="shared" si="41"/>
        <v>0</v>
      </c>
      <c r="I129" s="49">
        <f t="shared" si="42"/>
        <v>2192</v>
      </c>
      <c r="J129" s="4"/>
      <c r="K129" s="43"/>
      <c r="L129" s="43"/>
      <c r="M129" s="43"/>
      <c r="N129" s="43"/>
      <c r="O129" s="43"/>
      <c r="P129" s="43"/>
      <c r="Q129" s="43"/>
      <c r="R129" s="43"/>
      <c r="S129" s="43"/>
      <c r="T129" s="43"/>
    </row>
    <row r="130" spans="1:20" s="40" customFormat="1" ht="20" customHeight="1">
      <c r="A130" s="6"/>
      <c r="B130" s="4" t="s">
        <v>119</v>
      </c>
      <c r="C130" s="5">
        <f>(หลังริม!C130*2)+(หลังกลาง!C130*2)</f>
        <v>70.666666666666671</v>
      </c>
      <c r="D130" s="6" t="s">
        <v>60</v>
      </c>
      <c r="E130" s="11">
        <v>39</v>
      </c>
      <c r="F130" s="5">
        <f t="shared" si="40"/>
        <v>2756</v>
      </c>
      <c r="G130" s="20">
        <v>0</v>
      </c>
      <c r="H130" s="5">
        <f t="shared" si="41"/>
        <v>0</v>
      </c>
      <c r="I130" s="49">
        <f t="shared" si="42"/>
        <v>2756</v>
      </c>
      <c r="J130" s="4"/>
      <c r="K130" s="43"/>
      <c r="L130" s="43"/>
      <c r="M130" s="43"/>
      <c r="N130" s="43"/>
      <c r="O130" s="43"/>
      <c r="P130" s="43"/>
      <c r="Q130" s="43"/>
      <c r="R130" s="43"/>
      <c r="S130" s="43"/>
      <c r="T130" s="43"/>
    </row>
    <row r="131" spans="1:20" s="40" customFormat="1" ht="20" customHeight="1">
      <c r="A131" s="6"/>
      <c r="B131" s="4" t="s">
        <v>120</v>
      </c>
      <c r="C131" s="5">
        <f>(หลังริม!C131*2)+(หลังกลาง!C131*2)</f>
        <v>88</v>
      </c>
      <c r="D131" s="6" t="s">
        <v>60</v>
      </c>
      <c r="E131" s="11">
        <v>39</v>
      </c>
      <c r="F131" s="5">
        <f t="shared" si="40"/>
        <v>3432</v>
      </c>
      <c r="G131" s="20">
        <v>0</v>
      </c>
      <c r="H131" s="5">
        <f t="shared" si="41"/>
        <v>0</v>
      </c>
      <c r="I131" s="49">
        <f t="shared" si="42"/>
        <v>3432</v>
      </c>
      <c r="J131" s="4"/>
      <c r="K131" s="43"/>
      <c r="L131" s="43"/>
      <c r="M131" s="43"/>
      <c r="N131" s="43"/>
      <c r="O131" s="43"/>
      <c r="P131" s="43"/>
      <c r="Q131" s="43"/>
      <c r="R131" s="43"/>
      <c r="S131" s="43"/>
      <c r="T131" s="43"/>
    </row>
    <row r="132" spans="1:20" s="40" customFormat="1" ht="20" customHeight="1">
      <c r="A132" s="6"/>
      <c r="B132" s="4" t="s">
        <v>121</v>
      </c>
      <c r="C132" s="5">
        <f>(หลังริม!C132*2)+(หลังกลาง!C132*2)</f>
        <v>2</v>
      </c>
      <c r="D132" s="6" t="s">
        <v>60</v>
      </c>
      <c r="E132" s="11">
        <v>52</v>
      </c>
      <c r="F132" s="5">
        <f t="shared" si="40"/>
        <v>104</v>
      </c>
      <c r="G132" s="20">
        <v>0</v>
      </c>
      <c r="H132" s="5">
        <f t="shared" si="41"/>
        <v>0</v>
      </c>
      <c r="I132" s="49">
        <f t="shared" si="42"/>
        <v>104</v>
      </c>
      <c r="J132" s="4"/>
      <c r="K132" s="43"/>
      <c r="L132" s="43"/>
      <c r="M132" s="43"/>
      <c r="N132" s="43"/>
      <c r="O132" s="43"/>
      <c r="P132" s="43"/>
      <c r="Q132" s="43"/>
      <c r="R132" s="43"/>
      <c r="S132" s="43"/>
      <c r="T132" s="43"/>
    </row>
    <row r="133" spans="1:20" s="40" customFormat="1" ht="20" customHeight="1">
      <c r="A133" s="6"/>
      <c r="B133" s="4" t="s">
        <v>124</v>
      </c>
      <c r="C133" s="5">
        <f>(หลังริม!C133*2)+(หลังกลาง!C133*2)</f>
        <v>9.3333333333333339</v>
      </c>
      <c r="D133" s="6" t="s">
        <v>125</v>
      </c>
      <c r="E133" s="11">
        <v>170</v>
      </c>
      <c r="F133" s="5">
        <f t="shared" si="40"/>
        <v>1586.6666666666667</v>
      </c>
      <c r="G133" s="20">
        <v>0</v>
      </c>
      <c r="H133" s="5">
        <f t="shared" si="41"/>
        <v>0</v>
      </c>
      <c r="I133" s="49">
        <f t="shared" si="42"/>
        <v>1586.6666666666667</v>
      </c>
      <c r="J133" s="4"/>
      <c r="K133" s="43"/>
      <c r="L133" s="43"/>
      <c r="M133" s="43"/>
      <c r="N133" s="43"/>
      <c r="O133" s="43"/>
      <c r="P133" s="43"/>
      <c r="Q133" s="43"/>
      <c r="R133" s="43"/>
      <c r="S133" s="43"/>
      <c r="T133" s="43"/>
    </row>
    <row r="134" spans="1:20" s="40" customFormat="1" ht="20" customHeight="1">
      <c r="A134" s="6"/>
      <c r="B134" s="4" t="s">
        <v>155</v>
      </c>
      <c r="C134" s="5">
        <f>(หลังริม!C134*2)+(หลังกลาง!C134*2)</f>
        <v>2</v>
      </c>
      <c r="D134" s="6" t="s">
        <v>97</v>
      </c>
      <c r="E134" s="11">
        <v>1359</v>
      </c>
      <c r="F134" s="5">
        <f t="shared" si="40"/>
        <v>2718</v>
      </c>
      <c r="G134" s="20">
        <v>0</v>
      </c>
      <c r="H134" s="5">
        <f t="shared" si="41"/>
        <v>0</v>
      </c>
      <c r="I134" s="49">
        <f t="shared" si="42"/>
        <v>2718</v>
      </c>
      <c r="J134" s="4"/>
      <c r="K134" s="43"/>
      <c r="L134" s="43"/>
      <c r="M134" s="43"/>
      <c r="N134" s="43"/>
      <c r="O134" s="43"/>
      <c r="P134" s="43"/>
      <c r="Q134" s="43"/>
      <c r="R134" s="43"/>
      <c r="S134" s="43"/>
      <c r="T134" s="43"/>
    </row>
    <row r="135" spans="1:20" s="40" customFormat="1" ht="20" customHeight="1">
      <c r="A135" s="6"/>
      <c r="B135" s="4" t="s">
        <v>122</v>
      </c>
      <c r="C135" s="5">
        <f>(หลังริม!C135*2)+(หลังกลาง!C135*2)</f>
        <v>19.2</v>
      </c>
      <c r="D135" s="6" t="s">
        <v>123</v>
      </c>
      <c r="E135" s="5">
        <v>0</v>
      </c>
      <c r="F135" s="5">
        <f t="shared" si="40"/>
        <v>0</v>
      </c>
      <c r="G135" s="5">
        <v>400</v>
      </c>
      <c r="H135" s="5">
        <f t="shared" si="41"/>
        <v>7680</v>
      </c>
      <c r="I135" s="49">
        <f t="shared" si="42"/>
        <v>7680</v>
      </c>
      <c r="J135" s="4"/>
      <c r="K135" s="43"/>
      <c r="L135" s="43"/>
      <c r="M135" s="43"/>
      <c r="N135" s="43"/>
      <c r="O135" s="43"/>
      <c r="P135" s="43"/>
      <c r="Q135" s="43"/>
      <c r="R135" s="43"/>
      <c r="S135" s="43"/>
      <c r="T135" s="43"/>
    </row>
    <row r="136" spans="1:20" s="43" customFormat="1" ht="20" customHeight="1">
      <c r="A136" s="6"/>
      <c r="B136" s="4" t="s">
        <v>274</v>
      </c>
      <c r="C136" s="5">
        <f>(หลังริม!C136*2)+(หลังกลาง!C136*2)</f>
        <v>117</v>
      </c>
      <c r="D136" s="6" t="s">
        <v>264</v>
      </c>
      <c r="E136" s="5">
        <v>0</v>
      </c>
      <c r="F136" s="5">
        <f t="shared" si="40"/>
        <v>0</v>
      </c>
      <c r="G136" s="70">
        <v>70</v>
      </c>
      <c r="H136" s="5">
        <f t="shared" si="41"/>
        <v>8190</v>
      </c>
      <c r="I136" s="49">
        <f t="shared" si="42"/>
        <v>8190</v>
      </c>
      <c r="J136" s="4"/>
      <c r="K136" s="73"/>
    </row>
    <row r="137" spans="1:20" s="50" customFormat="1" ht="20" customHeight="1">
      <c r="A137" s="12"/>
      <c r="B137" s="12" t="s">
        <v>218</v>
      </c>
      <c r="C137" s="5">
        <f>(หลังริม!C137*2)+(หลังกลาง!C137*2)</f>
        <v>0</v>
      </c>
      <c r="D137" s="12"/>
      <c r="E137" s="100"/>
      <c r="F137" s="14">
        <f>SUM(F124:F136)</f>
        <v>58604.666666666664</v>
      </c>
      <c r="G137" s="14"/>
      <c r="H137" s="14">
        <f t="shared" ref="H137:I137" si="43">SUM(H124:H136)</f>
        <v>15870</v>
      </c>
      <c r="I137" s="14">
        <f t="shared" si="43"/>
        <v>74474.666666666657</v>
      </c>
      <c r="J137" s="13"/>
      <c r="K137" s="151">
        <f>H137+F137</f>
        <v>74474.666666666657</v>
      </c>
    </row>
    <row r="138" spans="1:20" s="40" customFormat="1" ht="20" customHeight="1">
      <c r="A138" s="198"/>
      <c r="B138" s="3" t="s">
        <v>224</v>
      </c>
      <c r="C138" s="5">
        <f>(หลังริม!C138*2)+(หลังกลาง!C138*2)</f>
        <v>0</v>
      </c>
      <c r="D138" s="6"/>
      <c r="E138" s="48"/>
      <c r="F138" s="4"/>
      <c r="G138" s="4"/>
      <c r="H138" s="4"/>
      <c r="I138" s="4"/>
      <c r="J138" s="4"/>
      <c r="K138" s="43"/>
      <c r="L138" s="43"/>
      <c r="M138" s="43"/>
      <c r="N138" s="43"/>
      <c r="O138" s="43"/>
      <c r="P138" s="43"/>
      <c r="Q138" s="43"/>
      <c r="R138" s="43"/>
      <c r="S138" s="43"/>
      <c r="T138" s="43"/>
    </row>
    <row r="139" spans="1:20" s="40" customFormat="1" ht="20" customHeight="1">
      <c r="A139" s="198"/>
      <c r="B139" s="4" t="s">
        <v>130</v>
      </c>
      <c r="C139" s="5">
        <f>(หลังริม!C139*2)+(หลังกลาง!C139*2)</f>
        <v>28</v>
      </c>
      <c r="D139" s="6" t="s">
        <v>32</v>
      </c>
      <c r="E139" s="5">
        <v>0</v>
      </c>
      <c r="F139" s="5">
        <f>E139*C139</f>
        <v>0</v>
      </c>
      <c r="G139" s="5">
        <f>320</f>
        <v>320</v>
      </c>
      <c r="H139" s="20">
        <f>G139*C139</f>
        <v>8960</v>
      </c>
      <c r="I139" s="49">
        <f>H139+F139</f>
        <v>8960</v>
      </c>
      <c r="J139" s="24" t="s">
        <v>132</v>
      </c>
      <c r="K139" s="43"/>
      <c r="L139" s="43"/>
      <c r="M139" s="43"/>
      <c r="N139" s="43"/>
      <c r="O139" s="43"/>
      <c r="P139" s="43"/>
      <c r="Q139" s="43"/>
      <c r="R139" s="43"/>
      <c r="S139" s="43"/>
      <c r="T139" s="43"/>
    </row>
    <row r="140" spans="1:20" s="40" customFormat="1" ht="20" customHeight="1">
      <c r="A140" s="198"/>
      <c r="B140" s="4" t="s">
        <v>131</v>
      </c>
      <c r="C140" s="5">
        <f>(หลังริม!C140*2)+(หลังกลาง!C140*2)</f>
        <v>72</v>
      </c>
      <c r="D140" s="6" t="s">
        <v>32</v>
      </c>
      <c r="E140" s="5">
        <v>0</v>
      </c>
      <c r="F140" s="5">
        <f t="shared" ref="F140:F145" si="44">E140*C140</f>
        <v>0</v>
      </c>
      <c r="G140" s="5">
        <v>280</v>
      </c>
      <c r="H140" s="20">
        <f t="shared" ref="H140:H145" si="45">G140*C140</f>
        <v>20160</v>
      </c>
      <c r="I140" s="49">
        <f t="shared" ref="I140:I145" si="46">H140+F140</f>
        <v>20160</v>
      </c>
      <c r="J140" s="24" t="s">
        <v>133</v>
      </c>
      <c r="K140" s="43"/>
      <c r="L140" s="43"/>
      <c r="M140" s="43"/>
      <c r="N140" s="43"/>
      <c r="O140" s="43"/>
      <c r="P140" s="43"/>
      <c r="Q140" s="43"/>
      <c r="R140" s="43"/>
      <c r="S140" s="43"/>
      <c r="T140" s="43"/>
    </row>
    <row r="141" spans="1:20" s="40" customFormat="1" ht="20" customHeight="1">
      <c r="A141" s="198"/>
      <c r="B141" s="4" t="s">
        <v>129</v>
      </c>
      <c r="C141" s="5">
        <f>(หลังริม!C141*2)+(หลังกลาง!C141*2)</f>
        <v>120</v>
      </c>
      <c r="D141" s="6" t="s">
        <v>32</v>
      </c>
      <c r="E141" s="5">
        <v>0</v>
      </c>
      <c r="F141" s="5">
        <f t="shared" si="44"/>
        <v>0</v>
      </c>
      <c r="G141" s="5">
        <v>240</v>
      </c>
      <c r="H141" s="20">
        <f t="shared" si="45"/>
        <v>28800</v>
      </c>
      <c r="I141" s="49">
        <f t="shared" si="46"/>
        <v>28800</v>
      </c>
      <c r="J141" s="24" t="s">
        <v>133</v>
      </c>
      <c r="K141" s="43"/>
      <c r="L141" s="43"/>
      <c r="M141" s="43"/>
      <c r="N141" s="43"/>
      <c r="O141" s="43"/>
      <c r="P141" s="43"/>
      <c r="Q141" s="43"/>
      <c r="R141" s="43"/>
      <c r="S141" s="43"/>
      <c r="T141" s="43"/>
    </row>
    <row r="142" spans="1:20" s="40" customFormat="1" ht="20" customHeight="1">
      <c r="A142" s="198"/>
      <c r="B142" s="4" t="s">
        <v>135</v>
      </c>
      <c r="C142" s="5">
        <f>(หลังริม!C142*2)+(หลังกลาง!C142*2)</f>
        <v>230.4</v>
      </c>
      <c r="D142" s="6" t="s">
        <v>123</v>
      </c>
      <c r="E142" s="5">
        <v>0</v>
      </c>
      <c r="F142" s="5">
        <f t="shared" si="44"/>
        <v>0</v>
      </c>
      <c r="G142" s="5">
        <v>70</v>
      </c>
      <c r="H142" s="20">
        <f t="shared" si="45"/>
        <v>16128</v>
      </c>
      <c r="I142" s="49">
        <f t="shared" si="46"/>
        <v>16128</v>
      </c>
      <c r="J142" s="4"/>
      <c r="K142" s="43"/>
      <c r="L142" s="43"/>
      <c r="M142" s="43"/>
      <c r="N142" s="43"/>
      <c r="O142" s="43"/>
      <c r="P142" s="43"/>
      <c r="Q142" s="43"/>
      <c r="R142" s="43"/>
      <c r="S142" s="43"/>
      <c r="T142" s="43"/>
    </row>
    <row r="143" spans="1:20" s="40" customFormat="1" ht="20" customHeight="1">
      <c r="A143" s="198"/>
      <c r="B143" s="4" t="s">
        <v>137</v>
      </c>
      <c r="C143" s="5">
        <f>(หลังริม!C143*2)+(หลังกลาง!C143*2)</f>
        <v>4</v>
      </c>
      <c r="D143" s="6" t="s">
        <v>136</v>
      </c>
      <c r="E143" s="11">
        <v>8067</v>
      </c>
      <c r="F143" s="5">
        <f t="shared" si="44"/>
        <v>32268</v>
      </c>
      <c r="G143" s="5">
        <v>2000</v>
      </c>
      <c r="H143" s="20">
        <f t="shared" si="45"/>
        <v>8000</v>
      </c>
      <c r="I143" s="49">
        <f t="shared" si="46"/>
        <v>40268</v>
      </c>
      <c r="J143" s="4"/>
      <c r="K143" s="43"/>
      <c r="L143" s="43"/>
      <c r="M143" s="43"/>
      <c r="N143" s="43"/>
      <c r="O143" s="43"/>
      <c r="P143" s="43"/>
      <c r="Q143" s="43"/>
      <c r="R143" s="43"/>
      <c r="S143" s="43"/>
      <c r="T143" s="43"/>
    </row>
    <row r="144" spans="1:20" s="40" customFormat="1" ht="20" customHeight="1">
      <c r="A144" s="198"/>
      <c r="B144" s="4" t="s">
        <v>139</v>
      </c>
      <c r="C144" s="5">
        <f>(หลังริม!C144*2)+(หลังกลาง!C144*2)</f>
        <v>16</v>
      </c>
      <c r="D144" s="6" t="s">
        <v>32</v>
      </c>
      <c r="E144" s="5">
        <v>0</v>
      </c>
      <c r="F144" s="5">
        <f t="shared" si="44"/>
        <v>0</v>
      </c>
      <c r="G144" s="5">
        <v>280</v>
      </c>
      <c r="H144" s="20">
        <f t="shared" si="45"/>
        <v>4480</v>
      </c>
      <c r="I144" s="49">
        <f t="shared" si="46"/>
        <v>4480</v>
      </c>
      <c r="J144" s="4"/>
      <c r="K144" s="43"/>
      <c r="L144" s="43"/>
      <c r="M144" s="43"/>
      <c r="N144" s="43"/>
      <c r="O144" s="43"/>
      <c r="P144" s="43"/>
      <c r="Q144" s="43"/>
      <c r="R144" s="43"/>
      <c r="S144" s="43"/>
      <c r="T144" s="43"/>
    </row>
    <row r="145" spans="1:20" s="40" customFormat="1" ht="20" customHeight="1">
      <c r="A145" s="6"/>
      <c r="B145" s="4" t="s">
        <v>138</v>
      </c>
      <c r="C145" s="5">
        <f>(หลังริม!C145*2)+(หลังกลาง!C145*2)</f>
        <v>16</v>
      </c>
      <c r="D145" s="6" t="s">
        <v>32</v>
      </c>
      <c r="E145" s="5">
        <v>0</v>
      </c>
      <c r="F145" s="5">
        <f t="shared" si="44"/>
        <v>0</v>
      </c>
      <c r="G145" s="5">
        <v>965</v>
      </c>
      <c r="H145" s="20">
        <f t="shared" si="45"/>
        <v>15440</v>
      </c>
      <c r="I145" s="49">
        <f t="shared" si="46"/>
        <v>15440</v>
      </c>
      <c r="J145" s="4"/>
      <c r="K145" s="43"/>
      <c r="L145" s="43"/>
      <c r="M145" s="43"/>
      <c r="N145" s="43"/>
      <c r="O145" s="43"/>
      <c r="P145" s="43"/>
      <c r="Q145" s="43"/>
      <c r="R145" s="43"/>
      <c r="S145" s="43"/>
      <c r="T145" s="43"/>
    </row>
    <row r="146" spans="1:20" s="50" customFormat="1" ht="20" customHeight="1">
      <c r="A146" s="12"/>
      <c r="B146" s="12" t="s">
        <v>177</v>
      </c>
      <c r="C146" s="5">
        <f>(หลังริม!C146*2)+(หลังกลาง!C146*2)</f>
        <v>0</v>
      </c>
      <c r="D146" s="12"/>
      <c r="E146" s="100"/>
      <c r="F146" s="14">
        <f>SUM(F139:F145)</f>
        <v>32268</v>
      </c>
      <c r="G146" s="14"/>
      <c r="H146" s="14">
        <f t="shared" ref="H146:I146" si="47">SUM(H139:H145)</f>
        <v>101968</v>
      </c>
      <c r="I146" s="14">
        <f t="shared" si="47"/>
        <v>134236</v>
      </c>
      <c r="J146" s="13"/>
      <c r="K146" s="151">
        <f>H146+F146</f>
        <v>134236</v>
      </c>
    </row>
    <row r="147" spans="1:20" s="40" customFormat="1" ht="20" customHeight="1">
      <c r="A147" s="198"/>
      <c r="B147" s="3" t="s">
        <v>225</v>
      </c>
      <c r="C147" s="5">
        <f>(หลังริม!C147*2)+(หลังกลาง!C147*2)</f>
        <v>0</v>
      </c>
      <c r="D147" s="6"/>
      <c r="E147" s="48"/>
      <c r="F147" s="4"/>
      <c r="G147" s="4"/>
      <c r="H147" s="4"/>
      <c r="I147" s="4"/>
      <c r="J147" s="4"/>
      <c r="K147" s="43"/>
      <c r="L147" s="43"/>
      <c r="M147" s="43"/>
      <c r="N147" s="43"/>
      <c r="O147" s="43"/>
      <c r="P147" s="43"/>
      <c r="Q147" s="43"/>
      <c r="R147" s="43"/>
      <c r="S147" s="43"/>
      <c r="T147" s="43"/>
    </row>
    <row r="148" spans="1:20" s="40" customFormat="1" ht="20" customHeight="1">
      <c r="A148" s="198"/>
      <c r="B148" s="4" t="s">
        <v>140</v>
      </c>
      <c r="C148" s="5">
        <f>(หลังริม!C148*2)+(หลังกลาง!C148*2)</f>
        <v>4</v>
      </c>
      <c r="D148" s="6" t="s">
        <v>141</v>
      </c>
      <c r="E148" s="11">
        <v>1869</v>
      </c>
      <c r="F148" s="5">
        <f>E148*C148</f>
        <v>7476</v>
      </c>
      <c r="G148" s="20">
        <v>0</v>
      </c>
      <c r="H148" s="20">
        <f>G148*C148</f>
        <v>0</v>
      </c>
      <c r="I148" s="49">
        <f>H148+F148</f>
        <v>7476</v>
      </c>
      <c r="J148" s="4"/>
      <c r="K148" s="43"/>
      <c r="L148" s="43"/>
      <c r="M148" s="43"/>
      <c r="N148" s="43"/>
      <c r="O148" s="43"/>
      <c r="P148" s="43"/>
      <c r="Q148" s="43"/>
      <c r="R148" s="43"/>
      <c r="S148" s="43"/>
      <c r="T148" s="43"/>
    </row>
    <row r="149" spans="1:20" s="40" customFormat="1" ht="20" customHeight="1">
      <c r="A149" s="198"/>
      <c r="B149" s="4" t="s">
        <v>142</v>
      </c>
      <c r="C149" s="5">
        <f>(หลังริม!C149*2)+(หลังกลาง!C149*2)</f>
        <v>4</v>
      </c>
      <c r="D149" s="6" t="s">
        <v>141</v>
      </c>
      <c r="E149" s="11">
        <v>640</v>
      </c>
      <c r="F149" s="5">
        <f t="shared" ref="F149:F165" si="48">E149*C149</f>
        <v>2560</v>
      </c>
      <c r="G149" s="20">
        <v>0</v>
      </c>
      <c r="H149" s="20">
        <f t="shared" ref="H149:H165" si="49">G149*C149</f>
        <v>0</v>
      </c>
      <c r="I149" s="49">
        <f t="shared" ref="I149:I165" si="50">H149+F149</f>
        <v>2560</v>
      </c>
      <c r="J149" s="4"/>
      <c r="K149" s="43"/>
      <c r="L149" s="43"/>
      <c r="M149" s="43"/>
      <c r="N149" s="43"/>
      <c r="O149" s="43"/>
      <c r="P149" s="43"/>
      <c r="Q149" s="43"/>
      <c r="R149" s="43"/>
      <c r="S149" s="43"/>
      <c r="T149" s="43"/>
    </row>
    <row r="150" spans="1:20" s="40" customFormat="1" ht="20" customHeight="1">
      <c r="A150" s="198"/>
      <c r="B150" s="4" t="s">
        <v>158</v>
      </c>
      <c r="C150" s="5">
        <f>(หลังริม!C150*2)+(หลังกลาง!C150*2)</f>
        <v>4</v>
      </c>
      <c r="D150" s="6" t="s">
        <v>141</v>
      </c>
      <c r="E150" s="11">
        <v>664</v>
      </c>
      <c r="F150" s="5">
        <f t="shared" si="48"/>
        <v>2656</v>
      </c>
      <c r="G150" s="20">
        <v>0</v>
      </c>
      <c r="H150" s="20">
        <f t="shared" si="49"/>
        <v>0</v>
      </c>
      <c r="I150" s="49">
        <f t="shared" si="50"/>
        <v>2656</v>
      </c>
      <c r="J150" s="4"/>
      <c r="K150" s="43"/>
      <c r="L150" s="43"/>
      <c r="M150" s="43"/>
      <c r="N150" s="43"/>
      <c r="O150" s="43"/>
      <c r="P150" s="43"/>
      <c r="Q150" s="43"/>
      <c r="R150" s="43"/>
      <c r="S150" s="43"/>
      <c r="T150" s="43"/>
    </row>
    <row r="151" spans="1:20" s="40" customFormat="1" ht="20" customHeight="1">
      <c r="A151" s="198"/>
      <c r="B151" s="4" t="s">
        <v>157</v>
      </c>
      <c r="C151" s="5">
        <f>(หลังริม!C151*2)+(หลังกลาง!C151*2)</f>
        <v>4</v>
      </c>
      <c r="D151" s="6" t="s">
        <v>141</v>
      </c>
      <c r="E151" s="11">
        <v>159</v>
      </c>
      <c r="F151" s="5">
        <f t="shared" si="48"/>
        <v>636</v>
      </c>
      <c r="G151" s="20">
        <v>0</v>
      </c>
      <c r="H151" s="20">
        <f t="shared" si="49"/>
        <v>0</v>
      </c>
      <c r="I151" s="49">
        <f t="shared" si="50"/>
        <v>636</v>
      </c>
      <c r="J151" s="4"/>
      <c r="K151" s="43"/>
      <c r="L151" s="43"/>
      <c r="M151" s="43"/>
      <c r="N151" s="43"/>
      <c r="O151" s="43"/>
      <c r="P151" s="43"/>
      <c r="Q151" s="43"/>
      <c r="R151" s="43"/>
      <c r="S151" s="43"/>
      <c r="T151" s="43"/>
    </row>
    <row r="152" spans="1:20" s="40" customFormat="1" ht="20" customHeight="1">
      <c r="A152" s="198"/>
      <c r="B152" s="4" t="s">
        <v>159</v>
      </c>
      <c r="C152" s="5">
        <f>(หลังริม!C152*2)+(หลังกลาง!C152*2)</f>
        <v>4</v>
      </c>
      <c r="D152" s="6" t="s">
        <v>141</v>
      </c>
      <c r="E152" s="11">
        <v>425</v>
      </c>
      <c r="F152" s="5">
        <f t="shared" si="48"/>
        <v>1700</v>
      </c>
      <c r="G152" s="20">
        <v>0</v>
      </c>
      <c r="H152" s="20">
        <f t="shared" si="49"/>
        <v>0</v>
      </c>
      <c r="I152" s="49">
        <f t="shared" si="50"/>
        <v>1700</v>
      </c>
      <c r="J152" s="4"/>
      <c r="K152" s="43"/>
      <c r="L152" s="43"/>
      <c r="M152" s="43"/>
      <c r="N152" s="43"/>
      <c r="O152" s="43"/>
      <c r="P152" s="43"/>
      <c r="Q152" s="43"/>
      <c r="R152" s="43"/>
      <c r="S152" s="43"/>
      <c r="T152" s="43"/>
    </row>
    <row r="153" spans="1:20" s="40" customFormat="1" ht="20" customHeight="1">
      <c r="A153" s="198"/>
      <c r="B153" s="4" t="s">
        <v>143</v>
      </c>
      <c r="C153" s="5">
        <f>(หลังริม!C153*2)+(หลังกลาง!C153*2)</f>
        <v>4</v>
      </c>
      <c r="D153" s="6" t="s">
        <v>141</v>
      </c>
      <c r="E153" s="11">
        <v>183</v>
      </c>
      <c r="F153" s="5">
        <f t="shared" si="48"/>
        <v>732</v>
      </c>
      <c r="G153" s="20">
        <v>0</v>
      </c>
      <c r="H153" s="20">
        <f t="shared" si="49"/>
        <v>0</v>
      </c>
      <c r="I153" s="49">
        <f t="shared" si="50"/>
        <v>732</v>
      </c>
      <c r="J153" s="4"/>
      <c r="K153" s="43"/>
      <c r="L153" s="43"/>
      <c r="M153" s="43"/>
      <c r="N153" s="43"/>
      <c r="O153" s="43"/>
      <c r="P153" s="43"/>
      <c r="Q153" s="43"/>
      <c r="R153" s="43"/>
      <c r="S153" s="43"/>
      <c r="T153" s="43"/>
    </row>
    <row r="154" spans="1:20" s="40" customFormat="1" ht="20" customHeight="1">
      <c r="A154" s="198"/>
      <c r="B154" s="4" t="s">
        <v>144</v>
      </c>
      <c r="C154" s="5">
        <f>(หลังริม!C154*2)+(หลังกลาง!C154*2)</f>
        <v>4</v>
      </c>
      <c r="D154" s="6" t="s">
        <v>100</v>
      </c>
      <c r="E154" s="11">
        <v>151</v>
      </c>
      <c r="F154" s="5">
        <f t="shared" si="48"/>
        <v>604</v>
      </c>
      <c r="G154" s="20">
        <v>0</v>
      </c>
      <c r="H154" s="20">
        <f t="shared" si="49"/>
        <v>0</v>
      </c>
      <c r="I154" s="49">
        <f t="shared" si="50"/>
        <v>604</v>
      </c>
      <c r="J154" s="4"/>
      <c r="K154" s="43"/>
      <c r="L154" s="43"/>
      <c r="M154" s="43"/>
      <c r="N154" s="43"/>
      <c r="O154" s="43"/>
      <c r="P154" s="43"/>
      <c r="Q154" s="43"/>
      <c r="R154" s="43"/>
      <c r="S154" s="43"/>
      <c r="T154" s="43"/>
    </row>
    <row r="155" spans="1:20" s="40" customFormat="1" ht="20" customHeight="1">
      <c r="A155" s="198"/>
      <c r="B155" s="4" t="s">
        <v>145</v>
      </c>
      <c r="C155" s="5">
        <f>(หลังริม!C155*2)+(หลังกลาง!C155*2)</f>
        <v>4</v>
      </c>
      <c r="D155" s="6" t="s">
        <v>146</v>
      </c>
      <c r="E155" s="11"/>
      <c r="F155" s="5">
        <f t="shared" si="48"/>
        <v>0</v>
      </c>
      <c r="G155" s="20">
        <v>0</v>
      </c>
      <c r="H155" s="20">
        <f t="shared" si="49"/>
        <v>0</v>
      </c>
      <c r="I155" s="49">
        <f t="shared" si="50"/>
        <v>0</v>
      </c>
      <c r="J155" s="4"/>
      <c r="K155" s="43"/>
      <c r="L155" s="43"/>
      <c r="M155" s="43"/>
      <c r="N155" s="43"/>
      <c r="O155" s="43"/>
      <c r="P155" s="43"/>
      <c r="Q155" s="43"/>
      <c r="R155" s="43"/>
      <c r="S155" s="43"/>
      <c r="T155" s="43"/>
    </row>
    <row r="156" spans="1:20" s="40" customFormat="1" ht="20" customHeight="1">
      <c r="A156" s="198"/>
      <c r="B156" s="4" t="s">
        <v>160</v>
      </c>
      <c r="C156" s="5">
        <f>(หลังริม!C156*2)+(หลังกลาง!C156*2)</f>
        <v>4</v>
      </c>
      <c r="D156" s="6" t="s">
        <v>100</v>
      </c>
      <c r="E156" s="11">
        <v>77</v>
      </c>
      <c r="F156" s="5">
        <f t="shared" si="48"/>
        <v>308</v>
      </c>
      <c r="G156" s="20">
        <v>0</v>
      </c>
      <c r="H156" s="20">
        <f t="shared" si="49"/>
        <v>0</v>
      </c>
      <c r="I156" s="49">
        <f t="shared" si="50"/>
        <v>308</v>
      </c>
      <c r="J156" s="4"/>
      <c r="K156" s="43"/>
      <c r="L156" s="43"/>
      <c r="M156" s="43"/>
      <c r="N156" s="43"/>
      <c r="O156" s="43"/>
      <c r="P156" s="43"/>
      <c r="Q156" s="43"/>
      <c r="R156" s="43"/>
      <c r="S156" s="43"/>
      <c r="T156" s="43"/>
    </row>
    <row r="157" spans="1:20" s="40" customFormat="1" ht="20" customHeight="1">
      <c r="A157" s="198"/>
      <c r="B157" s="4" t="s">
        <v>147</v>
      </c>
      <c r="C157" s="5">
        <f>(หลังริม!C157*2)+(หลังกลาง!C157*2)</f>
        <v>4</v>
      </c>
      <c r="D157" s="6" t="s">
        <v>100</v>
      </c>
      <c r="E157" s="11">
        <v>234</v>
      </c>
      <c r="F157" s="5">
        <f t="shared" si="48"/>
        <v>936</v>
      </c>
      <c r="G157" s="20">
        <v>0</v>
      </c>
      <c r="H157" s="20">
        <f t="shared" si="49"/>
        <v>0</v>
      </c>
      <c r="I157" s="49">
        <f t="shared" si="50"/>
        <v>936</v>
      </c>
      <c r="J157" s="4"/>
      <c r="K157" s="43"/>
      <c r="L157" s="43"/>
      <c r="M157" s="43"/>
      <c r="N157" s="43"/>
      <c r="O157" s="43"/>
      <c r="P157" s="43"/>
      <c r="Q157" s="43"/>
      <c r="R157" s="43"/>
      <c r="S157" s="43"/>
      <c r="T157" s="43"/>
    </row>
    <row r="158" spans="1:20" s="40" customFormat="1" ht="20" customHeight="1">
      <c r="A158" s="198"/>
      <c r="B158" s="4" t="s">
        <v>161</v>
      </c>
      <c r="C158" s="5">
        <f>(หลังริม!C158*2)+(หลังกลาง!C158*2)</f>
        <v>4</v>
      </c>
      <c r="D158" s="6" t="s">
        <v>100</v>
      </c>
      <c r="E158" s="11">
        <v>151</v>
      </c>
      <c r="F158" s="5">
        <f t="shared" si="48"/>
        <v>604</v>
      </c>
      <c r="G158" s="20">
        <v>0</v>
      </c>
      <c r="H158" s="20">
        <f t="shared" si="49"/>
        <v>0</v>
      </c>
      <c r="I158" s="49">
        <f t="shared" si="50"/>
        <v>604</v>
      </c>
      <c r="J158" s="4"/>
      <c r="K158" s="43"/>
      <c r="L158" s="43"/>
      <c r="M158" s="43"/>
      <c r="N158" s="43"/>
      <c r="O158" s="43"/>
      <c r="P158" s="43"/>
      <c r="Q158" s="43"/>
      <c r="R158" s="43"/>
      <c r="S158" s="43"/>
      <c r="T158" s="43"/>
    </row>
    <row r="159" spans="1:20" s="40" customFormat="1" ht="20" customHeight="1">
      <c r="A159" s="198"/>
      <c r="B159" s="4" t="s">
        <v>148</v>
      </c>
      <c r="C159" s="5">
        <f>(หลังริม!C159*2)+(หลังกลาง!C159*2)</f>
        <v>4</v>
      </c>
      <c r="D159" s="6" t="s">
        <v>100</v>
      </c>
      <c r="E159" s="11">
        <v>584</v>
      </c>
      <c r="F159" s="5">
        <f t="shared" si="48"/>
        <v>2336</v>
      </c>
      <c r="G159" s="20">
        <v>0</v>
      </c>
      <c r="H159" s="20">
        <f t="shared" si="49"/>
        <v>0</v>
      </c>
      <c r="I159" s="49">
        <f t="shared" si="50"/>
        <v>2336</v>
      </c>
      <c r="J159" s="4"/>
      <c r="K159" s="43"/>
      <c r="L159" s="43"/>
      <c r="M159" s="43"/>
      <c r="N159" s="43"/>
      <c r="O159" s="43"/>
      <c r="P159" s="43"/>
      <c r="Q159" s="43"/>
      <c r="R159" s="43"/>
      <c r="S159" s="43"/>
      <c r="T159" s="43"/>
    </row>
    <row r="160" spans="1:20" s="43" customFormat="1" ht="20" customHeight="1">
      <c r="A160" s="198"/>
      <c r="B160" s="4" t="s">
        <v>149</v>
      </c>
      <c r="C160" s="5">
        <f>(หลังริม!C160*2)+(หลังกลาง!C160*2)</f>
        <v>8</v>
      </c>
      <c r="D160" s="6" t="s">
        <v>100</v>
      </c>
      <c r="E160" s="5">
        <v>140</v>
      </c>
      <c r="F160" s="5">
        <f t="shared" si="48"/>
        <v>1120</v>
      </c>
      <c r="G160" s="20">
        <v>0</v>
      </c>
      <c r="H160" s="20">
        <f t="shared" si="49"/>
        <v>0</v>
      </c>
      <c r="I160" s="49">
        <f t="shared" si="50"/>
        <v>1120</v>
      </c>
      <c r="J160" s="4"/>
      <c r="K160" s="73"/>
    </row>
    <row r="161" spans="1:20" s="43" customFormat="1" ht="20" customHeight="1">
      <c r="A161" s="198"/>
      <c r="B161" s="4" t="s">
        <v>150</v>
      </c>
      <c r="C161" s="5">
        <f>(หลังริม!C161*2)+(หลังกลาง!C161*2)</f>
        <v>4</v>
      </c>
      <c r="D161" s="6" t="s">
        <v>100</v>
      </c>
      <c r="E161" s="5">
        <v>45</v>
      </c>
      <c r="F161" s="5">
        <f t="shared" si="48"/>
        <v>180</v>
      </c>
      <c r="G161" s="5">
        <v>0</v>
      </c>
      <c r="H161" s="20">
        <f t="shared" si="49"/>
        <v>0</v>
      </c>
      <c r="I161" s="49">
        <f t="shared" si="50"/>
        <v>180</v>
      </c>
      <c r="J161" s="4"/>
      <c r="K161" s="73"/>
    </row>
    <row r="162" spans="1:20" s="43" customFormat="1" ht="20" customHeight="1">
      <c r="A162" s="198"/>
      <c r="B162" s="4" t="s">
        <v>151</v>
      </c>
      <c r="C162" s="5">
        <f>(หลังริม!C162*2)+(หลังกลาง!C162*2)</f>
        <v>4</v>
      </c>
      <c r="D162" s="6" t="s">
        <v>100</v>
      </c>
      <c r="E162" s="5">
        <v>215</v>
      </c>
      <c r="F162" s="5">
        <f t="shared" si="48"/>
        <v>860</v>
      </c>
      <c r="G162" s="5">
        <v>0</v>
      </c>
      <c r="H162" s="20">
        <f t="shared" si="49"/>
        <v>0</v>
      </c>
      <c r="I162" s="49">
        <f t="shared" si="50"/>
        <v>860</v>
      </c>
      <c r="J162" s="4"/>
      <c r="K162" s="73"/>
    </row>
    <row r="163" spans="1:20" s="43" customFormat="1" ht="20" customHeight="1">
      <c r="A163" s="198"/>
      <c r="B163" s="4" t="s">
        <v>152</v>
      </c>
      <c r="C163" s="5">
        <f>(หลังริม!C163*2)+(หลังกลาง!C163*2)</f>
        <v>4</v>
      </c>
      <c r="D163" s="6" t="s">
        <v>100</v>
      </c>
      <c r="E163" s="5">
        <v>0</v>
      </c>
      <c r="F163" s="5">
        <f t="shared" si="48"/>
        <v>0</v>
      </c>
      <c r="G163" s="5">
        <v>0</v>
      </c>
      <c r="H163" s="20">
        <f t="shared" si="49"/>
        <v>0</v>
      </c>
      <c r="I163" s="49">
        <f t="shared" si="50"/>
        <v>0</v>
      </c>
      <c r="J163" s="4"/>
      <c r="K163" s="73"/>
    </row>
    <row r="164" spans="1:20" s="43" customFormat="1" ht="20" customHeight="1">
      <c r="A164" s="6"/>
      <c r="B164" s="4" t="s">
        <v>153</v>
      </c>
      <c r="C164" s="5">
        <f>(หลังริม!C164*2)+(หลังกลาง!C164*2)</f>
        <v>8</v>
      </c>
      <c r="D164" s="6" t="s">
        <v>100</v>
      </c>
      <c r="E164" s="4">
        <v>110</v>
      </c>
      <c r="F164" s="5">
        <f t="shared" si="48"/>
        <v>880</v>
      </c>
      <c r="G164" s="5">
        <v>0</v>
      </c>
      <c r="H164" s="20">
        <f t="shared" si="49"/>
        <v>0</v>
      </c>
      <c r="I164" s="49">
        <f t="shared" si="50"/>
        <v>880</v>
      </c>
      <c r="J164" s="4"/>
      <c r="K164" s="73"/>
    </row>
    <row r="165" spans="1:20" s="43" customFormat="1" ht="20" customHeight="1">
      <c r="A165" s="6"/>
      <c r="B165" s="4" t="s">
        <v>273</v>
      </c>
      <c r="C165" s="5">
        <f>(หลังริม!C165*2)+(หลังกลาง!C165*2)</f>
        <v>4</v>
      </c>
      <c r="D165" s="6" t="s">
        <v>264</v>
      </c>
      <c r="E165" s="5">
        <v>0</v>
      </c>
      <c r="F165" s="5">
        <f t="shared" si="48"/>
        <v>0</v>
      </c>
      <c r="G165" s="70">
        <v>810</v>
      </c>
      <c r="H165" s="20">
        <f t="shared" si="49"/>
        <v>3240</v>
      </c>
      <c r="I165" s="49">
        <f t="shared" si="50"/>
        <v>3240</v>
      </c>
      <c r="J165" s="4"/>
      <c r="K165" s="73"/>
    </row>
    <row r="166" spans="1:20" s="50" customFormat="1" ht="20" customHeight="1">
      <c r="A166" s="12"/>
      <c r="B166" s="12" t="s">
        <v>154</v>
      </c>
      <c r="C166" s="5">
        <f>(หลังริม!C166*2)+(หลังกลาง!C166*2)</f>
        <v>0</v>
      </c>
      <c r="D166" s="12"/>
      <c r="E166" s="100"/>
      <c r="F166" s="14">
        <f>SUM(F148:F165)</f>
        <v>23588</v>
      </c>
      <c r="G166" s="14"/>
      <c r="H166" s="14">
        <f t="shared" ref="H166:I166" si="51">SUM(H148:H165)</f>
        <v>3240</v>
      </c>
      <c r="I166" s="14">
        <f t="shared" si="51"/>
        <v>26828</v>
      </c>
      <c r="J166" s="13"/>
      <c r="K166" s="151">
        <f>H166+F166</f>
        <v>26828</v>
      </c>
    </row>
    <row r="167" spans="1:20" s="40" customFormat="1" ht="20" customHeight="1">
      <c r="A167" s="198"/>
      <c r="B167" s="3" t="s">
        <v>226</v>
      </c>
      <c r="C167" s="5">
        <f>(หลังริม!C167*2)+(หลังกลาง!C167*2)</f>
        <v>0</v>
      </c>
      <c r="D167" s="6"/>
      <c r="E167" s="48"/>
      <c r="F167" s="4"/>
      <c r="G167" s="4"/>
      <c r="H167" s="4"/>
      <c r="I167" s="4"/>
      <c r="J167" s="4"/>
      <c r="K167" s="43"/>
      <c r="L167" s="43"/>
      <c r="M167" s="43"/>
      <c r="N167" s="43"/>
      <c r="O167" s="43"/>
      <c r="P167" s="43"/>
      <c r="Q167" s="43"/>
      <c r="R167" s="43"/>
      <c r="S167" s="43"/>
      <c r="T167" s="43"/>
    </row>
    <row r="168" spans="1:20" s="40" customFormat="1" ht="20" customHeight="1">
      <c r="A168" s="198"/>
      <c r="B168" s="4" t="s">
        <v>163</v>
      </c>
      <c r="C168" s="5">
        <f>(หลังริม!C168*2)+(หลังกลาง!C168*2)</f>
        <v>4</v>
      </c>
      <c r="D168" s="6" t="s">
        <v>141</v>
      </c>
      <c r="E168" s="11">
        <v>0</v>
      </c>
      <c r="F168" s="5">
        <f>E168*C168</f>
        <v>0</v>
      </c>
      <c r="G168" s="5">
        <v>8000</v>
      </c>
      <c r="H168" s="5">
        <f>G168*C168</f>
        <v>32000</v>
      </c>
      <c r="I168" s="49">
        <f>H168+F168</f>
        <v>32000</v>
      </c>
      <c r="J168" s="24" t="s">
        <v>172</v>
      </c>
      <c r="K168" s="43"/>
      <c r="L168" s="43"/>
      <c r="M168" s="43"/>
      <c r="N168" s="43"/>
      <c r="O168" s="43"/>
      <c r="P168" s="43"/>
      <c r="Q168" s="43"/>
      <c r="R168" s="43"/>
      <c r="S168" s="43"/>
      <c r="T168" s="43"/>
    </row>
    <row r="169" spans="1:20" s="40" customFormat="1" ht="20" customHeight="1">
      <c r="A169" s="198"/>
      <c r="B169" s="4" t="s">
        <v>164</v>
      </c>
      <c r="C169" s="5">
        <f>(หลังริม!C169*2)+(หลังกลาง!C169*2)</f>
        <v>4</v>
      </c>
      <c r="D169" s="6" t="s">
        <v>141</v>
      </c>
      <c r="E169" s="11">
        <v>2670</v>
      </c>
      <c r="F169" s="5">
        <f t="shared" ref="F169:F176" si="52">E169*C169</f>
        <v>10680</v>
      </c>
      <c r="G169" s="5">
        <v>400</v>
      </c>
      <c r="H169" s="5">
        <f t="shared" ref="H169:H176" si="53">G169*C169</f>
        <v>1600</v>
      </c>
      <c r="I169" s="49">
        <f t="shared" ref="I169:I176" si="54">H169+F169</f>
        <v>12280</v>
      </c>
      <c r="J169" s="4"/>
      <c r="K169" s="43"/>
      <c r="L169" s="43"/>
      <c r="M169" s="43"/>
      <c r="N169" s="43"/>
      <c r="O169" s="43"/>
      <c r="P169" s="43"/>
      <c r="Q169" s="43"/>
      <c r="R169" s="43"/>
      <c r="S169" s="43"/>
      <c r="T169" s="43"/>
    </row>
    <row r="170" spans="1:20" s="40" customFormat="1" ht="20" customHeight="1">
      <c r="A170" s="198"/>
      <c r="B170" s="4" t="s">
        <v>165</v>
      </c>
      <c r="C170" s="5">
        <f>(หลังริม!C170*2)+(หลังกลาง!C170*2)</f>
        <v>4</v>
      </c>
      <c r="D170" s="6" t="s">
        <v>141</v>
      </c>
      <c r="E170" s="11">
        <v>2670</v>
      </c>
      <c r="F170" s="5">
        <f t="shared" si="52"/>
        <v>10680</v>
      </c>
      <c r="G170" s="5">
        <v>400</v>
      </c>
      <c r="H170" s="5">
        <f t="shared" si="53"/>
        <v>1600</v>
      </c>
      <c r="I170" s="49">
        <f t="shared" si="54"/>
        <v>12280</v>
      </c>
      <c r="J170" s="4"/>
      <c r="K170" s="43"/>
      <c r="L170" s="43"/>
      <c r="M170" s="43"/>
      <c r="N170" s="43"/>
      <c r="O170" s="43"/>
      <c r="P170" s="43"/>
      <c r="Q170" s="43"/>
      <c r="R170" s="43"/>
      <c r="S170" s="43"/>
      <c r="T170" s="43"/>
    </row>
    <row r="171" spans="1:20" s="40" customFormat="1" ht="20" customHeight="1">
      <c r="A171" s="198"/>
      <c r="B171" s="4" t="s">
        <v>166</v>
      </c>
      <c r="C171" s="5">
        <f>(หลังริม!C171*2)+(หลังกลาง!C171*2)</f>
        <v>8</v>
      </c>
      <c r="D171" s="6" t="s">
        <v>141</v>
      </c>
      <c r="E171" s="11">
        <v>1458</v>
      </c>
      <c r="F171" s="5">
        <f t="shared" si="52"/>
        <v>11664</v>
      </c>
      <c r="G171" s="5">
        <v>400</v>
      </c>
      <c r="H171" s="5">
        <f t="shared" si="53"/>
        <v>3200</v>
      </c>
      <c r="I171" s="49">
        <f t="shared" si="54"/>
        <v>14864</v>
      </c>
      <c r="J171" s="4"/>
      <c r="K171" s="43"/>
      <c r="L171" s="43"/>
      <c r="M171" s="43"/>
      <c r="N171" s="43"/>
      <c r="O171" s="43"/>
      <c r="P171" s="43"/>
      <c r="Q171" s="43"/>
      <c r="R171" s="43"/>
      <c r="S171" s="43"/>
      <c r="T171" s="43"/>
    </row>
    <row r="172" spans="1:20" s="40" customFormat="1" ht="20" customHeight="1">
      <c r="A172" s="198"/>
      <c r="B172" s="4" t="s">
        <v>169</v>
      </c>
      <c r="C172" s="5">
        <f>(หลังริม!C172*2)+(หลังกลาง!C172*2)</f>
        <v>2</v>
      </c>
      <c r="D172" s="6" t="s">
        <v>141</v>
      </c>
      <c r="E172" s="11">
        <v>0</v>
      </c>
      <c r="F172" s="5">
        <f t="shared" si="52"/>
        <v>0</v>
      </c>
      <c r="G172" s="5">
        <v>3300</v>
      </c>
      <c r="H172" s="5">
        <f t="shared" si="53"/>
        <v>6600</v>
      </c>
      <c r="I172" s="49">
        <f t="shared" si="54"/>
        <v>6600</v>
      </c>
      <c r="J172" s="24" t="s">
        <v>172</v>
      </c>
      <c r="K172" s="43"/>
      <c r="L172" s="43"/>
      <c r="M172" s="43"/>
      <c r="N172" s="43"/>
      <c r="O172" s="43"/>
      <c r="P172" s="43"/>
      <c r="Q172" s="43"/>
      <c r="R172" s="43"/>
      <c r="S172" s="43"/>
      <c r="T172" s="43"/>
    </row>
    <row r="173" spans="1:20" s="40" customFormat="1" ht="20" customHeight="1">
      <c r="A173" s="198"/>
      <c r="B173" s="4" t="s">
        <v>167</v>
      </c>
      <c r="C173" s="5">
        <f>(หลังริม!C173*2)+(หลังกลาง!C173*2)</f>
        <v>4</v>
      </c>
      <c r="D173" s="6" t="s">
        <v>141</v>
      </c>
      <c r="E173" s="11">
        <v>0</v>
      </c>
      <c r="F173" s="5">
        <f t="shared" si="52"/>
        <v>0</v>
      </c>
      <c r="G173" s="5">
        <v>2500</v>
      </c>
      <c r="H173" s="5">
        <f t="shared" si="53"/>
        <v>10000</v>
      </c>
      <c r="I173" s="49">
        <f t="shared" si="54"/>
        <v>10000</v>
      </c>
      <c r="J173" s="24" t="s">
        <v>172</v>
      </c>
      <c r="K173" s="43"/>
      <c r="L173" s="43"/>
      <c r="M173" s="43"/>
      <c r="N173" s="43"/>
      <c r="O173" s="43"/>
      <c r="P173" s="43"/>
      <c r="Q173" s="43"/>
      <c r="R173" s="43"/>
      <c r="S173" s="43"/>
      <c r="T173" s="43"/>
    </row>
    <row r="174" spans="1:20" s="40" customFormat="1" ht="20" customHeight="1">
      <c r="A174" s="198"/>
      <c r="B174" s="4" t="s">
        <v>168</v>
      </c>
      <c r="C174" s="5">
        <f>(หลังริม!C174*2)+(หลังกลาง!C174*2)</f>
        <v>4</v>
      </c>
      <c r="D174" s="6" t="s">
        <v>141</v>
      </c>
      <c r="E174" s="11">
        <v>0</v>
      </c>
      <c r="F174" s="5">
        <f t="shared" si="52"/>
        <v>0</v>
      </c>
      <c r="G174" s="5">
        <v>1200</v>
      </c>
      <c r="H174" s="5">
        <f t="shared" si="53"/>
        <v>4800</v>
      </c>
      <c r="I174" s="49">
        <f t="shared" si="54"/>
        <v>4800</v>
      </c>
      <c r="J174" s="24" t="s">
        <v>172</v>
      </c>
      <c r="K174" s="43"/>
      <c r="L174" s="43"/>
      <c r="M174" s="43"/>
      <c r="N174" s="43"/>
      <c r="O174" s="43"/>
      <c r="P174" s="43"/>
      <c r="Q174" s="43"/>
      <c r="R174" s="43"/>
      <c r="S174" s="43"/>
      <c r="T174" s="43"/>
    </row>
    <row r="175" spans="1:20" s="40" customFormat="1" ht="20" customHeight="1">
      <c r="A175" s="198"/>
      <c r="B175" s="4" t="s">
        <v>170</v>
      </c>
      <c r="C175" s="5">
        <f>(หลังริม!C175*2)+(หลังกลาง!C175*2)</f>
        <v>2</v>
      </c>
      <c r="D175" s="6" t="s">
        <v>141</v>
      </c>
      <c r="E175" s="11">
        <v>0</v>
      </c>
      <c r="F175" s="5">
        <f t="shared" si="52"/>
        <v>0</v>
      </c>
      <c r="G175" s="5">
        <v>4400</v>
      </c>
      <c r="H175" s="5">
        <f t="shared" si="53"/>
        <v>8800</v>
      </c>
      <c r="I175" s="49">
        <f t="shared" si="54"/>
        <v>8800</v>
      </c>
      <c r="J175" s="24" t="s">
        <v>172</v>
      </c>
      <c r="K175" s="43"/>
      <c r="L175" s="43"/>
      <c r="M175" s="43"/>
      <c r="N175" s="43"/>
      <c r="O175" s="43"/>
      <c r="P175" s="43"/>
      <c r="Q175" s="43"/>
      <c r="R175" s="43"/>
      <c r="S175" s="43"/>
      <c r="T175" s="43"/>
    </row>
    <row r="176" spans="1:20" s="40" customFormat="1" ht="20" customHeight="1">
      <c r="A176" s="198"/>
      <c r="B176" s="4" t="s">
        <v>171</v>
      </c>
      <c r="C176" s="5">
        <f>(หลังริม!C176*2)+(หลังกลาง!C176*2)</f>
        <v>2</v>
      </c>
      <c r="D176" s="6" t="s">
        <v>141</v>
      </c>
      <c r="E176" s="11">
        <v>0</v>
      </c>
      <c r="F176" s="5">
        <f t="shared" si="52"/>
        <v>0</v>
      </c>
      <c r="G176" s="5">
        <v>5300</v>
      </c>
      <c r="H176" s="5">
        <f t="shared" si="53"/>
        <v>10600</v>
      </c>
      <c r="I176" s="49">
        <f t="shared" si="54"/>
        <v>10600</v>
      </c>
      <c r="J176" s="24" t="s">
        <v>172</v>
      </c>
      <c r="K176" s="43"/>
      <c r="L176" s="43"/>
      <c r="M176" s="43"/>
      <c r="N176" s="43"/>
      <c r="O176" s="43"/>
      <c r="P176" s="43"/>
      <c r="Q176" s="43"/>
      <c r="R176" s="43"/>
      <c r="S176" s="43"/>
      <c r="T176" s="43"/>
    </row>
    <row r="177" spans="1:20" s="50" customFormat="1" ht="20" customHeight="1">
      <c r="A177" s="12"/>
      <c r="B177" s="12" t="s">
        <v>178</v>
      </c>
      <c r="C177" s="5">
        <f>(หลังริม!C177*2)+(หลังกลาง!C177*2)</f>
        <v>0</v>
      </c>
      <c r="D177" s="12"/>
      <c r="E177" s="100"/>
      <c r="F177" s="14">
        <f>SUM(F168:F176)</f>
        <v>33024</v>
      </c>
      <c r="G177" s="14"/>
      <c r="H177" s="14">
        <f t="shared" ref="H177:I177" si="55">SUM(H168:H176)</f>
        <v>79200</v>
      </c>
      <c r="I177" s="14">
        <f t="shared" si="55"/>
        <v>112224</v>
      </c>
      <c r="J177" s="13"/>
      <c r="K177" s="151">
        <f>H177+F177</f>
        <v>112224</v>
      </c>
    </row>
    <row r="178" spans="1:20" s="40" customFormat="1" ht="20" customHeight="1">
      <c r="A178" s="198"/>
      <c r="B178" s="3" t="s">
        <v>227</v>
      </c>
      <c r="C178" s="5">
        <f>(หลังริม!C178*2)+(หลังกลาง!C178*2)</f>
        <v>0</v>
      </c>
      <c r="D178" s="6"/>
      <c r="E178" s="48"/>
      <c r="F178" s="4"/>
      <c r="G178" s="4"/>
      <c r="H178" s="4"/>
      <c r="I178" s="4"/>
      <c r="J178" s="4"/>
      <c r="K178" s="43"/>
      <c r="L178" s="43"/>
      <c r="M178" s="43"/>
      <c r="N178" s="43"/>
      <c r="O178" s="43"/>
      <c r="P178" s="43"/>
      <c r="Q178" s="43"/>
      <c r="R178" s="43"/>
      <c r="S178" s="43"/>
      <c r="T178" s="43"/>
    </row>
    <row r="179" spans="1:20" s="40" customFormat="1" ht="20" customHeight="1">
      <c r="A179" s="198"/>
      <c r="B179" s="4" t="s">
        <v>173</v>
      </c>
      <c r="C179" s="5">
        <f>(หลังริม!C179*2)+(หลังกลาง!C179*2)</f>
        <v>128</v>
      </c>
      <c r="D179" s="6" t="s">
        <v>32</v>
      </c>
      <c r="E179" s="11">
        <v>250</v>
      </c>
      <c r="F179" s="5">
        <f>E179*C179</f>
        <v>32000</v>
      </c>
      <c r="G179" s="5">
        <v>150</v>
      </c>
      <c r="H179" s="5">
        <f>G179*C179</f>
        <v>19200</v>
      </c>
      <c r="I179" s="49">
        <f>H179+F179</f>
        <v>51200</v>
      </c>
      <c r="J179" s="4"/>
      <c r="K179" s="43"/>
      <c r="L179" s="43"/>
      <c r="M179" s="43"/>
      <c r="N179" s="43"/>
      <c r="O179" s="43"/>
      <c r="P179" s="43"/>
      <c r="Q179" s="43"/>
      <c r="R179" s="43"/>
      <c r="S179" s="43"/>
      <c r="T179" s="43"/>
    </row>
    <row r="180" spans="1:20" s="40" customFormat="1" ht="20" customHeight="1">
      <c r="A180" s="198"/>
      <c r="B180" s="4" t="s">
        <v>174</v>
      </c>
      <c r="C180" s="5">
        <f>(หลังริม!C180*2)+(หลังกลาง!C180*2)</f>
        <v>16</v>
      </c>
      <c r="D180" s="6" t="s">
        <v>32</v>
      </c>
      <c r="E180" s="11">
        <v>250</v>
      </c>
      <c r="F180" s="5">
        <f t="shared" ref="F180:F183" si="56">E180*C180</f>
        <v>4000</v>
      </c>
      <c r="G180" s="5">
        <v>150</v>
      </c>
      <c r="H180" s="5">
        <f t="shared" ref="H180:H183" si="57">G180*C180</f>
        <v>2400</v>
      </c>
      <c r="I180" s="49">
        <f t="shared" ref="I180:I183" si="58">H180+F180</f>
        <v>6400</v>
      </c>
      <c r="J180" s="4"/>
      <c r="K180" s="43"/>
      <c r="L180" s="43"/>
      <c r="M180" s="43"/>
      <c r="N180" s="43"/>
      <c r="O180" s="43"/>
      <c r="P180" s="43"/>
      <c r="Q180" s="43"/>
      <c r="R180" s="43"/>
      <c r="S180" s="43"/>
      <c r="T180" s="43"/>
    </row>
    <row r="181" spans="1:20" s="40" customFormat="1" ht="20" customHeight="1">
      <c r="A181" s="198"/>
      <c r="B181" s="4" t="s">
        <v>175</v>
      </c>
      <c r="C181" s="5">
        <f>(หลังริม!C181*2)+(หลังกลาง!C181*2)</f>
        <v>24</v>
      </c>
      <c r="D181" s="6" t="s">
        <v>32</v>
      </c>
      <c r="E181" s="11">
        <v>300</v>
      </c>
      <c r="F181" s="5">
        <f t="shared" si="56"/>
        <v>7200</v>
      </c>
      <c r="G181" s="5">
        <v>150</v>
      </c>
      <c r="H181" s="5">
        <f t="shared" si="57"/>
        <v>3600</v>
      </c>
      <c r="I181" s="49">
        <f t="shared" si="58"/>
        <v>10800</v>
      </c>
      <c r="J181" s="4"/>
      <c r="K181" s="43"/>
      <c r="L181" s="43"/>
      <c r="M181" s="43"/>
      <c r="N181" s="43"/>
      <c r="O181" s="43"/>
      <c r="P181" s="43"/>
      <c r="Q181" s="43"/>
      <c r="R181" s="43"/>
      <c r="S181" s="43"/>
      <c r="T181" s="43"/>
    </row>
    <row r="182" spans="1:20" s="40" customFormat="1" ht="20" customHeight="1">
      <c r="A182" s="198"/>
      <c r="B182" s="4" t="s">
        <v>265</v>
      </c>
      <c r="C182" s="5">
        <f>(หลังริม!C182*2)+(หลังกลาง!C182*2)</f>
        <v>96</v>
      </c>
      <c r="D182" s="6" t="s">
        <v>32</v>
      </c>
      <c r="E182" s="11">
        <v>250</v>
      </c>
      <c r="F182" s="5">
        <f t="shared" si="56"/>
        <v>24000</v>
      </c>
      <c r="G182" s="5">
        <v>170</v>
      </c>
      <c r="H182" s="5">
        <f t="shared" si="57"/>
        <v>16320</v>
      </c>
      <c r="I182" s="49">
        <f t="shared" si="58"/>
        <v>40320</v>
      </c>
      <c r="J182" s="4"/>
      <c r="K182" s="43"/>
      <c r="L182" s="43"/>
      <c r="M182" s="43"/>
      <c r="N182" s="43"/>
      <c r="O182" s="43"/>
      <c r="P182" s="43"/>
      <c r="Q182" s="43"/>
      <c r="R182" s="43"/>
      <c r="S182" s="43"/>
      <c r="T182" s="43"/>
    </row>
    <row r="183" spans="1:20" s="40" customFormat="1" ht="20" customHeight="1">
      <c r="A183" s="198"/>
      <c r="B183" s="4" t="s">
        <v>176</v>
      </c>
      <c r="C183" s="5">
        <f>(หลังริม!C183*2)+(หลังกลาง!C183*2)</f>
        <v>96</v>
      </c>
      <c r="D183" s="6" t="s">
        <v>32</v>
      </c>
      <c r="E183" s="11">
        <v>38</v>
      </c>
      <c r="F183" s="5">
        <f t="shared" si="56"/>
        <v>3648</v>
      </c>
      <c r="G183" s="5">
        <v>1000</v>
      </c>
      <c r="H183" s="5">
        <f t="shared" si="57"/>
        <v>96000</v>
      </c>
      <c r="I183" s="49">
        <f t="shared" si="58"/>
        <v>99648</v>
      </c>
      <c r="J183" s="4"/>
      <c r="K183" s="43"/>
      <c r="L183" s="43"/>
      <c r="M183" s="43"/>
      <c r="N183" s="43"/>
      <c r="O183" s="43"/>
      <c r="P183" s="43"/>
      <c r="Q183" s="43"/>
      <c r="R183" s="43"/>
      <c r="S183" s="43"/>
      <c r="T183" s="43"/>
    </row>
    <row r="184" spans="1:20" s="50" customFormat="1" ht="20" customHeight="1">
      <c r="A184" s="12"/>
      <c r="B184" s="12" t="s">
        <v>219</v>
      </c>
      <c r="C184" s="5">
        <f>(หลังริม!C184*2)+(หลังกลาง!C184*2)</f>
        <v>0</v>
      </c>
      <c r="D184" s="12"/>
      <c r="E184" s="100"/>
      <c r="F184" s="14">
        <f>SUM(F179:F183)</f>
        <v>70848</v>
      </c>
      <c r="G184" s="14"/>
      <c r="H184" s="14">
        <f t="shared" ref="H184:I184" si="59">SUM(H179:H183)</f>
        <v>137520</v>
      </c>
      <c r="I184" s="14">
        <f t="shared" si="59"/>
        <v>208368</v>
      </c>
      <c r="J184" s="13"/>
      <c r="K184" s="151">
        <f>H184+F184</f>
        <v>208368</v>
      </c>
    </row>
    <row r="185" spans="1:20" s="40" customFormat="1" ht="20" customHeight="1">
      <c r="A185" s="198"/>
      <c r="B185" s="3" t="s">
        <v>228</v>
      </c>
      <c r="C185" s="5">
        <f>(หลังริม!C185*2)+(หลังกลาง!C185*2)</f>
        <v>0</v>
      </c>
      <c r="D185" s="6"/>
      <c r="E185" s="48"/>
      <c r="F185" s="74"/>
      <c r="G185" s="77"/>
      <c r="H185" s="74"/>
      <c r="I185" s="74"/>
      <c r="J185" s="4"/>
      <c r="K185" s="43"/>
      <c r="L185" s="43"/>
      <c r="M185" s="43"/>
      <c r="N185" s="43"/>
      <c r="O185" s="43"/>
      <c r="P185" s="43"/>
      <c r="Q185" s="43"/>
      <c r="R185" s="43"/>
      <c r="S185" s="43"/>
      <c r="T185" s="43"/>
    </row>
    <row r="186" spans="1:20" s="40" customFormat="1" ht="20" customHeight="1">
      <c r="A186" s="198"/>
      <c r="B186" s="4" t="s">
        <v>185</v>
      </c>
      <c r="C186" s="5">
        <f>(หลังริม!C186*2)+(หลังกลาง!C186*2)</f>
        <v>246.32</v>
      </c>
      <c r="D186" s="6" t="s">
        <v>32</v>
      </c>
      <c r="E186" s="11">
        <v>60</v>
      </c>
      <c r="F186" s="5">
        <f>E186*C186</f>
        <v>14779.199999999999</v>
      </c>
      <c r="G186" s="5">
        <v>25</v>
      </c>
      <c r="H186" s="5">
        <f>G186*C186</f>
        <v>6158</v>
      </c>
      <c r="I186" s="7">
        <f>H186+F186</f>
        <v>20937.199999999997</v>
      </c>
      <c r="J186" s="4"/>
      <c r="K186" s="43"/>
      <c r="L186" s="43"/>
      <c r="M186" s="43"/>
      <c r="N186" s="43"/>
      <c r="O186" s="43"/>
      <c r="P186" s="43"/>
      <c r="Q186" s="43"/>
      <c r="R186" s="43"/>
      <c r="S186" s="43"/>
      <c r="T186" s="43"/>
    </row>
    <row r="187" spans="1:20" s="40" customFormat="1" ht="20" customHeight="1">
      <c r="A187" s="198"/>
      <c r="B187" s="4" t="s">
        <v>186</v>
      </c>
      <c r="C187" s="5">
        <f>(หลังริม!C187*2)+(หลังกลาง!C187*2)</f>
        <v>444</v>
      </c>
      <c r="D187" s="6" t="s">
        <v>32</v>
      </c>
      <c r="E187" s="11">
        <v>60</v>
      </c>
      <c r="F187" s="5">
        <f t="shared" ref="F187:F199" si="60">E187*C187</f>
        <v>26640</v>
      </c>
      <c r="G187" s="5">
        <v>25</v>
      </c>
      <c r="H187" s="5">
        <f t="shared" ref="H187:H199" si="61">G187*C187</f>
        <v>11100</v>
      </c>
      <c r="I187" s="7">
        <f t="shared" ref="I187:I199" si="62">H187+F187</f>
        <v>37740</v>
      </c>
      <c r="J187" s="4"/>
      <c r="K187" s="43"/>
      <c r="L187" s="43"/>
      <c r="M187" s="43"/>
      <c r="N187" s="43"/>
      <c r="O187" s="43"/>
      <c r="P187" s="43"/>
      <c r="Q187" s="43"/>
      <c r="R187" s="43"/>
      <c r="S187" s="43"/>
      <c r="T187" s="43"/>
    </row>
    <row r="188" spans="1:20" s="40" customFormat="1" ht="20" customHeight="1">
      <c r="A188" s="198"/>
      <c r="B188" s="4" t="s">
        <v>187</v>
      </c>
      <c r="C188" s="5">
        <f>(หลังริม!C188*2)+(หลังกลาง!C188*2)</f>
        <v>185.12</v>
      </c>
      <c r="D188" s="6" t="s">
        <v>32</v>
      </c>
      <c r="E188" s="11">
        <v>45</v>
      </c>
      <c r="F188" s="5">
        <f t="shared" si="60"/>
        <v>8330.4</v>
      </c>
      <c r="G188" s="5">
        <v>25</v>
      </c>
      <c r="H188" s="5">
        <f t="shared" si="61"/>
        <v>4628</v>
      </c>
      <c r="I188" s="7">
        <f t="shared" si="62"/>
        <v>12958.4</v>
      </c>
      <c r="J188" s="4"/>
      <c r="K188" s="43"/>
      <c r="L188" s="43"/>
      <c r="M188" s="43"/>
      <c r="N188" s="43"/>
      <c r="O188" s="43"/>
      <c r="P188" s="43"/>
      <c r="Q188" s="43"/>
      <c r="R188" s="43"/>
      <c r="S188" s="43"/>
      <c r="T188" s="43"/>
    </row>
    <row r="189" spans="1:20" s="40" customFormat="1" ht="20" customHeight="1">
      <c r="A189" s="198"/>
      <c r="B189" s="4" t="s">
        <v>188</v>
      </c>
      <c r="C189" s="5">
        <f>(หลังริม!C189*2)+(หลังกลาง!C189*2)</f>
        <v>30</v>
      </c>
      <c r="D189" s="6" t="s">
        <v>32</v>
      </c>
      <c r="E189" s="11">
        <v>45</v>
      </c>
      <c r="F189" s="5">
        <f t="shared" si="60"/>
        <v>1350</v>
      </c>
      <c r="G189" s="5">
        <v>25</v>
      </c>
      <c r="H189" s="5">
        <f t="shared" si="61"/>
        <v>750</v>
      </c>
      <c r="I189" s="7">
        <f t="shared" si="62"/>
        <v>2100</v>
      </c>
      <c r="J189" s="4"/>
      <c r="K189" s="43"/>
      <c r="L189" s="43"/>
      <c r="M189" s="43"/>
      <c r="N189" s="43"/>
      <c r="O189" s="43"/>
      <c r="P189" s="43"/>
      <c r="Q189" s="43"/>
      <c r="R189" s="43"/>
      <c r="S189" s="43"/>
      <c r="T189" s="43"/>
    </row>
    <row r="190" spans="1:20" s="40" customFormat="1" ht="20" customHeight="1">
      <c r="A190" s="198"/>
      <c r="B190" s="4" t="s">
        <v>249</v>
      </c>
      <c r="C190" s="5">
        <f>(หลังริม!C190*2)+(หลังกลาง!C190*2)</f>
        <v>108</v>
      </c>
      <c r="D190" s="6" t="s">
        <v>32</v>
      </c>
      <c r="E190" s="11">
        <v>45</v>
      </c>
      <c r="F190" s="5">
        <f t="shared" si="60"/>
        <v>4860</v>
      </c>
      <c r="G190" s="5">
        <v>25</v>
      </c>
      <c r="H190" s="5">
        <f t="shared" si="61"/>
        <v>2700</v>
      </c>
      <c r="I190" s="7">
        <f t="shared" si="62"/>
        <v>7560</v>
      </c>
      <c r="J190" s="4"/>
      <c r="K190" s="43"/>
      <c r="L190" s="43"/>
      <c r="M190" s="43"/>
      <c r="N190" s="43"/>
      <c r="O190" s="43"/>
      <c r="P190" s="43"/>
      <c r="Q190" s="43"/>
      <c r="R190" s="43"/>
      <c r="S190" s="43"/>
      <c r="T190" s="43"/>
    </row>
    <row r="191" spans="1:20" s="40" customFormat="1" ht="20" customHeight="1">
      <c r="A191" s="198"/>
      <c r="B191" s="4" t="s">
        <v>250</v>
      </c>
      <c r="C191" s="5">
        <f>(หลังริม!C191*2)+(หลังกลาง!C191*2)</f>
        <v>102.48</v>
      </c>
      <c r="D191" s="6" t="s">
        <v>32</v>
      </c>
      <c r="E191" s="11">
        <v>45</v>
      </c>
      <c r="F191" s="5">
        <f t="shared" si="60"/>
        <v>4611.6000000000004</v>
      </c>
      <c r="G191" s="5">
        <v>25</v>
      </c>
      <c r="H191" s="5">
        <f t="shared" si="61"/>
        <v>2562</v>
      </c>
      <c r="I191" s="7">
        <f t="shared" si="62"/>
        <v>7173.6</v>
      </c>
      <c r="J191" s="4"/>
      <c r="K191" s="43"/>
      <c r="L191" s="43"/>
      <c r="M191" s="43"/>
      <c r="N191" s="43"/>
      <c r="O191" s="43"/>
      <c r="P191" s="43"/>
      <c r="Q191" s="43"/>
      <c r="R191" s="43"/>
      <c r="S191" s="43"/>
      <c r="T191" s="43"/>
    </row>
    <row r="192" spans="1:20" s="40" customFormat="1" ht="20" customHeight="1">
      <c r="A192" s="198"/>
      <c r="B192" s="4" t="s">
        <v>248</v>
      </c>
      <c r="C192" s="5">
        <f>(หลังริม!C192*2)+(หลังกลาง!C192*2)</f>
        <v>20</v>
      </c>
      <c r="D192" s="6" t="s">
        <v>32</v>
      </c>
      <c r="E192" s="11">
        <v>45</v>
      </c>
      <c r="F192" s="5">
        <f t="shared" si="60"/>
        <v>900</v>
      </c>
      <c r="G192" s="5">
        <v>25</v>
      </c>
      <c r="H192" s="5">
        <f t="shared" si="61"/>
        <v>500</v>
      </c>
      <c r="I192" s="7">
        <f t="shared" si="62"/>
        <v>1400</v>
      </c>
      <c r="J192" s="4"/>
      <c r="K192" s="43"/>
      <c r="L192" s="43"/>
      <c r="M192" s="43"/>
      <c r="N192" s="43"/>
      <c r="O192" s="43"/>
      <c r="P192" s="43"/>
      <c r="Q192" s="43"/>
      <c r="R192" s="43"/>
      <c r="S192" s="43"/>
      <c r="T192" s="43"/>
    </row>
    <row r="193" spans="1:20" s="40" customFormat="1" ht="20" customHeight="1">
      <c r="A193" s="198"/>
      <c r="B193" s="78" t="s">
        <v>269</v>
      </c>
      <c r="C193" s="5">
        <f>(หลังริม!C193*2)+(หลังกลาง!C193*2)</f>
        <v>8.94</v>
      </c>
      <c r="D193" s="6" t="s">
        <v>32</v>
      </c>
      <c r="E193" s="5">
        <v>45</v>
      </c>
      <c r="F193" s="5">
        <f t="shared" si="60"/>
        <v>402.29999999999995</v>
      </c>
      <c r="G193" s="5">
        <v>25</v>
      </c>
      <c r="H193" s="5">
        <f t="shared" si="61"/>
        <v>223.5</v>
      </c>
      <c r="I193" s="7">
        <f t="shared" si="62"/>
        <v>625.79999999999995</v>
      </c>
      <c r="J193" s="4"/>
      <c r="K193" s="43"/>
      <c r="L193" s="43"/>
      <c r="M193" s="43"/>
      <c r="N193" s="43"/>
      <c r="O193" s="43"/>
      <c r="P193" s="43"/>
      <c r="Q193" s="43"/>
      <c r="R193" s="43"/>
      <c r="S193" s="43"/>
      <c r="T193" s="43"/>
    </row>
    <row r="194" spans="1:20" s="40" customFormat="1" ht="20" customHeight="1">
      <c r="A194" s="198"/>
      <c r="B194" s="78" t="s">
        <v>270</v>
      </c>
      <c r="C194" s="5">
        <f>(หลังริม!C194*2)+(หลังกลาง!C194*2)</f>
        <v>16</v>
      </c>
      <c r="D194" s="6" t="s">
        <v>32</v>
      </c>
      <c r="E194" s="5">
        <v>45</v>
      </c>
      <c r="F194" s="5">
        <f t="shared" si="60"/>
        <v>720</v>
      </c>
      <c r="G194" s="5">
        <v>25</v>
      </c>
      <c r="H194" s="5">
        <f t="shared" si="61"/>
        <v>400</v>
      </c>
      <c r="I194" s="7">
        <f t="shared" si="62"/>
        <v>1120</v>
      </c>
      <c r="J194" s="4"/>
      <c r="K194" s="43"/>
      <c r="L194" s="43"/>
      <c r="M194" s="43"/>
      <c r="N194" s="43"/>
      <c r="O194" s="43"/>
      <c r="P194" s="43"/>
      <c r="Q194" s="43"/>
      <c r="R194" s="43"/>
      <c r="S194" s="43"/>
      <c r="T194" s="43"/>
    </row>
    <row r="195" spans="1:20" s="40" customFormat="1" ht="20" customHeight="1">
      <c r="A195" s="198"/>
      <c r="B195" s="4" t="s">
        <v>251</v>
      </c>
      <c r="C195" s="5">
        <f>(หลังริม!C195*2)+(หลังกลาง!C195*2)</f>
        <v>20</v>
      </c>
      <c r="D195" s="6" t="s">
        <v>32</v>
      </c>
      <c r="E195" s="11">
        <v>45</v>
      </c>
      <c r="F195" s="5">
        <f t="shared" si="60"/>
        <v>900</v>
      </c>
      <c r="G195" s="5">
        <v>25</v>
      </c>
      <c r="H195" s="5">
        <f t="shared" si="61"/>
        <v>500</v>
      </c>
      <c r="I195" s="7">
        <f t="shared" si="62"/>
        <v>1400</v>
      </c>
      <c r="J195" s="4"/>
      <c r="K195" s="43"/>
      <c r="L195" s="43"/>
      <c r="M195" s="43"/>
      <c r="N195" s="43"/>
      <c r="O195" s="43"/>
      <c r="P195" s="43"/>
      <c r="Q195" s="43"/>
      <c r="R195" s="43"/>
      <c r="S195" s="43"/>
      <c r="T195" s="43"/>
    </row>
    <row r="196" spans="1:20" s="40" customFormat="1" ht="20" customHeight="1">
      <c r="A196" s="198"/>
      <c r="B196" s="4" t="s">
        <v>252</v>
      </c>
      <c r="C196" s="5">
        <f>(หลังริม!C196*2)+(หลังกลาง!C196*2)</f>
        <v>24.96</v>
      </c>
      <c r="D196" s="6" t="s">
        <v>32</v>
      </c>
      <c r="E196" s="11">
        <v>45</v>
      </c>
      <c r="F196" s="5">
        <f t="shared" si="60"/>
        <v>1123.2</v>
      </c>
      <c r="G196" s="5">
        <v>25</v>
      </c>
      <c r="H196" s="5">
        <f t="shared" si="61"/>
        <v>624</v>
      </c>
      <c r="I196" s="7">
        <f t="shared" si="62"/>
        <v>1747.2</v>
      </c>
      <c r="J196" s="4"/>
      <c r="K196" s="43"/>
      <c r="L196" s="43"/>
      <c r="M196" s="43"/>
      <c r="N196" s="43"/>
      <c r="O196" s="43"/>
      <c r="P196" s="43"/>
      <c r="Q196" s="43"/>
      <c r="R196" s="43"/>
      <c r="S196" s="43"/>
      <c r="T196" s="43"/>
    </row>
    <row r="197" spans="1:20" s="40" customFormat="1" ht="20" customHeight="1">
      <c r="A197" s="198"/>
      <c r="B197" s="4" t="s">
        <v>253</v>
      </c>
      <c r="C197" s="5">
        <f>(หลังริม!C197*2)+(หลังกลาง!C197*2)</f>
        <v>4</v>
      </c>
      <c r="D197" s="6" t="s">
        <v>254</v>
      </c>
      <c r="E197" s="11">
        <v>0</v>
      </c>
      <c r="F197" s="5">
        <f t="shared" si="60"/>
        <v>0</v>
      </c>
      <c r="G197" s="5">
        <v>1500</v>
      </c>
      <c r="H197" s="5">
        <f t="shared" si="61"/>
        <v>6000</v>
      </c>
      <c r="I197" s="7">
        <f t="shared" si="62"/>
        <v>6000</v>
      </c>
      <c r="J197" s="4"/>
      <c r="K197" s="43"/>
      <c r="L197" s="43"/>
      <c r="M197" s="43"/>
      <c r="N197" s="43"/>
      <c r="O197" s="43"/>
      <c r="P197" s="43"/>
      <c r="Q197" s="43"/>
      <c r="R197" s="43"/>
      <c r="S197" s="43"/>
      <c r="T197" s="43"/>
    </row>
    <row r="198" spans="1:20" s="40" customFormat="1" ht="20" customHeight="1">
      <c r="A198" s="198"/>
      <c r="B198" s="4" t="s">
        <v>189</v>
      </c>
      <c r="C198" s="5">
        <f>(หลังริม!C198*2)+(หลังกลาง!C198*2)</f>
        <v>773.92000000000007</v>
      </c>
      <c r="D198" s="6" t="s">
        <v>32</v>
      </c>
      <c r="E198" s="11">
        <v>15</v>
      </c>
      <c r="F198" s="5">
        <f t="shared" si="60"/>
        <v>11608.800000000001</v>
      </c>
      <c r="G198" s="5">
        <v>20</v>
      </c>
      <c r="H198" s="5">
        <f t="shared" si="61"/>
        <v>15478.400000000001</v>
      </c>
      <c r="I198" s="7">
        <f t="shared" si="62"/>
        <v>27087.200000000004</v>
      </c>
      <c r="J198" s="4"/>
      <c r="K198" s="43"/>
      <c r="L198" s="43"/>
      <c r="M198" s="43"/>
      <c r="N198" s="43"/>
      <c r="O198" s="43"/>
      <c r="P198" s="43"/>
      <c r="Q198" s="43"/>
      <c r="R198" s="43"/>
      <c r="S198" s="43"/>
      <c r="T198" s="43"/>
    </row>
    <row r="199" spans="1:20" s="40" customFormat="1" ht="20" customHeight="1">
      <c r="A199" s="198"/>
      <c r="B199" s="4" t="s">
        <v>190</v>
      </c>
      <c r="C199" s="5">
        <f>(หลังริม!C199*2)+(หลังกลาง!C199*2)</f>
        <v>4</v>
      </c>
      <c r="D199" s="6" t="s">
        <v>136</v>
      </c>
      <c r="E199" s="11">
        <v>0</v>
      </c>
      <c r="F199" s="5">
        <f t="shared" si="60"/>
        <v>0</v>
      </c>
      <c r="G199" s="5">
        <v>100</v>
      </c>
      <c r="H199" s="5">
        <f t="shared" si="61"/>
        <v>400</v>
      </c>
      <c r="I199" s="7">
        <f t="shared" si="62"/>
        <v>400</v>
      </c>
      <c r="J199" s="4"/>
      <c r="K199" s="43"/>
      <c r="L199" s="43"/>
      <c r="M199" s="43"/>
      <c r="N199" s="43"/>
      <c r="O199" s="43"/>
      <c r="P199" s="43"/>
      <c r="Q199" s="43"/>
      <c r="R199" s="43"/>
      <c r="S199" s="43"/>
      <c r="T199" s="43"/>
    </row>
    <row r="200" spans="1:20" s="50" customFormat="1" ht="20" customHeight="1">
      <c r="A200" s="12"/>
      <c r="B200" s="12" t="s">
        <v>220</v>
      </c>
      <c r="C200" s="5">
        <f>(หลังริม!C200*2)+(หลังกลาง!C200*2)</f>
        <v>0</v>
      </c>
      <c r="D200" s="12"/>
      <c r="E200" s="100"/>
      <c r="F200" s="14">
        <f>SUM(F186:F199)</f>
        <v>76225.5</v>
      </c>
      <c r="G200" s="14"/>
      <c r="H200" s="14">
        <f t="shared" ref="H200:I200" si="63">SUM(H186:H199)</f>
        <v>52023.9</v>
      </c>
      <c r="I200" s="14">
        <f t="shared" si="63"/>
        <v>128249.4</v>
      </c>
      <c r="J200" s="13"/>
      <c r="K200" s="151">
        <f>H200+F200</f>
        <v>128249.4</v>
      </c>
    </row>
    <row r="201" spans="1:20" s="40" customFormat="1" ht="20" customHeight="1">
      <c r="A201" s="198"/>
      <c r="B201" s="3" t="s">
        <v>229</v>
      </c>
      <c r="C201" s="5">
        <f>(หลังริม!C201*2)+(หลังกลาง!C201*2)</f>
        <v>0</v>
      </c>
      <c r="D201" s="6"/>
      <c r="E201" s="48"/>
      <c r="F201" s="4"/>
      <c r="G201" s="4"/>
      <c r="H201" s="4"/>
      <c r="I201" s="4"/>
      <c r="J201" s="4"/>
      <c r="K201" s="43"/>
      <c r="L201" s="43"/>
      <c r="M201" s="43"/>
      <c r="N201" s="43"/>
      <c r="O201" s="43"/>
      <c r="P201" s="43"/>
      <c r="Q201" s="43"/>
      <c r="R201" s="43"/>
      <c r="S201" s="43"/>
      <c r="T201" s="43"/>
    </row>
    <row r="202" spans="1:20" s="40" customFormat="1" ht="20" customHeight="1">
      <c r="A202" s="198"/>
      <c r="B202" s="4" t="s">
        <v>52</v>
      </c>
      <c r="C202" s="5">
        <f>(หลังริม!C202*2)+(หลังกลาง!C202*2)</f>
        <v>32</v>
      </c>
      <c r="D202" s="6" t="s">
        <v>53</v>
      </c>
      <c r="E202" s="11">
        <v>225</v>
      </c>
      <c r="F202" s="5">
        <f>E202*C202</f>
        <v>7200</v>
      </c>
      <c r="G202" s="20">
        <v>0</v>
      </c>
      <c r="H202" s="5">
        <f>G202*C202</f>
        <v>0</v>
      </c>
      <c r="I202" s="49">
        <f>H202+F202</f>
        <v>7200</v>
      </c>
      <c r="J202" s="4"/>
      <c r="K202" s="43"/>
      <c r="L202" s="43"/>
      <c r="M202" s="43"/>
      <c r="N202" s="43"/>
      <c r="O202" s="43"/>
      <c r="P202" s="43"/>
      <c r="Q202" s="43"/>
      <c r="R202" s="43"/>
      <c r="S202" s="43"/>
      <c r="T202" s="43"/>
    </row>
    <row r="203" spans="1:20" s="40" customFormat="1" ht="20" customHeight="1">
      <c r="A203" s="198"/>
      <c r="B203" s="4" t="s">
        <v>179</v>
      </c>
      <c r="C203" s="5">
        <f>(หลังริม!C203*2)+(หลังกลาง!C203*2)</f>
        <v>32</v>
      </c>
      <c r="D203" s="6" t="s">
        <v>141</v>
      </c>
      <c r="E203" s="11">
        <v>25</v>
      </c>
      <c r="F203" s="5">
        <f t="shared" ref="F203:F213" si="64">E203*C203</f>
        <v>800</v>
      </c>
      <c r="G203" s="20">
        <v>0</v>
      </c>
      <c r="H203" s="5">
        <f t="shared" ref="H203:H213" si="65">G203*C203</f>
        <v>0</v>
      </c>
      <c r="I203" s="49">
        <f t="shared" ref="I203:I213" si="66">H203+F203</f>
        <v>800</v>
      </c>
      <c r="J203" s="4"/>
      <c r="K203" s="43"/>
      <c r="L203" s="43"/>
      <c r="M203" s="43"/>
      <c r="N203" s="43"/>
      <c r="O203" s="43"/>
      <c r="P203" s="43"/>
      <c r="Q203" s="43"/>
      <c r="R203" s="43"/>
      <c r="S203" s="43"/>
      <c r="T203" s="43"/>
    </row>
    <row r="204" spans="1:20" s="40" customFormat="1" ht="20" customHeight="1">
      <c r="A204" s="198"/>
      <c r="B204" s="4" t="s">
        <v>180</v>
      </c>
      <c r="C204" s="5">
        <f>(หลังริม!C204*2)+(หลังกลาง!C204*2)</f>
        <v>8</v>
      </c>
      <c r="D204" s="6" t="s">
        <v>141</v>
      </c>
      <c r="E204" s="11">
        <v>99</v>
      </c>
      <c r="F204" s="5">
        <f t="shared" si="64"/>
        <v>792</v>
      </c>
      <c r="G204" s="20">
        <v>0</v>
      </c>
      <c r="H204" s="5">
        <f t="shared" si="65"/>
        <v>0</v>
      </c>
      <c r="I204" s="49">
        <f t="shared" si="66"/>
        <v>792</v>
      </c>
      <c r="J204" s="4"/>
      <c r="K204" s="43"/>
      <c r="L204" s="43"/>
      <c r="M204" s="43"/>
      <c r="N204" s="43"/>
      <c r="O204" s="43"/>
      <c r="P204" s="43"/>
      <c r="Q204" s="43"/>
      <c r="R204" s="43"/>
      <c r="S204" s="43"/>
      <c r="T204" s="43"/>
    </row>
    <row r="205" spans="1:20" s="40" customFormat="1" ht="20" customHeight="1">
      <c r="A205" s="198"/>
      <c r="B205" s="4" t="s">
        <v>181</v>
      </c>
      <c r="C205" s="5">
        <f>(หลังริม!C205*2)+(หลังกลาง!C205*2)</f>
        <v>8</v>
      </c>
      <c r="D205" s="6" t="s">
        <v>141</v>
      </c>
      <c r="E205" s="11">
        <v>99</v>
      </c>
      <c r="F205" s="5">
        <f t="shared" si="64"/>
        <v>792</v>
      </c>
      <c r="G205" s="20">
        <v>0</v>
      </c>
      <c r="H205" s="5">
        <f t="shared" si="65"/>
        <v>0</v>
      </c>
      <c r="I205" s="49">
        <f t="shared" si="66"/>
        <v>792</v>
      </c>
      <c r="J205" s="4"/>
      <c r="K205" s="43"/>
      <c r="L205" s="43"/>
      <c r="M205" s="43"/>
      <c r="N205" s="43"/>
      <c r="O205" s="43"/>
      <c r="P205" s="43"/>
      <c r="Q205" s="43"/>
      <c r="R205" s="43"/>
      <c r="S205" s="43"/>
      <c r="T205" s="43"/>
    </row>
    <row r="206" spans="1:20" s="40" customFormat="1" ht="20" customHeight="1">
      <c r="A206" s="198"/>
      <c r="B206" s="4" t="s">
        <v>182</v>
      </c>
      <c r="C206" s="5">
        <f>(หลังริม!C206*2)+(หลังกลาง!C206*2)</f>
        <v>0.66666666666666663</v>
      </c>
      <c r="D206" s="6" t="s">
        <v>53</v>
      </c>
      <c r="E206" s="11">
        <v>335</v>
      </c>
      <c r="F206" s="5">
        <f t="shared" si="64"/>
        <v>223.33333333333331</v>
      </c>
      <c r="G206" s="20">
        <v>0</v>
      </c>
      <c r="H206" s="5">
        <f t="shared" si="65"/>
        <v>0</v>
      </c>
      <c r="I206" s="49">
        <f t="shared" si="66"/>
        <v>223.33333333333331</v>
      </c>
      <c r="J206" s="4"/>
      <c r="K206" s="43"/>
      <c r="L206" s="43"/>
      <c r="M206" s="43"/>
      <c r="N206" s="43"/>
      <c r="O206" s="43"/>
      <c r="P206" s="43"/>
      <c r="Q206" s="43"/>
      <c r="R206" s="43"/>
      <c r="S206" s="43"/>
      <c r="T206" s="43"/>
    </row>
    <row r="207" spans="1:20" s="40" customFormat="1" ht="20" customHeight="1">
      <c r="A207" s="6"/>
      <c r="B207" s="4" t="s">
        <v>63</v>
      </c>
      <c r="C207" s="5">
        <f>(หลังริม!C207*2)+(หลังกลาง!C207*2)</f>
        <v>0.66666666666666663</v>
      </c>
      <c r="D207" s="6" t="s">
        <v>64</v>
      </c>
      <c r="E207" s="11">
        <v>1240</v>
      </c>
      <c r="F207" s="5">
        <f t="shared" si="64"/>
        <v>826.66666666666663</v>
      </c>
      <c r="G207" s="20">
        <v>0</v>
      </c>
      <c r="H207" s="5">
        <f t="shared" si="65"/>
        <v>0</v>
      </c>
      <c r="I207" s="49">
        <f t="shared" si="66"/>
        <v>826.66666666666663</v>
      </c>
      <c r="J207" s="4"/>
      <c r="K207" s="43"/>
      <c r="L207" s="43"/>
      <c r="M207" s="43"/>
      <c r="N207" s="43"/>
      <c r="O207" s="43"/>
      <c r="P207" s="43"/>
      <c r="Q207" s="43"/>
      <c r="R207" s="43"/>
      <c r="S207" s="43"/>
      <c r="T207" s="43"/>
    </row>
    <row r="208" spans="1:20" s="40" customFormat="1" ht="20" customHeight="1">
      <c r="A208" s="198"/>
      <c r="B208" s="4" t="s">
        <v>65</v>
      </c>
      <c r="C208" s="5">
        <f>(หลังริม!C208*2)+(หลังกลาง!C208*2)</f>
        <v>1.3333333333333333</v>
      </c>
      <c r="D208" s="6" t="s">
        <v>66</v>
      </c>
      <c r="E208" s="11">
        <v>1089</v>
      </c>
      <c r="F208" s="5">
        <f t="shared" si="64"/>
        <v>1452</v>
      </c>
      <c r="G208" s="20">
        <v>0</v>
      </c>
      <c r="H208" s="5">
        <f t="shared" si="65"/>
        <v>0</v>
      </c>
      <c r="I208" s="49">
        <f t="shared" si="66"/>
        <v>1452</v>
      </c>
      <c r="J208" s="4"/>
      <c r="K208" s="43"/>
      <c r="L208" s="43"/>
      <c r="M208" s="43"/>
      <c r="N208" s="43"/>
      <c r="O208" s="43"/>
      <c r="P208" s="43"/>
      <c r="Q208" s="43"/>
      <c r="R208" s="43"/>
      <c r="S208" s="43"/>
      <c r="T208" s="43"/>
    </row>
    <row r="209" spans="1:20" s="40" customFormat="1" ht="20" customHeight="1">
      <c r="A209" s="198"/>
      <c r="B209" s="4" t="s">
        <v>68</v>
      </c>
      <c r="C209" s="5">
        <f>(หลังริม!C209*2)+(หลังกลาง!C209*2)</f>
        <v>0.68</v>
      </c>
      <c r="D209" s="6" t="s">
        <v>64</v>
      </c>
      <c r="E209" s="11">
        <v>1595</v>
      </c>
      <c r="F209" s="5">
        <f t="shared" si="64"/>
        <v>1084.6000000000001</v>
      </c>
      <c r="G209" s="20">
        <v>0</v>
      </c>
      <c r="H209" s="5">
        <f t="shared" si="65"/>
        <v>0</v>
      </c>
      <c r="I209" s="49">
        <f t="shared" si="66"/>
        <v>1084.6000000000001</v>
      </c>
      <c r="J209" s="4"/>
      <c r="K209" s="43"/>
      <c r="L209" s="43"/>
      <c r="M209" s="43"/>
      <c r="N209" s="43"/>
      <c r="O209" s="43"/>
      <c r="P209" s="43"/>
      <c r="Q209" s="43"/>
      <c r="R209" s="43"/>
      <c r="S209" s="43"/>
      <c r="T209" s="43"/>
    </row>
    <row r="210" spans="1:20" s="40" customFormat="1" ht="20" customHeight="1">
      <c r="A210" s="198"/>
      <c r="B210" s="4" t="s">
        <v>67</v>
      </c>
      <c r="C210" s="5">
        <f>(หลังริม!C210*2)+(หลังกลาง!C210*2)</f>
        <v>2.6666666666666665</v>
      </c>
      <c r="D210" s="6" t="s">
        <v>66</v>
      </c>
      <c r="E210" s="11">
        <v>389</v>
      </c>
      <c r="F210" s="5">
        <f t="shared" si="64"/>
        <v>1037.3333333333333</v>
      </c>
      <c r="G210" s="20">
        <v>0</v>
      </c>
      <c r="H210" s="5">
        <f t="shared" si="65"/>
        <v>0</v>
      </c>
      <c r="I210" s="49">
        <f t="shared" si="66"/>
        <v>1037.3333333333333</v>
      </c>
      <c r="J210" s="4"/>
      <c r="K210" s="43"/>
      <c r="L210" s="43"/>
      <c r="M210" s="43"/>
      <c r="N210" s="43"/>
      <c r="O210" s="43"/>
      <c r="P210" s="43"/>
      <c r="Q210" s="43"/>
      <c r="R210" s="43"/>
      <c r="S210" s="43"/>
      <c r="T210" s="43"/>
    </row>
    <row r="211" spans="1:20" s="40" customFormat="1" ht="20" customHeight="1">
      <c r="A211" s="198"/>
      <c r="B211" s="4" t="s">
        <v>183</v>
      </c>
      <c r="C211" s="5">
        <f>(หลังริม!C211*2)+(หลังกลาง!C211*2)</f>
        <v>0.68</v>
      </c>
      <c r="D211" s="6" t="s">
        <v>125</v>
      </c>
      <c r="E211" s="11">
        <v>357</v>
      </c>
      <c r="F211" s="5">
        <f t="shared" si="64"/>
        <v>242.76000000000002</v>
      </c>
      <c r="G211" s="20">
        <v>0</v>
      </c>
      <c r="H211" s="5">
        <f t="shared" si="65"/>
        <v>0</v>
      </c>
      <c r="I211" s="49">
        <f t="shared" si="66"/>
        <v>242.76000000000002</v>
      </c>
      <c r="J211" s="4"/>
      <c r="K211" s="43"/>
      <c r="L211" s="43"/>
      <c r="M211" s="43"/>
      <c r="N211" s="43"/>
      <c r="O211" s="43"/>
      <c r="P211" s="43"/>
      <c r="Q211" s="43"/>
      <c r="R211" s="43"/>
      <c r="S211" s="43"/>
      <c r="T211" s="43"/>
    </row>
    <row r="212" spans="1:20" s="40" customFormat="1" ht="20" customHeight="1">
      <c r="A212" s="198"/>
      <c r="B212" s="4" t="s">
        <v>184</v>
      </c>
      <c r="C212" s="5">
        <f>(หลังริม!C212*2)+(หลังกลาง!C212*2)</f>
        <v>0.68</v>
      </c>
      <c r="D212" s="6" t="s">
        <v>125</v>
      </c>
      <c r="E212" s="11">
        <v>329</v>
      </c>
      <c r="F212" s="5">
        <f t="shared" si="64"/>
        <v>223.72000000000003</v>
      </c>
      <c r="G212" s="20">
        <v>0</v>
      </c>
      <c r="H212" s="5">
        <f t="shared" si="65"/>
        <v>0</v>
      </c>
      <c r="I212" s="49">
        <f t="shared" si="66"/>
        <v>223.72000000000003</v>
      </c>
      <c r="J212" s="4"/>
      <c r="K212" s="43"/>
      <c r="L212" s="43"/>
      <c r="M212" s="43"/>
      <c r="N212" s="43"/>
      <c r="O212" s="43"/>
      <c r="P212" s="43"/>
      <c r="Q212" s="43"/>
      <c r="R212" s="43"/>
      <c r="S212" s="43"/>
      <c r="T212" s="43"/>
    </row>
    <row r="213" spans="1:20" s="43" customFormat="1" ht="20" customHeight="1">
      <c r="A213" s="198"/>
      <c r="B213" s="4" t="s">
        <v>272</v>
      </c>
      <c r="C213" s="5">
        <f>(หลังริม!C213*2)+(หลังกลาง!C213*2)</f>
        <v>4</v>
      </c>
      <c r="D213" s="6" t="s">
        <v>264</v>
      </c>
      <c r="E213" s="5">
        <v>0</v>
      </c>
      <c r="F213" s="5">
        <f t="shared" si="64"/>
        <v>0</v>
      </c>
      <c r="G213" s="70">
        <v>1600</v>
      </c>
      <c r="H213" s="5">
        <f t="shared" si="65"/>
        <v>6400</v>
      </c>
      <c r="I213" s="49">
        <f t="shared" si="66"/>
        <v>6400</v>
      </c>
      <c r="J213" s="4"/>
      <c r="K213" s="73"/>
    </row>
    <row r="214" spans="1:20" s="50" customFormat="1" ht="20" customHeight="1">
      <c r="A214" s="12"/>
      <c r="B214" s="12" t="s">
        <v>230</v>
      </c>
      <c r="C214" s="5">
        <f>(หลังริม!C214*2)+(หลังกลาง!C214*2)</f>
        <v>0</v>
      </c>
      <c r="D214" s="12"/>
      <c r="E214" s="100"/>
      <c r="F214" s="14">
        <f>SUM(F202:F213)</f>
        <v>14674.413333333334</v>
      </c>
      <c r="G214" s="14"/>
      <c r="H214" s="14">
        <f t="shared" ref="H214:I214" si="67">SUM(H202:H213)</f>
        <v>6400</v>
      </c>
      <c r="I214" s="14">
        <f t="shared" si="67"/>
        <v>21074.413333333334</v>
      </c>
      <c r="J214" s="13"/>
      <c r="K214" s="151">
        <f>H214+F214</f>
        <v>21074.413333333334</v>
      </c>
    </row>
    <row r="215" spans="1:20" s="85" customFormat="1" ht="20" customHeight="1">
      <c r="A215" s="204">
        <v>2</v>
      </c>
      <c r="B215" s="81" t="s">
        <v>109</v>
      </c>
      <c r="C215" s="5">
        <f>(หลังริม!C215*2)+(หลังกลาง!C215*2)</f>
        <v>0</v>
      </c>
      <c r="D215" s="81" t="s">
        <v>11</v>
      </c>
      <c r="E215" s="82"/>
      <c r="F215" s="82">
        <f>F96+F100+F111+F115+F122+F137+F146+F166+F177+F184+F200+F214</f>
        <v>416450.99771470868</v>
      </c>
      <c r="G215" s="82"/>
      <c r="H215" s="82">
        <f t="shared" ref="H215:I215" si="68">H96+H100+H111+H115+H122+H137+H146+H166+H177+H184+H200+H214</f>
        <v>441949.9</v>
      </c>
      <c r="I215" s="82">
        <f t="shared" si="68"/>
        <v>858400.8977147087</v>
      </c>
      <c r="J215" s="83"/>
      <c r="K215" s="151">
        <f>H215+F215</f>
        <v>858400.8977147087</v>
      </c>
      <c r="L215" s="84"/>
      <c r="M215" s="84"/>
      <c r="N215" s="84"/>
      <c r="O215" s="84"/>
      <c r="P215" s="84"/>
      <c r="Q215" s="84"/>
      <c r="R215" s="84"/>
      <c r="S215" s="84"/>
      <c r="T215" s="84"/>
    </row>
    <row r="216" spans="1:20" s="159" customFormat="1" ht="20" customHeight="1" thickBot="1">
      <c r="A216" s="212"/>
      <c r="B216" s="87"/>
      <c r="C216" s="5">
        <f>(หลังริม!C216*2)+(หลังกลาง!C216*2)</f>
        <v>0</v>
      </c>
      <c r="D216" s="155"/>
      <c r="E216" s="156"/>
      <c r="F216" s="88"/>
      <c r="G216" s="156"/>
      <c r="H216" s="88"/>
      <c r="I216" s="153"/>
      <c r="J216" s="157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</row>
    <row r="217" spans="1:20" s="97" customFormat="1" ht="20" customHeight="1" thickTop="1">
      <c r="A217" s="206">
        <v>3</v>
      </c>
      <c r="B217" s="92" t="s">
        <v>191</v>
      </c>
      <c r="C217" s="5">
        <f>(หลังริม!C217*2)+(หลังกลาง!C217*2)</f>
        <v>0</v>
      </c>
      <c r="D217" s="190"/>
      <c r="E217" s="94"/>
      <c r="F217" s="93"/>
      <c r="G217" s="93"/>
      <c r="H217" s="93"/>
      <c r="I217" s="93"/>
      <c r="J217" s="93"/>
      <c r="K217" s="96"/>
      <c r="L217" s="96"/>
      <c r="M217" s="96"/>
      <c r="N217" s="96"/>
      <c r="O217" s="96"/>
      <c r="P217" s="96"/>
      <c r="Q217" s="96"/>
      <c r="R217" s="96"/>
      <c r="S217" s="96"/>
      <c r="T217" s="96"/>
    </row>
    <row r="218" spans="1:20" s="40" customFormat="1" ht="20" customHeight="1">
      <c r="A218" s="198"/>
      <c r="B218" s="3" t="s">
        <v>192</v>
      </c>
      <c r="C218" s="5">
        <f>(หลังริม!C218*2)+(หลังกลาง!C218*2)</f>
        <v>0</v>
      </c>
      <c r="D218" s="6"/>
      <c r="E218" s="48"/>
      <c r="F218" s="4"/>
      <c r="G218" s="4"/>
      <c r="H218" s="4"/>
      <c r="I218" s="4"/>
      <c r="J218" s="4"/>
      <c r="K218" s="43"/>
      <c r="L218" s="43"/>
      <c r="M218" s="43"/>
      <c r="N218" s="43"/>
      <c r="O218" s="43"/>
      <c r="P218" s="43"/>
      <c r="Q218" s="43"/>
      <c r="R218" s="43"/>
      <c r="S218" s="43"/>
      <c r="T218" s="43"/>
    </row>
    <row r="219" spans="1:20" s="40" customFormat="1" ht="20" customHeight="1">
      <c r="A219" s="198"/>
      <c r="B219" s="4" t="s">
        <v>207</v>
      </c>
      <c r="C219" s="5">
        <f>(หลังริม!C219*2)+(หลังกลาง!C219*2)</f>
        <v>60</v>
      </c>
      <c r="D219" s="6" t="s">
        <v>141</v>
      </c>
      <c r="E219" s="11">
        <v>31</v>
      </c>
      <c r="F219" s="5">
        <f>E219*C219</f>
        <v>1860</v>
      </c>
      <c r="G219" s="20">
        <v>0</v>
      </c>
      <c r="H219" s="5">
        <f t="shared" ref="H219:H223" si="69">G219*C219</f>
        <v>0</v>
      </c>
      <c r="I219" s="7">
        <f>H219+F219</f>
        <v>1860</v>
      </c>
      <c r="J219" s="4"/>
      <c r="K219" s="43"/>
      <c r="L219" s="43"/>
      <c r="M219" s="43"/>
      <c r="N219" s="43"/>
      <c r="O219" s="43"/>
      <c r="P219" s="43"/>
      <c r="Q219" s="43"/>
      <c r="R219" s="43"/>
      <c r="S219" s="43"/>
      <c r="T219" s="43"/>
    </row>
    <row r="220" spans="1:20" s="40" customFormat="1" ht="20" customHeight="1">
      <c r="A220" s="198"/>
      <c r="B220" s="4" t="s">
        <v>242</v>
      </c>
      <c r="C220" s="5">
        <f>(หลังริม!C220*2)+(หลังกลาง!C220*2)</f>
        <v>64</v>
      </c>
      <c r="D220" s="6" t="s">
        <v>141</v>
      </c>
      <c r="E220" s="11">
        <v>65</v>
      </c>
      <c r="F220" s="5">
        <f t="shared" ref="F220:F223" si="70">E220*C220</f>
        <v>4160</v>
      </c>
      <c r="G220" s="20">
        <v>0</v>
      </c>
      <c r="H220" s="5">
        <f t="shared" si="69"/>
        <v>0</v>
      </c>
      <c r="I220" s="7">
        <f t="shared" ref="I220:I223" si="71">H220+F220</f>
        <v>4160</v>
      </c>
      <c r="J220" s="4"/>
      <c r="K220" s="43"/>
      <c r="L220" s="43"/>
      <c r="M220" s="43"/>
      <c r="N220" s="43"/>
      <c r="O220" s="43"/>
      <c r="P220" s="43"/>
      <c r="Q220" s="43"/>
      <c r="R220" s="43"/>
      <c r="S220" s="43"/>
      <c r="T220" s="43"/>
    </row>
    <row r="221" spans="1:20" s="40" customFormat="1" ht="20" customHeight="1">
      <c r="A221" s="198"/>
      <c r="B221" s="4" t="s">
        <v>208</v>
      </c>
      <c r="C221" s="5">
        <f>(หลังริม!C221*2)+(หลังกลาง!C221*2)</f>
        <v>4</v>
      </c>
      <c r="D221" s="6" t="s">
        <v>141</v>
      </c>
      <c r="E221" s="11">
        <v>109</v>
      </c>
      <c r="F221" s="5">
        <f t="shared" si="70"/>
        <v>436</v>
      </c>
      <c r="G221" s="20">
        <v>0</v>
      </c>
      <c r="H221" s="5">
        <f t="shared" si="69"/>
        <v>0</v>
      </c>
      <c r="I221" s="7">
        <f t="shared" si="71"/>
        <v>436</v>
      </c>
      <c r="J221" s="4"/>
      <c r="K221" s="43"/>
      <c r="L221" s="43"/>
      <c r="M221" s="43"/>
      <c r="N221" s="43"/>
      <c r="O221" s="43"/>
      <c r="P221" s="43"/>
      <c r="Q221" s="43"/>
      <c r="R221" s="43"/>
      <c r="S221" s="43"/>
      <c r="T221" s="43"/>
    </row>
    <row r="222" spans="1:20" s="40" customFormat="1" ht="20" customHeight="1">
      <c r="A222" s="6"/>
      <c r="B222" s="4" t="s">
        <v>209</v>
      </c>
      <c r="C222" s="5">
        <f>(หลังริม!C222*2)+(หลังกลาง!C222*2)</f>
        <v>4</v>
      </c>
      <c r="D222" s="6" t="s">
        <v>141</v>
      </c>
      <c r="E222" s="11">
        <v>349</v>
      </c>
      <c r="F222" s="5">
        <f t="shared" si="70"/>
        <v>1396</v>
      </c>
      <c r="G222" s="20">
        <v>0</v>
      </c>
      <c r="H222" s="5">
        <f t="shared" si="69"/>
        <v>0</v>
      </c>
      <c r="I222" s="7">
        <f t="shared" si="71"/>
        <v>1396</v>
      </c>
      <c r="J222" s="4"/>
      <c r="K222" s="43"/>
      <c r="L222" s="43"/>
      <c r="M222" s="43"/>
      <c r="N222" s="43"/>
      <c r="O222" s="43"/>
      <c r="P222" s="43"/>
      <c r="Q222" s="43"/>
      <c r="R222" s="43"/>
      <c r="S222" s="43"/>
      <c r="T222" s="43"/>
    </row>
    <row r="223" spans="1:20" s="40" customFormat="1" ht="20" customHeight="1">
      <c r="A223" s="6"/>
      <c r="B223" s="4" t="s">
        <v>193</v>
      </c>
      <c r="C223" s="5">
        <f>(หลังริม!C223*2)+(หลังกลาง!C223*2)</f>
        <v>4</v>
      </c>
      <c r="D223" s="6" t="s">
        <v>141</v>
      </c>
      <c r="E223" s="11">
        <v>0</v>
      </c>
      <c r="F223" s="5">
        <f t="shared" si="70"/>
        <v>0</v>
      </c>
      <c r="G223" s="20">
        <v>0</v>
      </c>
      <c r="H223" s="5">
        <f t="shared" si="69"/>
        <v>0</v>
      </c>
      <c r="I223" s="7">
        <f t="shared" si="71"/>
        <v>0</v>
      </c>
      <c r="J223" s="4"/>
      <c r="K223" s="43"/>
      <c r="L223" s="43"/>
      <c r="M223" s="43"/>
      <c r="N223" s="43"/>
      <c r="O223" s="43"/>
      <c r="P223" s="43"/>
      <c r="Q223" s="43"/>
      <c r="R223" s="43"/>
      <c r="S223" s="43"/>
      <c r="T223" s="43"/>
    </row>
    <row r="224" spans="1:20" s="50" customFormat="1" ht="20" customHeight="1">
      <c r="A224" s="12"/>
      <c r="B224" s="12" t="s">
        <v>200</v>
      </c>
      <c r="C224" s="5">
        <f>(หลังริม!C224*2)+(หลังกลาง!C224*2)</f>
        <v>0</v>
      </c>
      <c r="D224" s="12"/>
      <c r="E224" s="100"/>
      <c r="F224" s="14">
        <f>SUM(F219:F223)</f>
        <v>7852</v>
      </c>
      <c r="G224" s="14"/>
      <c r="H224" s="14">
        <f t="shared" ref="H224:I224" si="72">SUM(H219:H223)</f>
        <v>0</v>
      </c>
      <c r="I224" s="14">
        <f t="shared" si="72"/>
        <v>7852</v>
      </c>
      <c r="J224" s="13"/>
      <c r="K224" s="151">
        <f>H224+F224</f>
        <v>7852</v>
      </c>
    </row>
    <row r="225" spans="1:20" s="40" customFormat="1" ht="20" customHeight="1">
      <c r="A225" s="198"/>
      <c r="B225" s="3" t="s">
        <v>201</v>
      </c>
      <c r="C225" s="5">
        <f>(หลังริม!C225*2)+(หลังกลาง!C225*2)</f>
        <v>0</v>
      </c>
      <c r="D225" s="6"/>
      <c r="E225" s="48"/>
      <c r="F225" s="4"/>
      <c r="G225" s="160"/>
      <c r="H225" s="150"/>
      <c r="I225" s="4"/>
      <c r="J225" s="4"/>
      <c r="K225" s="43"/>
      <c r="L225" s="43"/>
      <c r="M225" s="43"/>
      <c r="N225" s="43"/>
      <c r="O225" s="43"/>
      <c r="P225" s="43"/>
      <c r="Q225" s="43"/>
      <c r="R225" s="43"/>
      <c r="S225" s="43"/>
      <c r="T225" s="43"/>
    </row>
    <row r="226" spans="1:20" s="40" customFormat="1" ht="20" customHeight="1">
      <c r="A226" s="198"/>
      <c r="B226" s="4" t="s">
        <v>232</v>
      </c>
      <c r="C226" s="5">
        <f>(หลังริม!C226*2)+(หลังกลาง!C226*2)</f>
        <v>12</v>
      </c>
      <c r="D226" s="6" t="s">
        <v>141</v>
      </c>
      <c r="E226" s="5">
        <v>0</v>
      </c>
      <c r="F226" s="5">
        <f>E226*C226</f>
        <v>0</v>
      </c>
      <c r="G226" s="20">
        <v>0</v>
      </c>
      <c r="H226" s="5">
        <f>G226*C226</f>
        <v>0</v>
      </c>
      <c r="I226" s="7">
        <f>H226+F226</f>
        <v>0</v>
      </c>
      <c r="J226" s="4"/>
      <c r="K226" s="43"/>
      <c r="L226" s="43"/>
      <c r="M226" s="43"/>
      <c r="N226" s="43"/>
      <c r="O226" s="43"/>
      <c r="P226" s="43"/>
      <c r="Q226" s="43"/>
      <c r="R226" s="43"/>
      <c r="S226" s="43"/>
      <c r="T226" s="43"/>
    </row>
    <row r="227" spans="1:20" s="40" customFormat="1" ht="20" customHeight="1">
      <c r="A227" s="198"/>
      <c r="B227" s="4" t="s">
        <v>233</v>
      </c>
      <c r="C227" s="5">
        <f>(หลังริม!C227*2)+(หลังกลาง!C227*2)</f>
        <v>12</v>
      </c>
      <c r="D227" s="6" t="s">
        <v>141</v>
      </c>
      <c r="E227" s="5">
        <v>0</v>
      </c>
      <c r="F227" s="5">
        <f t="shared" ref="F227:F231" si="73">E227*C227</f>
        <v>0</v>
      </c>
      <c r="G227" s="20">
        <v>0</v>
      </c>
      <c r="H227" s="5">
        <f t="shared" ref="H227:H231" si="74">G227*C227</f>
        <v>0</v>
      </c>
      <c r="I227" s="7">
        <f t="shared" ref="I227:I231" si="75">H227+F227</f>
        <v>0</v>
      </c>
      <c r="J227" s="4"/>
      <c r="K227" s="43"/>
      <c r="L227" s="43"/>
      <c r="M227" s="43"/>
      <c r="N227" s="43"/>
      <c r="O227" s="43"/>
      <c r="P227" s="43"/>
      <c r="Q227" s="43"/>
      <c r="R227" s="43"/>
      <c r="S227" s="43"/>
      <c r="T227" s="43"/>
    </row>
    <row r="228" spans="1:20" s="40" customFormat="1" ht="20" customHeight="1">
      <c r="A228" s="198"/>
      <c r="B228" s="4" t="s">
        <v>234</v>
      </c>
      <c r="C228" s="5">
        <f>(หลังริม!C228*2)+(หลังกลาง!C228*2)</f>
        <v>8</v>
      </c>
      <c r="D228" s="6" t="s">
        <v>141</v>
      </c>
      <c r="E228" s="5">
        <v>0</v>
      </c>
      <c r="F228" s="5">
        <f t="shared" si="73"/>
        <v>0</v>
      </c>
      <c r="G228" s="20">
        <v>0</v>
      </c>
      <c r="H228" s="5">
        <f t="shared" si="74"/>
        <v>0</v>
      </c>
      <c r="I228" s="7">
        <f t="shared" si="75"/>
        <v>0</v>
      </c>
      <c r="J228" s="4"/>
      <c r="K228" s="43"/>
      <c r="L228" s="43"/>
      <c r="M228" s="43"/>
      <c r="N228" s="43"/>
      <c r="O228" s="43"/>
      <c r="P228" s="43"/>
      <c r="Q228" s="43"/>
      <c r="R228" s="43"/>
      <c r="S228" s="43"/>
      <c r="T228" s="43"/>
    </row>
    <row r="229" spans="1:20" s="40" customFormat="1" ht="20" customHeight="1">
      <c r="A229" s="6"/>
      <c r="B229" s="4" t="s">
        <v>194</v>
      </c>
      <c r="C229" s="5">
        <f>(หลังริม!C229*2)+(หลังกลาง!C229*2)</f>
        <v>44</v>
      </c>
      <c r="D229" s="6" t="s">
        <v>141</v>
      </c>
      <c r="E229" s="5">
        <v>0</v>
      </c>
      <c r="F229" s="5">
        <f t="shared" si="73"/>
        <v>0</v>
      </c>
      <c r="G229" s="20">
        <v>0</v>
      </c>
      <c r="H229" s="5">
        <f t="shared" si="74"/>
        <v>0</v>
      </c>
      <c r="I229" s="7">
        <f t="shared" si="75"/>
        <v>0</v>
      </c>
      <c r="J229" s="4"/>
      <c r="K229" s="43"/>
      <c r="L229" s="43"/>
      <c r="M229" s="43"/>
      <c r="N229" s="43"/>
      <c r="O229" s="43"/>
      <c r="P229" s="43"/>
      <c r="Q229" s="43"/>
      <c r="R229" s="43"/>
      <c r="S229" s="43"/>
      <c r="T229" s="43"/>
    </row>
    <row r="230" spans="1:20" s="40" customFormat="1" ht="20" customHeight="1">
      <c r="A230" s="6"/>
      <c r="B230" s="4" t="s">
        <v>195</v>
      </c>
      <c r="C230" s="5">
        <f>(หลังริม!C230*2)+(หลังกลาง!C230*2)</f>
        <v>12</v>
      </c>
      <c r="D230" s="6" t="s">
        <v>141</v>
      </c>
      <c r="E230" s="5">
        <v>0</v>
      </c>
      <c r="F230" s="5">
        <f t="shared" si="73"/>
        <v>0</v>
      </c>
      <c r="G230" s="20">
        <v>0</v>
      </c>
      <c r="H230" s="5">
        <f t="shared" si="74"/>
        <v>0</v>
      </c>
      <c r="I230" s="7">
        <f t="shared" si="75"/>
        <v>0</v>
      </c>
      <c r="J230" s="4"/>
      <c r="K230" s="43"/>
      <c r="L230" s="43"/>
      <c r="M230" s="43"/>
      <c r="N230" s="43"/>
      <c r="O230" s="43"/>
      <c r="P230" s="43"/>
      <c r="Q230" s="43"/>
      <c r="R230" s="43"/>
      <c r="S230" s="43"/>
      <c r="T230" s="43"/>
    </row>
    <row r="231" spans="1:20" s="40" customFormat="1" ht="20" customHeight="1">
      <c r="A231" s="6"/>
      <c r="B231" s="4" t="s">
        <v>196</v>
      </c>
      <c r="C231" s="5">
        <f>(หลังริม!C231*2)+(หลังกลาง!C231*2)</f>
        <v>4</v>
      </c>
      <c r="D231" s="6" t="s">
        <v>141</v>
      </c>
      <c r="E231" s="5">
        <v>0</v>
      </c>
      <c r="F231" s="5">
        <f t="shared" si="73"/>
        <v>0</v>
      </c>
      <c r="G231" s="20">
        <v>0</v>
      </c>
      <c r="H231" s="5">
        <f t="shared" si="74"/>
        <v>0</v>
      </c>
      <c r="I231" s="7">
        <f t="shared" si="75"/>
        <v>0</v>
      </c>
      <c r="J231" s="4"/>
      <c r="K231" s="43"/>
      <c r="L231" s="43"/>
      <c r="M231" s="43"/>
      <c r="N231" s="43"/>
      <c r="O231" s="43"/>
      <c r="P231" s="43"/>
      <c r="Q231" s="43"/>
      <c r="R231" s="43"/>
      <c r="S231" s="43"/>
      <c r="T231" s="43"/>
    </row>
    <row r="232" spans="1:20" s="50" customFormat="1" ht="20" customHeight="1">
      <c r="A232" s="12"/>
      <c r="B232" s="12" t="s">
        <v>202</v>
      </c>
      <c r="C232" s="5">
        <f>(หลังริม!C232*2)+(หลังกลาง!C232*2)</f>
        <v>0</v>
      </c>
      <c r="D232" s="12"/>
      <c r="E232" s="100"/>
      <c r="F232" s="14">
        <f>SUM(F226:F231)</f>
        <v>0</v>
      </c>
      <c r="G232" s="14"/>
      <c r="H232" s="14">
        <f t="shared" ref="H232:I232" si="76">SUM(H226:H231)</f>
        <v>0</v>
      </c>
      <c r="I232" s="14">
        <f t="shared" si="76"/>
        <v>0</v>
      </c>
      <c r="J232" s="13"/>
      <c r="K232" s="151">
        <f>H232+F232</f>
        <v>0</v>
      </c>
    </row>
    <row r="233" spans="1:20" s="40" customFormat="1" ht="20" customHeight="1">
      <c r="A233" s="198"/>
      <c r="B233" s="3" t="s">
        <v>203</v>
      </c>
      <c r="C233" s="5">
        <f>(หลังริม!C233*2)+(หลังกลาง!C233*2)</f>
        <v>0</v>
      </c>
      <c r="D233" s="6"/>
      <c r="E233" s="48"/>
      <c r="F233" s="4"/>
      <c r="G233" s="4"/>
      <c r="H233" s="4"/>
      <c r="I233" s="4"/>
      <c r="J233" s="4"/>
      <c r="K233" s="43"/>
      <c r="L233" s="43"/>
      <c r="M233" s="43"/>
      <c r="N233" s="43"/>
      <c r="O233" s="43"/>
      <c r="P233" s="43"/>
      <c r="Q233" s="43"/>
      <c r="R233" s="43"/>
      <c r="S233" s="43"/>
      <c r="T233" s="43"/>
    </row>
    <row r="234" spans="1:20" s="40" customFormat="1" ht="20" customHeight="1">
      <c r="A234" s="198"/>
      <c r="B234" s="4" t="s">
        <v>231</v>
      </c>
      <c r="C234" s="5">
        <f>(หลังริม!C234*2)+(หลังกลาง!C234*2)</f>
        <v>4</v>
      </c>
      <c r="D234" s="6" t="s">
        <v>136</v>
      </c>
      <c r="E234" s="5">
        <v>0</v>
      </c>
      <c r="F234" s="5">
        <f>E234*C234</f>
        <v>0</v>
      </c>
      <c r="G234" s="20">
        <v>0</v>
      </c>
      <c r="H234" s="5">
        <f t="shared" ref="H234" si="77">G234*C234</f>
        <v>0</v>
      </c>
      <c r="I234" s="7">
        <f t="shared" ref="I234" si="78">H234+F234</f>
        <v>0</v>
      </c>
      <c r="J234" s="4"/>
      <c r="K234" s="43"/>
      <c r="L234" s="43"/>
      <c r="M234" s="43"/>
      <c r="N234" s="43"/>
      <c r="O234" s="43"/>
      <c r="P234" s="43"/>
      <c r="Q234" s="43"/>
      <c r="R234" s="43"/>
      <c r="S234" s="43"/>
      <c r="T234" s="43"/>
    </row>
    <row r="235" spans="1:20" s="50" customFormat="1" ht="20" customHeight="1">
      <c r="A235" s="12"/>
      <c r="B235" s="12" t="s">
        <v>204</v>
      </c>
      <c r="C235" s="5">
        <f>(หลังริม!C235*2)+(หลังกลาง!C235*2)</f>
        <v>0</v>
      </c>
      <c r="D235" s="12"/>
      <c r="E235" s="100"/>
      <c r="F235" s="14">
        <f>SUM(F234)</f>
        <v>0</v>
      </c>
      <c r="G235" s="14"/>
      <c r="H235" s="14">
        <f t="shared" ref="H235:I235" si="79">SUM(H234)</f>
        <v>0</v>
      </c>
      <c r="I235" s="14">
        <f t="shared" si="79"/>
        <v>0</v>
      </c>
      <c r="J235" s="13"/>
      <c r="K235" s="151">
        <f>H235+F235</f>
        <v>0</v>
      </c>
    </row>
    <row r="236" spans="1:20" s="40" customFormat="1" ht="20" customHeight="1">
      <c r="A236" s="198"/>
      <c r="B236" s="3" t="s">
        <v>205</v>
      </c>
      <c r="C236" s="5">
        <f>(หลังริม!C236*2)+(หลังกลาง!C236*2)</f>
        <v>0</v>
      </c>
      <c r="D236" s="6"/>
      <c r="E236" s="48"/>
      <c r="F236" s="4"/>
      <c r="G236" s="150"/>
      <c r="H236" s="150"/>
      <c r="I236" s="161"/>
      <c r="J236" s="4"/>
      <c r="K236" s="43"/>
      <c r="L236" s="43"/>
      <c r="M236" s="43"/>
      <c r="N236" s="43"/>
      <c r="O236" s="43"/>
      <c r="P236" s="43"/>
      <c r="Q236" s="43"/>
      <c r="R236" s="43"/>
      <c r="S236" s="43"/>
      <c r="T236" s="43"/>
    </row>
    <row r="237" spans="1:20" s="40" customFormat="1" ht="20" customHeight="1">
      <c r="A237" s="198"/>
      <c r="B237" s="4" t="s">
        <v>197</v>
      </c>
      <c r="C237" s="5">
        <f>(หลังริม!C237*2)+(หลังกลาง!C237*2)</f>
        <v>4</v>
      </c>
      <c r="D237" s="6" t="s">
        <v>141</v>
      </c>
      <c r="E237" s="5">
        <v>0</v>
      </c>
      <c r="F237" s="5">
        <f>E237*C237</f>
        <v>0</v>
      </c>
      <c r="G237" s="20">
        <v>0</v>
      </c>
      <c r="H237" s="5">
        <f>G237*C237</f>
        <v>0</v>
      </c>
      <c r="I237" s="7">
        <f>H237+F237</f>
        <v>0</v>
      </c>
      <c r="J237" s="4"/>
      <c r="K237" s="43"/>
      <c r="L237" s="43"/>
      <c r="M237" s="43"/>
      <c r="N237" s="43"/>
      <c r="O237" s="43"/>
      <c r="P237" s="43"/>
      <c r="Q237" s="43"/>
      <c r="R237" s="43"/>
      <c r="S237" s="43"/>
      <c r="T237" s="43"/>
    </row>
    <row r="238" spans="1:20" s="40" customFormat="1" ht="20" customHeight="1">
      <c r="A238" s="198"/>
      <c r="B238" s="4" t="s">
        <v>198</v>
      </c>
      <c r="C238" s="5">
        <f>(หลังริม!C238*2)+(หลังกลาง!C238*2)</f>
        <v>4</v>
      </c>
      <c r="D238" s="6" t="s">
        <v>141</v>
      </c>
      <c r="E238" s="5">
        <v>0</v>
      </c>
      <c r="F238" s="5">
        <f t="shared" ref="F238:F239" si="80">E238*C238</f>
        <v>0</v>
      </c>
      <c r="G238" s="20">
        <v>0</v>
      </c>
      <c r="H238" s="5">
        <f t="shared" ref="H238:H239" si="81">G238*C238</f>
        <v>0</v>
      </c>
      <c r="I238" s="7">
        <f t="shared" ref="I238:I239" si="82">H238+F238</f>
        <v>0</v>
      </c>
      <c r="J238" s="4"/>
      <c r="K238" s="43"/>
      <c r="L238" s="43"/>
      <c r="M238" s="43"/>
      <c r="N238" s="43"/>
      <c r="O238" s="43"/>
      <c r="P238" s="43"/>
      <c r="Q238" s="43"/>
      <c r="R238" s="43"/>
      <c r="S238" s="43"/>
      <c r="T238" s="43"/>
    </row>
    <row r="239" spans="1:20" s="43" customFormat="1" ht="20" customHeight="1">
      <c r="A239" s="6"/>
      <c r="B239" s="15" t="s">
        <v>271</v>
      </c>
      <c r="C239" s="5">
        <f>(หลังริม!C239*2)+(หลังกลาง!C239*2)</f>
        <v>4</v>
      </c>
      <c r="D239" s="6" t="s">
        <v>264</v>
      </c>
      <c r="E239" s="5">
        <v>0</v>
      </c>
      <c r="F239" s="5">
        <f t="shared" si="80"/>
        <v>0</v>
      </c>
      <c r="G239" s="70">
        <v>29850</v>
      </c>
      <c r="H239" s="5">
        <f t="shared" si="81"/>
        <v>119400</v>
      </c>
      <c r="I239" s="7">
        <f t="shared" si="82"/>
        <v>119400</v>
      </c>
      <c r="J239" s="4"/>
      <c r="K239" s="73"/>
    </row>
    <row r="240" spans="1:20" s="50" customFormat="1" ht="20" customHeight="1">
      <c r="A240" s="12"/>
      <c r="B240" s="12" t="s">
        <v>206</v>
      </c>
      <c r="C240" s="5">
        <f>(หลังริม!C240*2)+(หลังกลาง!C240*2)</f>
        <v>0</v>
      </c>
      <c r="D240" s="12"/>
      <c r="E240" s="100"/>
      <c r="F240" s="14">
        <f>SUM(F237:F239)</f>
        <v>0</v>
      </c>
      <c r="G240" s="14"/>
      <c r="H240" s="14">
        <f t="shared" ref="H240:I240" si="83">SUM(H237:H239)</f>
        <v>119400</v>
      </c>
      <c r="I240" s="14">
        <f t="shared" si="83"/>
        <v>119400</v>
      </c>
      <c r="J240" s="13"/>
      <c r="K240" s="151">
        <f>H240+F240</f>
        <v>119400</v>
      </c>
    </row>
    <row r="241" spans="1:20" s="167" customFormat="1" ht="20" customHeight="1">
      <c r="A241" s="207">
        <v>3</v>
      </c>
      <c r="B241" s="102" t="s">
        <v>199</v>
      </c>
      <c r="C241" s="5">
        <f>(หลังริม!C241*2)+(หลังกลาง!C241*2)</f>
        <v>0</v>
      </c>
      <c r="D241" s="163" t="s">
        <v>11</v>
      </c>
      <c r="E241" s="164"/>
      <c r="F241" s="103">
        <f>F224+F232+F235+F240</f>
        <v>7852</v>
      </c>
      <c r="G241" s="103"/>
      <c r="H241" s="103">
        <f t="shared" ref="H241:I241" si="84">H224+H232+H235+H240</f>
        <v>119400</v>
      </c>
      <c r="I241" s="103">
        <f t="shared" si="84"/>
        <v>127252</v>
      </c>
      <c r="J241" s="165"/>
      <c r="K241" s="151">
        <f>H241+F241</f>
        <v>127252</v>
      </c>
      <c r="L241" s="166"/>
      <c r="M241" s="166"/>
      <c r="N241" s="166"/>
      <c r="O241" s="166"/>
      <c r="P241" s="166"/>
      <c r="Q241" s="166"/>
      <c r="R241" s="166"/>
      <c r="S241" s="166"/>
      <c r="T241" s="166"/>
    </row>
    <row r="242" spans="1:20" s="159" customFormat="1" ht="20" customHeight="1">
      <c r="A242" s="212"/>
      <c r="B242" s="87"/>
      <c r="C242" s="5">
        <f>(หลังริม!C242*2)+(หลังกลาง!C242*2)</f>
        <v>0</v>
      </c>
      <c r="D242" s="155"/>
      <c r="E242" s="156"/>
      <c r="F242" s="88"/>
      <c r="G242" s="156"/>
      <c r="H242" s="88"/>
      <c r="I242" s="153"/>
      <c r="J242" s="157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</row>
    <row r="243" spans="1:20" s="171" customFormat="1" ht="20" customHeight="1">
      <c r="A243" s="208">
        <v>4</v>
      </c>
      <c r="B243" s="107" t="s">
        <v>278</v>
      </c>
      <c r="C243" s="5">
        <f>(หลังริม!C243*2)+(หลังกลาง!C243*2)</f>
        <v>0</v>
      </c>
      <c r="D243" s="194"/>
      <c r="E243" s="169"/>
      <c r="F243" s="168"/>
      <c r="G243" s="168"/>
      <c r="H243" s="168"/>
      <c r="I243" s="168"/>
      <c r="J243" s="168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</row>
    <row r="244" spans="1:20" s="40" customFormat="1" ht="20" customHeight="1">
      <c r="A244" s="198"/>
      <c r="B244" s="4" t="s">
        <v>235</v>
      </c>
      <c r="C244" s="5">
        <f>(หลังริม!C244*2)+(หลังกลาง!C244*2)</f>
        <v>4</v>
      </c>
      <c r="D244" s="6" t="s">
        <v>53</v>
      </c>
      <c r="E244" s="11">
        <v>1105</v>
      </c>
      <c r="F244" s="5">
        <f>E244*C244</f>
        <v>4420</v>
      </c>
      <c r="G244" s="20">
        <v>0</v>
      </c>
      <c r="H244" s="5">
        <f t="shared" ref="H244:H265" si="85">G244*C244</f>
        <v>0</v>
      </c>
      <c r="I244" s="7">
        <f>H244+F244</f>
        <v>4420</v>
      </c>
      <c r="J244" s="24"/>
    </row>
    <row r="245" spans="1:20" s="40" customFormat="1" ht="20" customHeight="1">
      <c r="A245" s="6"/>
      <c r="B245" s="4" t="s">
        <v>236</v>
      </c>
      <c r="C245" s="5">
        <f>(หลังริม!C245*2)+(หลังกลาง!C245*2)</f>
        <v>7.333333333333333</v>
      </c>
      <c r="D245" s="6" t="s">
        <v>53</v>
      </c>
      <c r="E245" s="11">
        <v>810</v>
      </c>
      <c r="F245" s="5">
        <f t="shared" ref="F245:F265" si="86">E245*C245</f>
        <v>5940</v>
      </c>
      <c r="G245" s="20">
        <v>0</v>
      </c>
      <c r="H245" s="5">
        <f t="shared" si="85"/>
        <v>0</v>
      </c>
      <c r="I245" s="7">
        <f t="shared" ref="I245:I265" si="87">H245+F245</f>
        <v>5940</v>
      </c>
      <c r="J245" s="24"/>
    </row>
    <row r="246" spans="1:20" s="40" customFormat="1" ht="20" customHeight="1">
      <c r="A246" s="6"/>
      <c r="B246" s="4" t="s">
        <v>238</v>
      </c>
      <c r="C246" s="5">
        <f>(หลังริม!C246*2)+(หลังกลาง!C246*2)</f>
        <v>8</v>
      </c>
      <c r="D246" s="6" t="s">
        <v>53</v>
      </c>
      <c r="E246" s="11">
        <v>610</v>
      </c>
      <c r="F246" s="5">
        <f t="shared" si="86"/>
        <v>4880</v>
      </c>
      <c r="G246" s="20">
        <v>0</v>
      </c>
      <c r="H246" s="5">
        <f t="shared" si="85"/>
        <v>0</v>
      </c>
      <c r="I246" s="7">
        <f t="shared" si="87"/>
        <v>4880</v>
      </c>
      <c r="J246" s="24"/>
    </row>
    <row r="247" spans="1:20" s="40" customFormat="1" ht="20" customHeight="1">
      <c r="A247" s="6"/>
      <c r="B247" s="4" t="s">
        <v>237</v>
      </c>
      <c r="C247" s="5">
        <f>(หลังริม!C247*2)+(หลังกลาง!C247*2)</f>
        <v>24</v>
      </c>
      <c r="D247" s="6" t="s">
        <v>53</v>
      </c>
      <c r="E247" s="11">
        <v>395</v>
      </c>
      <c r="F247" s="5">
        <f t="shared" si="86"/>
        <v>9480</v>
      </c>
      <c r="G247" s="20">
        <v>0</v>
      </c>
      <c r="H247" s="5">
        <f t="shared" si="85"/>
        <v>0</v>
      </c>
      <c r="I247" s="7">
        <f t="shared" si="87"/>
        <v>9480</v>
      </c>
      <c r="J247" s="24"/>
    </row>
    <row r="248" spans="1:20" s="40" customFormat="1" ht="20" customHeight="1">
      <c r="A248" s="198"/>
      <c r="B248" s="4" t="s">
        <v>239</v>
      </c>
      <c r="C248" s="5">
        <f>(หลังริม!C248*2)+(หลังกลาง!C248*2)</f>
        <v>4.666666666666667</v>
      </c>
      <c r="D248" s="6" t="s">
        <v>60</v>
      </c>
      <c r="E248" s="11">
        <v>49</v>
      </c>
      <c r="F248" s="5">
        <f t="shared" si="86"/>
        <v>228.66666666666669</v>
      </c>
      <c r="G248" s="20">
        <v>0</v>
      </c>
      <c r="H248" s="5">
        <f t="shared" si="85"/>
        <v>0</v>
      </c>
      <c r="I248" s="7">
        <f t="shared" si="87"/>
        <v>228.66666666666669</v>
      </c>
      <c r="J248" s="24"/>
    </row>
    <row r="249" spans="1:20" s="40" customFormat="1" ht="20" customHeight="1">
      <c r="A249" s="198"/>
      <c r="B249" s="4" t="s">
        <v>240</v>
      </c>
      <c r="C249" s="5">
        <f>(หลังริม!C249*2)+(หลังกลาง!C249*2)</f>
        <v>4.666666666666667</v>
      </c>
      <c r="D249" s="6" t="s">
        <v>60</v>
      </c>
      <c r="E249" s="11">
        <v>39</v>
      </c>
      <c r="F249" s="5">
        <f t="shared" si="86"/>
        <v>182</v>
      </c>
      <c r="G249" s="20">
        <v>0</v>
      </c>
      <c r="H249" s="5">
        <f t="shared" si="85"/>
        <v>0</v>
      </c>
      <c r="I249" s="7">
        <f t="shared" si="87"/>
        <v>182</v>
      </c>
      <c r="J249" s="24"/>
    </row>
    <row r="250" spans="1:20" s="40" customFormat="1" ht="20" customHeight="1">
      <c r="A250" s="198"/>
      <c r="B250" s="4" t="s">
        <v>241</v>
      </c>
      <c r="C250" s="5">
        <f>(หลังริม!C250*2)+(หลังกลาง!C250*2)</f>
        <v>1.3333333333333333</v>
      </c>
      <c r="D250" s="6" t="s">
        <v>53</v>
      </c>
      <c r="E250" s="11">
        <v>285</v>
      </c>
      <c r="F250" s="5">
        <f t="shared" si="86"/>
        <v>380</v>
      </c>
      <c r="G250" s="20">
        <v>0</v>
      </c>
      <c r="H250" s="5">
        <f t="shared" si="85"/>
        <v>0</v>
      </c>
      <c r="I250" s="7">
        <f t="shared" si="87"/>
        <v>380</v>
      </c>
      <c r="J250" s="24"/>
    </row>
    <row r="251" spans="1:20" s="40" customFormat="1" ht="20" customHeight="1">
      <c r="A251" s="198"/>
      <c r="B251" s="4" t="s">
        <v>222</v>
      </c>
      <c r="C251" s="5">
        <f>(หลังริม!C251*2)+(หลังกลาง!C251*2)</f>
        <v>8.6666666666666661</v>
      </c>
      <c r="D251" s="6" t="s">
        <v>53</v>
      </c>
      <c r="E251" s="11">
        <v>250</v>
      </c>
      <c r="F251" s="5">
        <f t="shared" si="86"/>
        <v>2166.6666666666665</v>
      </c>
      <c r="G251" s="20">
        <v>0</v>
      </c>
      <c r="H251" s="5">
        <f t="shared" si="85"/>
        <v>0</v>
      </c>
      <c r="I251" s="7">
        <f t="shared" si="87"/>
        <v>2166.6666666666665</v>
      </c>
      <c r="J251" s="24"/>
    </row>
    <row r="252" spans="1:20" s="40" customFormat="1" ht="20" customHeight="1">
      <c r="A252" s="198"/>
      <c r="B252" s="4" t="s">
        <v>243</v>
      </c>
      <c r="C252" s="5">
        <f>(หลังริม!C252*2)+(หลังกลาง!C252*2)</f>
        <v>34</v>
      </c>
      <c r="D252" s="6" t="s">
        <v>123</v>
      </c>
      <c r="E252" s="11">
        <v>212</v>
      </c>
      <c r="F252" s="5">
        <f t="shared" si="86"/>
        <v>7208</v>
      </c>
      <c r="G252" s="20">
        <v>0</v>
      </c>
      <c r="H252" s="5">
        <f t="shared" si="85"/>
        <v>0</v>
      </c>
      <c r="I252" s="7">
        <f t="shared" si="87"/>
        <v>7208</v>
      </c>
      <c r="J252" s="24"/>
    </row>
    <row r="253" spans="1:20" s="40" customFormat="1" ht="20" customHeight="1">
      <c r="A253" s="198"/>
      <c r="B253" s="4" t="s">
        <v>244</v>
      </c>
      <c r="C253" s="5">
        <f>(หลังริม!C253*2)+(หลังกลาง!C253*2)</f>
        <v>133.33333333333334</v>
      </c>
      <c r="D253" s="6" t="s">
        <v>82</v>
      </c>
      <c r="E253" s="11">
        <v>2.7</v>
      </c>
      <c r="F253" s="5">
        <f t="shared" si="86"/>
        <v>360.00000000000006</v>
      </c>
      <c r="G253" s="20">
        <v>0</v>
      </c>
      <c r="H253" s="5">
        <f t="shared" si="85"/>
        <v>0</v>
      </c>
      <c r="I253" s="7">
        <f t="shared" si="87"/>
        <v>360.00000000000006</v>
      </c>
      <c r="J253" s="24"/>
    </row>
    <row r="254" spans="1:20" s="40" customFormat="1" ht="20" customHeight="1">
      <c r="A254" s="198"/>
      <c r="B254" s="4" t="s">
        <v>63</v>
      </c>
      <c r="C254" s="5">
        <f>(หลังริม!C254*2)+(หลังกลาง!C254*2)</f>
        <v>0.66666666666666663</v>
      </c>
      <c r="D254" s="6" t="s">
        <v>64</v>
      </c>
      <c r="E254" s="11">
        <v>1500</v>
      </c>
      <c r="F254" s="5">
        <f t="shared" si="86"/>
        <v>1000</v>
      </c>
      <c r="G254" s="20">
        <v>0</v>
      </c>
      <c r="H254" s="5">
        <f t="shared" si="85"/>
        <v>0</v>
      </c>
      <c r="I254" s="7">
        <f t="shared" si="87"/>
        <v>1000</v>
      </c>
      <c r="J254" s="4"/>
    </row>
    <row r="255" spans="1:20" s="40" customFormat="1" ht="20" customHeight="1">
      <c r="A255" s="198"/>
      <c r="B255" s="4" t="s">
        <v>65</v>
      </c>
      <c r="C255" s="5">
        <f>(หลังริม!C255*2)+(หลังกลาง!C255*2)</f>
        <v>2</v>
      </c>
      <c r="D255" s="6" t="s">
        <v>66</v>
      </c>
      <c r="E255" s="11">
        <v>1189</v>
      </c>
      <c r="F255" s="5">
        <f t="shared" si="86"/>
        <v>2378</v>
      </c>
      <c r="G255" s="20">
        <v>0</v>
      </c>
      <c r="H255" s="5">
        <f t="shared" si="85"/>
        <v>0</v>
      </c>
      <c r="I255" s="7">
        <f t="shared" si="87"/>
        <v>2378</v>
      </c>
      <c r="J255" s="4"/>
    </row>
    <row r="256" spans="1:20" s="40" customFormat="1" ht="20" customHeight="1">
      <c r="A256" s="198"/>
      <c r="B256" s="4" t="s">
        <v>67</v>
      </c>
      <c r="C256" s="5">
        <f>(หลังริม!C256*2)+(หลังกลาง!C256*2)</f>
        <v>0.66666666666666663</v>
      </c>
      <c r="D256" s="6" t="s">
        <v>66</v>
      </c>
      <c r="E256" s="11">
        <v>499</v>
      </c>
      <c r="F256" s="5">
        <f t="shared" si="86"/>
        <v>332.66666666666663</v>
      </c>
      <c r="G256" s="20">
        <v>0</v>
      </c>
      <c r="H256" s="5">
        <f t="shared" si="85"/>
        <v>0</v>
      </c>
      <c r="I256" s="7">
        <f t="shared" si="87"/>
        <v>332.66666666666663</v>
      </c>
      <c r="J256" s="4"/>
    </row>
    <row r="257" spans="1:20" s="40" customFormat="1" ht="20" customHeight="1">
      <c r="A257" s="198"/>
      <c r="B257" s="4" t="s">
        <v>68</v>
      </c>
      <c r="C257" s="5">
        <f>(หลังริม!C257*2)+(หลังกลาง!C257*2)</f>
        <v>4</v>
      </c>
      <c r="D257" s="6" t="s">
        <v>69</v>
      </c>
      <c r="E257" s="11">
        <v>98</v>
      </c>
      <c r="F257" s="5">
        <f t="shared" si="86"/>
        <v>392</v>
      </c>
      <c r="G257" s="20">
        <v>0</v>
      </c>
      <c r="H257" s="5">
        <f t="shared" si="85"/>
        <v>0</v>
      </c>
      <c r="I257" s="7">
        <f t="shared" si="87"/>
        <v>392</v>
      </c>
      <c r="J257" s="4"/>
    </row>
    <row r="258" spans="1:20" s="119" customFormat="1" ht="20" customHeight="1">
      <c r="A258" s="209"/>
      <c r="B258" s="114" t="s">
        <v>255</v>
      </c>
      <c r="C258" s="5">
        <f>(หลังริม!C258*2)+(หลังกลาง!C258*2)</f>
        <v>320</v>
      </c>
      <c r="D258" s="31" t="s">
        <v>263</v>
      </c>
      <c r="E258" s="5">
        <v>0</v>
      </c>
      <c r="F258" s="5">
        <f t="shared" si="86"/>
        <v>0</v>
      </c>
      <c r="G258" s="116">
        <v>23.291666666666668</v>
      </c>
      <c r="H258" s="5">
        <f t="shared" si="85"/>
        <v>7453.3333333333339</v>
      </c>
      <c r="I258" s="7">
        <f t="shared" si="87"/>
        <v>7453.3333333333339</v>
      </c>
      <c r="J258" s="117"/>
    </row>
    <row r="259" spans="1:20" s="119" customFormat="1" ht="20" customHeight="1">
      <c r="A259" s="31"/>
      <c r="B259" s="120" t="s">
        <v>256</v>
      </c>
      <c r="C259" s="5">
        <f>(หลังริม!C259*2)+(หลังกลาง!C259*2)</f>
        <v>1000</v>
      </c>
      <c r="D259" s="34" t="s">
        <v>123</v>
      </c>
      <c r="E259" s="5">
        <v>0</v>
      </c>
      <c r="F259" s="5">
        <f t="shared" si="86"/>
        <v>0</v>
      </c>
      <c r="G259" s="121">
        <v>6.4533333333333331</v>
      </c>
      <c r="H259" s="5">
        <f t="shared" si="85"/>
        <v>6453.333333333333</v>
      </c>
      <c r="I259" s="7">
        <f t="shared" si="87"/>
        <v>6453.333333333333</v>
      </c>
      <c r="J259" s="117"/>
    </row>
    <row r="260" spans="1:20" s="119" customFormat="1" ht="20" customHeight="1">
      <c r="A260" s="31"/>
      <c r="B260" s="122" t="s">
        <v>257</v>
      </c>
      <c r="C260" s="5">
        <f>(หลังริม!C260*2)+(หลังกลาง!C260*2)</f>
        <v>140</v>
      </c>
      <c r="D260" s="31" t="s">
        <v>123</v>
      </c>
      <c r="E260" s="5">
        <v>0</v>
      </c>
      <c r="F260" s="5">
        <f t="shared" si="86"/>
        <v>0</v>
      </c>
      <c r="G260" s="121">
        <v>17.5</v>
      </c>
      <c r="H260" s="5">
        <f t="shared" si="85"/>
        <v>2450</v>
      </c>
      <c r="I260" s="7">
        <f t="shared" si="87"/>
        <v>2450</v>
      </c>
      <c r="J260" s="117"/>
    </row>
    <row r="261" spans="1:20" s="119" customFormat="1" ht="20" customHeight="1">
      <c r="A261" s="31"/>
      <c r="B261" s="114" t="s">
        <v>258</v>
      </c>
      <c r="C261" s="5">
        <f>(หลังริม!C261*2)+(หลังกลาง!C261*2)</f>
        <v>2000</v>
      </c>
      <c r="D261" s="31" t="s">
        <v>21</v>
      </c>
      <c r="E261" s="5">
        <v>0</v>
      </c>
      <c r="F261" s="5">
        <f t="shared" si="86"/>
        <v>0</v>
      </c>
      <c r="G261" s="116">
        <v>1.3333333333333333</v>
      </c>
      <c r="H261" s="5">
        <f t="shared" si="85"/>
        <v>2666.6666666666665</v>
      </c>
      <c r="I261" s="7">
        <f t="shared" si="87"/>
        <v>2666.6666666666665</v>
      </c>
      <c r="J261" s="117"/>
    </row>
    <row r="262" spans="1:20" s="119" customFormat="1" ht="20" customHeight="1">
      <c r="A262" s="209"/>
      <c r="B262" s="120" t="s">
        <v>259</v>
      </c>
      <c r="C262" s="5">
        <f>(หลังริม!C262*2)+(หลังกลาง!C262*2)</f>
        <v>140</v>
      </c>
      <c r="D262" s="34" t="s">
        <v>263</v>
      </c>
      <c r="E262" s="5">
        <v>0</v>
      </c>
      <c r="F262" s="5">
        <f t="shared" si="86"/>
        <v>0</v>
      </c>
      <c r="G262" s="125">
        <v>18.900000000000002</v>
      </c>
      <c r="H262" s="5">
        <f t="shared" si="85"/>
        <v>2646.0000000000005</v>
      </c>
      <c r="I262" s="7">
        <f t="shared" si="87"/>
        <v>2646.0000000000005</v>
      </c>
      <c r="J262" s="117"/>
    </row>
    <row r="263" spans="1:20" s="119" customFormat="1" ht="20" customHeight="1">
      <c r="A263" s="209"/>
      <c r="B263" s="122" t="s">
        <v>260</v>
      </c>
      <c r="C263" s="5">
        <f>(หลังริม!C263*2)+(หลังกลาง!C263*2)</f>
        <v>100</v>
      </c>
      <c r="D263" s="31" t="s">
        <v>263</v>
      </c>
      <c r="E263" s="5">
        <v>0</v>
      </c>
      <c r="F263" s="5">
        <f t="shared" si="86"/>
        <v>0</v>
      </c>
      <c r="G263" s="125">
        <v>18.900000000000002</v>
      </c>
      <c r="H263" s="5">
        <f t="shared" si="85"/>
        <v>1890.0000000000002</v>
      </c>
      <c r="I263" s="7">
        <f t="shared" si="87"/>
        <v>1890.0000000000002</v>
      </c>
      <c r="J263" s="117"/>
    </row>
    <row r="264" spans="1:20" s="119" customFormat="1" ht="20" customHeight="1">
      <c r="A264" s="209"/>
      <c r="B264" s="122" t="s">
        <v>261</v>
      </c>
      <c r="C264" s="5">
        <f>(หลังริม!C264*2)+(หลังกลาง!C264*2)</f>
        <v>1200</v>
      </c>
      <c r="D264" s="192" t="s">
        <v>264</v>
      </c>
      <c r="E264" s="5">
        <v>0</v>
      </c>
      <c r="F264" s="5">
        <f t="shared" si="86"/>
        <v>0</v>
      </c>
      <c r="G264" s="121">
        <v>1</v>
      </c>
      <c r="H264" s="5">
        <f t="shared" si="85"/>
        <v>1200</v>
      </c>
      <c r="I264" s="7">
        <f t="shared" si="87"/>
        <v>1200</v>
      </c>
      <c r="J264" s="117"/>
    </row>
    <row r="265" spans="1:20" s="119" customFormat="1" ht="20" customHeight="1">
      <c r="A265" s="209"/>
      <c r="B265" s="114" t="s">
        <v>262</v>
      </c>
      <c r="C265" s="5">
        <f>(หลังริม!C265*2)+(หลังกลาง!C265*2)</f>
        <v>220</v>
      </c>
      <c r="D265" s="34" t="s">
        <v>123</v>
      </c>
      <c r="E265" s="5">
        <v>0</v>
      </c>
      <c r="F265" s="5">
        <f t="shared" si="86"/>
        <v>0</v>
      </c>
      <c r="G265" s="116">
        <v>6.47</v>
      </c>
      <c r="H265" s="5">
        <f t="shared" si="85"/>
        <v>1423.3999999999999</v>
      </c>
      <c r="I265" s="7">
        <f t="shared" si="87"/>
        <v>1423.3999999999999</v>
      </c>
      <c r="J265" s="117"/>
    </row>
    <row r="266" spans="1:20" s="177" customFormat="1" ht="20" customHeight="1">
      <c r="A266" s="213">
        <v>4</v>
      </c>
      <c r="B266" s="173" t="s">
        <v>221</v>
      </c>
      <c r="C266" s="172"/>
      <c r="D266" s="173" t="s">
        <v>11</v>
      </c>
      <c r="E266" s="174"/>
      <c r="F266" s="174">
        <f>SUM(F244:F265)</f>
        <v>39348</v>
      </c>
      <c r="G266" s="174"/>
      <c r="H266" s="174">
        <f t="shared" ref="H266:I266" si="88">SUM(H244:H265)</f>
        <v>26182.733333333337</v>
      </c>
      <c r="I266" s="174">
        <f t="shared" si="88"/>
        <v>65530.733333333337</v>
      </c>
      <c r="J266" s="175"/>
      <c r="K266" s="151">
        <f>H266+F266</f>
        <v>65530.733333333337</v>
      </c>
      <c r="L266" s="176"/>
      <c r="M266" s="176"/>
      <c r="N266" s="176"/>
      <c r="O266" s="176"/>
      <c r="P266" s="176"/>
      <c r="Q266" s="176"/>
      <c r="R266" s="176"/>
      <c r="S266" s="176"/>
      <c r="T266" s="176"/>
    </row>
    <row r="267" spans="1:20" s="40" customFormat="1" ht="20" customHeight="1">
      <c r="A267" s="195"/>
      <c r="D267" s="195"/>
      <c r="E267" s="132"/>
    </row>
    <row r="268" spans="1:20" s="40" customFormat="1" ht="20" customHeight="1">
      <c r="A268" s="185"/>
      <c r="B268" s="43"/>
      <c r="C268" s="43"/>
      <c r="D268" s="185"/>
      <c r="E268" s="44"/>
      <c r="F268" s="43"/>
      <c r="G268" s="43"/>
      <c r="H268" s="43"/>
      <c r="I268" s="43"/>
      <c r="J268" s="43"/>
      <c r="K268" s="43"/>
    </row>
    <row r="269" spans="1:20" s="40" customFormat="1" ht="20" customHeight="1">
      <c r="A269" s="193">
        <f t="shared" ref="A269:I269" si="89">A66</f>
        <v>1</v>
      </c>
      <c r="B269" s="143" t="str">
        <f t="shared" si="89"/>
        <v>รวมค่างานโครงสร้างวิศวกรรมทั้งหมด</v>
      </c>
      <c r="C269" s="143">
        <f t="shared" si="89"/>
        <v>0</v>
      </c>
      <c r="D269" s="193" t="str">
        <f t="shared" si="89"/>
        <v>รวม</v>
      </c>
      <c r="E269" s="143">
        <f t="shared" si="89"/>
        <v>0</v>
      </c>
      <c r="F269" s="143">
        <f t="shared" si="89"/>
        <v>443655.56157359766</v>
      </c>
      <c r="G269" s="143">
        <f t="shared" si="89"/>
        <v>0</v>
      </c>
      <c r="H269" s="143">
        <f t="shared" si="89"/>
        <v>192013.36666666667</v>
      </c>
      <c r="I269" s="143">
        <f t="shared" si="89"/>
        <v>635668.92824026442</v>
      </c>
      <c r="J269" s="143"/>
      <c r="K269" s="43"/>
    </row>
    <row r="270" spans="1:20" s="40" customFormat="1" ht="20" customHeight="1">
      <c r="A270" s="193">
        <f t="shared" ref="A270:I270" si="90">A215</f>
        <v>2</v>
      </c>
      <c r="B270" s="143" t="str">
        <f t="shared" si="90"/>
        <v>รวมค่างานสถาปัตยกรรมทั้งหมด</v>
      </c>
      <c r="C270" s="143">
        <f t="shared" si="90"/>
        <v>0</v>
      </c>
      <c r="D270" s="193" t="str">
        <f t="shared" si="90"/>
        <v>รวม</v>
      </c>
      <c r="E270" s="143">
        <f t="shared" si="90"/>
        <v>0</v>
      </c>
      <c r="F270" s="143">
        <f t="shared" si="90"/>
        <v>416450.99771470868</v>
      </c>
      <c r="G270" s="143">
        <f t="shared" si="90"/>
        <v>0</v>
      </c>
      <c r="H270" s="143">
        <f t="shared" si="90"/>
        <v>441949.9</v>
      </c>
      <c r="I270" s="143">
        <f t="shared" si="90"/>
        <v>858400.8977147087</v>
      </c>
      <c r="J270" s="143"/>
      <c r="K270" s="43"/>
    </row>
    <row r="271" spans="1:20" s="40" customFormat="1" ht="20" customHeight="1">
      <c r="A271" s="193">
        <f t="shared" ref="A271:I271" si="91">A241</f>
        <v>3</v>
      </c>
      <c r="B271" s="143" t="str">
        <f t="shared" si="91"/>
        <v xml:space="preserve">รวมค่างานระบบไฟฟ้าและสื่อสารทั้งหมด </v>
      </c>
      <c r="C271" s="143">
        <f t="shared" si="91"/>
        <v>0</v>
      </c>
      <c r="D271" s="193" t="str">
        <f t="shared" si="91"/>
        <v>รวม</v>
      </c>
      <c r="E271" s="143">
        <f t="shared" si="91"/>
        <v>0</v>
      </c>
      <c r="F271" s="143">
        <f t="shared" si="91"/>
        <v>7852</v>
      </c>
      <c r="G271" s="143">
        <f t="shared" si="91"/>
        <v>0</v>
      </c>
      <c r="H271" s="143">
        <f t="shared" si="91"/>
        <v>119400</v>
      </c>
      <c r="I271" s="143">
        <f t="shared" si="91"/>
        <v>127252</v>
      </c>
      <c r="J271" s="143"/>
      <c r="K271" s="43"/>
    </row>
    <row r="272" spans="1:20" s="40" customFormat="1" ht="20" customHeight="1">
      <c r="A272" s="193">
        <f t="shared" ref="A272:I272" si="92">A266</f>
        <v>4</v>
      </c>
      <c r="B272" s="143" t="str">
        <f t="shared" si="92"/>
        <v xml:space="preserve">รวมค่างานต่อเติมหลังคาที่จอดรถหน้าทั้งหมด </v>
      </c>
      <c r="C272" s="143">
        <f t="shared" si="92"/>
        <v>0</v>
      </c>
      <c r="D272" s="193" t="str">
        <f t="shared" si="92"/>
        <v>รวม</v>
      </c>
      <c r="E272" s="143">
        <f t="shared" si="92"/>
        <v>0</v>
      </c>
      <c r="F272" s="143">
        <f t="shared" si="92"/>
        <v>39348</v>
      </c>
      <c r="G272" s="143">
        <f t="shared" si="92"/>
        <v>0</v>
      </c>
      <c r="H272" s="143">
        <f t="shared" si="92"/>
        <v>26182.733333333337</v>
      </c>
      <c r="I272" s="143">
        <f t="shared" si="92"/>
        <v>65530.733333333337</v>
      </c>
      <c r="J272" s="143"/>
      <c r="K272" s="43"/>
    </row>
    <row r="273" spans="1:11" s="179" customFormat="1" ht="20" customHeight="1">
      <c r="A273" s="232" t="s">
        <v>11</v>
      </c>
      <c r="B273" s="233"/>
      <c r="C273" s="234"/>
      <c r="D273" s="180"/>
      <c r="E273" s="181"/>
      <c r="F273" s="182">
        <f>SUM(F269:F272)</f>
        <v>907306.55928830639</v>
      </c>
      <c r="G273" s="182"/>
      <c r="H273" s="182">
        <f t="shared" ref="H273" si="93">SUM(H269:H272)</f>
        <v>779546</v>
      </c>
      <c r="I273" s="183">
        <f>SUM(I269:I272)</f>
        <v>1686852.5592883066</v>
      </c>
      <c r="J273" s="180"/>
      <c r="K273" s="178">
        <f>H273+F273</f>
        <v>1686852.5592883064</v>
      </c>
    </row>
  </sheetData>
  <mergeCells count="9">
    <mergeCell ref="A273:C273"/>
    <mergeCell ref="A1:J1"/>
    <mergeCell ref="A4:A5"/>
    <mergeCell ref="B4:B5"/>
    <mergeCell ref="C4:C5"/>
    <mergeCell ref="D4:D5"/>
    <mergeCell ref="E4:F4"/>
    <mergeCell ref="G4:H4"/>
    <mergeCell ref="J4:J5"/>
  </mergeCells>
  <pageMargins left="0.7" right="0.7" top="0.75" bottom="0.75" header="0.3" footer="0.3"/>
  <pageSetup paperSize="9" scale="5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B0D5-D9F3-436E-A312-D88D8AFD2963}">
  <dimension ref="A1:T273"/>
  <sheetViews>
    <sheetView view="pageBreakPreview" topLeftCell="A237" zoomScale="60" zoomScaleNormal="100" workbookViewId="0">
      <selection activeCell="P261" sqref="P261"/>
    </sheetView>
  </sheetViews>
  <sheetFormatPr defaultRowHeight="14.25"/>
  <cols>
    <col min="1" max="1" width="6.59765625" customWidth="1"/>
    <col min="2" max="2" width="45.59765625" customWidth="1"/>
    <col min="3" max="4" width="8.59765625" customWidth="1"/>
    <col min="5" max="10" width="13.59765625" customWidth="1"/>
    <col min="11" max="11" width="11.33203125" customWidth="1"/>
  </cols>
  <sheetData>
    <row r="1" spans="1:11" ht="20" customHeight="1">
      <c r="A1" s="228" t="s">
        <v>285</v>
      </c>
      <c r="B1" s="228"/>
      <c r="C1" s="228"/>
      <c r="D1" s="228"/>
      <c r="E1" s="228"/>
      <c r="F1" s="228"/>
      <c r="G1" s="228"/>
      <c r="H1" s="228"/>
      <c r="I1" s="228"/>
      <c r="J1" s="228"/>
    </row>
    <row r="2" spans="1:11" ht="20" customHeight="1">
      <c r="A2" s="196"/>
      <c r="B2" s="41"/>
      <c r="C2" s="41"/>
      <c r="D2" s="184"/>
      <c r="E2" s="42"/>
      <c r="F2" s="41"/>
      <c r="G2" s="41"/>
      <c r="H2" s="41"/>
      <c r="I2" s="41"/>
      <c r="J2" s="41"/>
    </row>
    <row r="3" spans="1:11" ht="20" customHeight="1" thickBot="1">
      <c r="A3" s="185"/>
      <c r="B3" s="43"/>
      <c r="C3" s="43"/>
      <c r="D3" s="185"/>
      <c r="E3" s="44"/>
      <c r="F3" s="43"/>
      <c r="G3" s="43"/>
      <c r="H3" s="43"/>
      <c r="I3" s="43"/>
      <c r="J3" s="43"/>
    </row>
    <row r="4" spans="1:11" ht="20" customHeight="1" thickTop="1">
      <c r="A4" s="226" t="s">
        <v>0</v>
      </c>
      <c r="B4" s="226" t="s">
        <v>1</v>
      </c>
      <c r="C4" s="226" t="s">
        <v>2</v>
      </c>
      <c r="D4" s="226" t="s">
        <v>3</v>
      </c>
      <c r="E4" s="226" t="s">
        <v>4</v>
      </c>
      <c r="F4" s="226"/>
      <c r="G4" s="226" t="s">
        <v>5</v>
      </c>
      <c r="H4" s="226"/>
      <c r="I4" s="220" t="s">
        <v>6</v>
      </c>
      <c r="J4" s="226" t="s">
        <v>7</v>
      </c>
    </row>
    <row r="5" spans="1:11" ht="20" customHeight="1" thickBot="1">
      <c r="A5" s="227"/>
      <c r="B5" s="227"/>
      <c r="C5" s="227"/>
      <c r="D5" s="227"/>
      <c r="E5" s="221" t="s">
        <v>8</v>
      </c>
      <c r="F5" s="218" t="s">
        <v>9</v>
      </c>
      <c r="G5" s="218" t="s">
        <v>8</v>
      </c>
      <c r="H5" s="218" t="s">
        <v>9</v>
      </c>
      <c r="I5" s="222" t="s">
        <v>10</v>
      </c>
      <c r="J5" s="227"/>
    </row>
    <row r="6" spans="1:11" ht="20" customHeight="1" thickTop="1">
      <c r="A6" s="197">
        <v>1</v>
      </c>
      <c r="B6" s="1" t="s">
        <v>12</v>
      </c>
      <c r="C6" s="2"/>
      <c r="D6" s="186"/>
      <c r="E6" s="46"/>
      <c r="F6" s="2"/>
      <c r="G6" s="2"/>
      <c r="H6" s="2"/>
      <c r="I6" s="2"/>
      <c r="J6" s="2"/>
    </row>
    <row r="7" spans="1:11" ht="20" customHeight="1">
      <c r="A7" s="198"/>
      <c r="B7" s="3" t="s">
        <v>13</v>
      </c>
      <c r="C7" s="4"/>
      <c r="D7" s="6"/>
      <c r="E7" s="48"/>
      <c r="F7" s="4"/>
      <c r="G7" s="4"/>
      <c r="H7" s="4"/>
      <c r="I7" s="4"/>
      <c r="J7" s="4"/>
    </row>
    <row r="8" spans="1:11" ht="20" customHeight="1">
      <c r="A8" s="198"/>
      <c r="B8" s="4" t="s">
        <v>14</v>
      </c>
      <c r="C8" s="5">
        <f>(หลังริม!C8*2)+(หลังกลาง!C8*4)</f>
        <v>10</v>
      </c>
      <c r="D8" s="6" t="s">
        <v>15</v>
      </c>
      <c r="E8" s="11">
        <v>3500</v>
      </c>
      <c r="F8" s="5">
        <f>E8*C8</f>
        <v>35000</v>
      </c>
      <c r="G8" s="5">
        <v>0</v>
      </c>
      <c r="H8" s="29">
        <f t="shared" ref="H8:H11" si="0">G8*E8</f>
        <v>0</v>
      </c>
      <c r="I8" s="49">
        <f t="shared" ref="I8:I11" si="1">H8+F8</f>
        <v>35000</v>
      </c>
      <c r="J8" s="4"/>
    </row>
    <row r="9" spans="1:11" s="40" customFormat="1" ht="20" customHeight="1">
      <c r="A9" s="198"/>
      <c r="B9" s="4" t="s">
        <v>36</v>
      </c>
      <c r="C9" s="5">
        <f>(หลังริม!C9*2)+(หลังกลาง!C9*4)</f>
        <v>5.5</v>
      </c>
      <c r="D9" s="6" t="s">
        <v>16</v>
      </c>
      <c r="E9" s="11">
        <v>1500</v>
      </c>
      <c r="F9" s="5">
        <f t="shared" ref="F9:F11" si="2">E9*C9</f>
        <v>8250</v>
      </c>
      <c r="G9" s="5">
        <v>1</v>
      </c>
      <c r="H9" s="29">
        <f t="shared" si="0"/>
        <v>1500</v>
      </c>
      <c r="I9" s="49">
        <f t="shared" si="1"/>
        <v>9750</v>
      </c>
      <c r="J9" s="4"/>
    </row>
    <row r="10" spans="1:11" s="40" customFormat="1" ht="20" customHeight="1">
      <c r="A10" s="198"/>
      <c r="B10" s="4" t="s">
        <v>17</v>
      </c>
      <c r="C10" s="5">
        <f>(หลังริม!C10*2)+(หลังกลาง!C10*4)</f>
        <v>0</v>
      </c>
      <c r="D10" s="6" t="s">
        <v>16</v>
      </c>
      <c r="E10" s="11">
        <v>0</v>
      </c>
      <c r="F10" s="5">
        <f t="shared" si="2"/>
        <v>0</v>
      </c>
      <c r="G10" s="11">
        <v>2</v>
      </c>
      <c r="H10" s="29">
        <f t="shared" si="0"/>
        <v>0</v>
      </c>
      <c r="I10" s="49">
        <f t="shared" si="1"/>
        <v>0</v>
      </c>
      <c r="J10" s="4"/>
    </row>
    <row r="11" spans="1:11" s="40" customFormat="1" ht="20" customHeight="1">
      <c r="A11" s="198"/>
      <c r="B11" s="4" t="s">
        <v>18</v>
      </c>
      <c r="C11" s="5">
        <f>(หลังริม!C11*2)+(หลังกลาง!C11*4)</f>
        <v>40</v>
      </c>
      <c r="D11" s="6" t="s">
        <v>16</v>
      </c>
      <c r="E11" s="11">
        <v>100</v>
      </c>
      <c r="F11" s="5">
        <f t="shared" si="2"/>
        <v>4000</v>
      </c>
      <c r="G11" s="5">
        <v>3</v>
      </c>
      <c r="H11" s="29">
        <f t="shared" si="0"/>
        <v>300</v>
      </c>
      <c r="I11" s="49">
        <f t="shared" si="1"/>
        <v>4300</v>
      </c>
      <c r="J11" s="4"/>
    </row>
    <row r="12" spans="1:11" s="50" customFormat="1" ht="20" customHeight="1">
      <c r="A12" s="199"/>
      <c r="B12" s="12" t="s">
        <v>19</v>
      </c>
      <c r="C12" s="5">
        <f>(หลังริม!C12*2)+(หลังกลาง!C12*4)</f>
        <v>0</v>
      </c>
      <c r="D12" s="12"/>
      <c r="E12" s="100"/>
      <c r="F12" s="14">
        <f>SUM(F8:F11)</f>
        <v>47250</v>
      </c>
      <c r="G12" s="14"/>
      <c r="H12" s="14">
        <f t="shared" ref="H12:I12" si="3">SUM(H8:H11)</f>
        <v>1800</v>
      </c>
      <c r="I12" s="14">
        <f t="shared" si="3"/>
        <v>49050</v>
      </c>
      <c r="J12" s="13"/>
      <c r="K12" s="151">
        <f>H12+F12</f>
        <v>49050</v>
      </c>
    </row>
    <row r="13" spans="1:11" s="40" customFormat="1" ht="20" customHeight="1">
      <c r="A13" s="198"/>
      <c r="B13" s="3" t="s">
        <v>20</v>
      </c>
      <c r="C13" s="5">
        <f>(หลังริม!C13*2)+(หลังกลาง!C13*4)</f>
        <v>0</v>
      </c>
      <c r="D13" s="6"/>
      <c r="E13" s="48"/>
      <c r="F13" s="4"/>
      <c r="G13" s="4"/>
      <c r="H13" s="4"/>
      <c r="I13" s="4"/>
      <c r="J13" s="4"/>
    </row>
    <row r="14" spans="1:11" s="40" customFormat="1" ht="20" customHeight="1">
      <c r="A14" s="198"/>
      <c r="B14" s="4" t="s">
        <v>110</v>
      </c>
      <c r="C14" s="5">
        <f>(หลังริม!C14*2)+(หลังกลาง!C14*4)</f>
        <v>53</v>
      </c>
      <c r="D14" s="6" t="s">
        <v>21</v>
      </c>
      <c r="E14" s="11">
        <v>2080</v>
      </c>
      <c r="F14" s="5">
        <f>E14*C14</f>
        <v>110240</v>
      </c>
      <c r="G14" s="5">
        <v>750</v>
      </c>
      <c r="H14" s="5">
        <f>G14*C14</f>
        <v>39750</v>
      </c>
      <c r="I14" s="7">
        <f>H14+F14</f>
        <v>149990</v>
      </c>
      <c r="J14" s="4"/>
    </row>
    <row r="15" spans="1:11" s="40" customFormat="1" ht="20" customHeight="1">
      <c r="A15" s="198"/>
      <c r="B15" s="4" t="s">
        <v>22</v>
      </c>
      <c r="C15" s="5">
        <f>(หลังริม!C15*2)+(หลังกลาง!C15*4)</f>
        <v>0</v>
      </c>
      <c r="D15" s="6" t="s">
        <v>21</v>
      </c>
      <c r="E15" s="11">
        <v>0</v>
      </c>
      <c r="F15" s="5">
        <f>E15*C15</f>
        <v>0</v>
      </c>
      <c r="G15" s="11">
        <v>0</v>
      </c>
      <c r="H15" s="5">
        <f>G15*C15</f>
        <v>0</v>
      </c>
      <c r="I15" s="7">
        <f>H15+F15</f>
        <v>0</v>
      </c>
      <c r="J15" s="4"/>
    </row>
    <row r="16" spans="1:11" s="50" customFormat="1" ht="20" customHeight="1">
      <c r="A16" s="199"/>
      <c r="B16" s="12" t="s">
        <v>23</v>
      </c>
      <c r="C16" s="5">
        <f>(หลังริม!C16*2)+(หลังกลาง!C16*4)</f>
        <v>0</v>
      </c>
      <c r="D16" s="12"/>
      <c r="E16" s="100"/>
      <c r="F16" s="14">
        <f>SUM(F14:F15)</f>
        <v>110240</v>
      </c>
      <c r="G16" s="14"/>
      <c r="H16" s="14">
        <f t="shared" ref="H16:I16" si="4">SUM(H14:H15)</f>
        <v>39750</v>
      </c>
      <c r="I16" s="14">
        <f t="shared" si="4"/>
        <v>149990</v>
      </c>
      <c r="J16" s="13"/>
      <c r="K16" s="151">
        <f>H16+F16</f>
        <v>149990</v>
      </c>
    </row>
    <row r="17" spans="1:11" s="40" customFormat="1" ht="20" customHeight="1">
      <c r="A17" s="198"/>
      <c r="B17" s="3" t="s">
        <v>24</v>
      </c>
      <c r="C17" s="5">
        <f>(หลังริม!C17*2)+(หลังกลาง!C17*4)</f>
        <v>0</v>
      </c>
      <c r="D17" s="6"/>
      <c r="E17" s="48"/>
      <c r="F17" s="4"/>
      <c r="G17" s="4"/>
      <c r="H17" s="4"/>
      <c r="I17" s="4"/>
      <c r="J17" s="4"/>
    </row>
    <row r="18" spans="1:11" s="40" customFormat="1" ht="20" customHeight="1">
      <c r="A18" s="198"/>
      <c r="B18" s="4" t="s">
        <v>25</v>
      </c>
      <c r="C18" s="5">
        <f>(หลังริม!C18*2)+(หลังกลาง!C18*4)</f>
        <v>20</v>
      </c>
      <c r="D18" s="6" t="s">
        <v>60</v>
      </c>
      <c r="E18" s="11">
        <v>590</v>
      </c>
      <c r="F18" s="5">
        <f>E18*C18</f>
        <v>11800</v>
      </c>
      <c r="G18" s="5">
        <v>0</v>
      </c>
      <c r="H18" s="29">
        <f>G18*E18</f>
        <v>0</v>
      </c>
      <c r="I18" s="49">
        <f>H18+F18</f>
        <v>11800</v>
      </c>
      <c r="J18" s="4"/>
    </row>
    <row r="19" spans="1:11" s="40" customFormat="1" ht="20" customHeight="1">
      <c r="A19" s="198"/>
      <c r="B19" s="4" t="s">
        <v>27</v>
      </c>
      <c r="C19" s="5">
        <f>(หลังริม!C19*2)+(หลังกลาง!C19*4)</f>
        <v>0</v>
      </c>
      <c r="D19" s="6" t="s">
        <v>26</v>
      </c>
      <c r="E19" s="11">
        <v>0</v>
      </c>
      <c r="F19" s="5">
        <f t="shared" ref="F19:F22" si="5">E19*C19</f>
        <v>0</v>
      </c>
      <c r="G19" s="5">
        <v>0</v>
      </c>
      <c r="H19" s="29">
        <f t="shared" ref="H19:H22" si="6">G19*E19</f>
        <v>0</v>
      </c>
      <c r="I19" s="49">
        <f t="shared" ref="I19:I22" si="7">H19+F19</f>
        <v>0</v>
      </c>
      <c r="J19" s="4"/>
    </row>
    <row r="20" spans="1:11" s="40" customFormat="1" ht="20" customHeight="1">
      <c r="A20" s="6"/>
      <c r="B20" s="4" t="s">
        <v>28</v>
      </c>
      <c r="C20" s="5">
        <f>(หลังริม!C20*2)+(หลังกลาง!C20*4)</f>
        <v>200</v>
      </c>
      <c r="D20" s="6" t="s">
        <v>21</v>
      </c>
      <c r="E20" s="11">
        <v>25</v>
      </c>
      <c r="F20" s="5">
        <f t="shared" si="5"/>
        <v>5000</v>
      </c>
      <c r="G20" s="5">
        <v>0</v>
      </c>
      <c r="H20" s="29">
        <f t="shared" si="6"/>
        <v>0</v>
      </c>
      <c r="I20" s="49">
        <f t="shared" si="7"/>
        <v>5000</v>
      </c>
      <c r="J20" s="4"/>
    </row>
    <row r="21" spans="1:11" s="40" customFormat="1" ht="20" customHeight="1">
      <c r="A21" s="6"/>
      <c r="B21" s="4" t="s">
        <v>29</v>
      </c>
      <c r="C21" s="5">
        <f>(หลังริม!C21*2)+(หลังกลาง!C21*4)</f>
        <v>0</v>
      </c>
      <c r="D21" s="6" t="s">
        <v>30</v>
      </c>
      <c r="E21" s="11">
        <v>0</v>
      </c>
      <c r="F21" s="5">
        <f t="shared" si="5"/>
        <v>0</v>
      </c>
      <c r="G21" s="5">
        <v>0</v>
      </c>
      <c r="H21" s="29">
        <f t="shared" si="6"/>
        <v>0</v>
      </c>
      <c r="I21" s="49">
        <f t="shared" si="7"/>
        <v>0</v>
      </c>
      <c r="J21" s="4"/>
    </row>
    <row r="22" spans="1:11" s="40" customFormat="1" ht="20" customHeight="1">
      <c r="A22" s="198"/>
      <c r="B22" s="4" t="s">
        <v>31</v>
      </c>
      <c r="C22" s="5">
        <f>(หลังริม!C22*2)+(หลังกลาง!C22*4)</f>
        <v>0</v>
      </c>
      <c r="D22" s="6" t="s">
        <v>32</v>
      </c>
      <c r="E22" s="11">
        <v>0</v>
      </c>
      <c r="F22" s="5">
        <f t="shared" si="5"/>
        <v>0</v>
      </c>
      <c r="G22" s="5">
        <v>0</v>
      </c>
      <c r="H22" s="29">
        <f t="shared" si="6"/>
        <v>0</v>
      </c>
      <c r="I22" s="49">
        <f t="shared" si="7"/>
        <v>0</v>
      </c>
      <c r="J22" s="4"/>
    </row>
    <row r="23" spans="1:11" s="50" customFormat="1" ht="20" customHeight="1">
      <c r="A23" s="199"/>
      <c r="B23" s="12" t="s">
        <v>33</v>
      </c>
      <c r="C23" s="5">
        <f>(หลังริม!C23*2)+(หลังกลาง!C23*4)</f>
        <v>0</v>
      </c>
      <c r="D23" s="12"/>
      <c r="E23" s="100"/>
      <c r="F23" s="14">
        <f>SUM(F18:F22)</f>
        <v>16800</v>
      </c>
      <c r="G23" s="14"/>
      <c r="H23" s="14">
        <f t="shared" ref="H23:I23" si="8">SUM(H18:H22)</f>
        <v>0</v>
      </c>
      <c r="I23" s="14">
        <f t="shared" si="8"/>
        <v>16800</v>
      </c>
      <c r="J23" s="13"/>
      <c r="K23" s="151">
        <f>H23+F23</f>
        <v>16800</v>
      </c>
    </row>
    <row r="24" spans="1:11" s="40" customFormat="1" ht="20" customHeight="1">
      <c r="A24" s="198"/>
      <c r="B24" s="3" t="s">
        <v>34</v>
      </c>
      <c r="C24" s="5">
        <f>(หลังริม!C24*2)+(หลังกลาง!C24*4)</f>
        <v>0</v>
      </c>
      <c r="D24" s="6"/>
      <c r="E24" s="48"/>
      <c r="F24" s="4"/>
      <c r="G24" s="4"/>
      <c r="H24" s="4"/>
      <c r="I24" s="4"/>
      <c r="J24" s="4"/>
    </row>
    <row r="25" spans="1:11" s="40" customFormat="1" ht="20" customHeight="1">
      <c r="A25" s="198"/>
      <c r="B25" s="4" t="s">
        <v>35</v>
      </c>
      <c r="C25" s="5">
        <f>(หลังริม!C25*2)+(หลังกลาง!C25*4)</f>
        <v>15</v>
      </c>
      <c r="D25" s="6" t="s">
        <v>16</v>
      </c>
      <c r="E25" s="11">
        <v>1300</v>
      </c>
      <c r="F25" s="5">
        <f>E25*C25</f>
        <v>19500</v>
      </c>
      <c r="G25" s="5">
        <v>0</v>
      </c>
      <c r="H25" s="5">
        <f>G25*C25</f>
        <v>0</v>
      </c>
      <c r="I25" s="49">
        <f>H25+F25</f>
        <v>19500</v>
      </c>
      <c r="J25" s="4"/>
    </row>
    <row r="26" spans="1:11" s="40" customFormat="1" ht="20" customHeight="1">
      <c r="A26" s="198"/>
      <c r="B26" s="4" t="s">
        <v>36</v>
      </c>
      <c r="C26" s="5">
        <f>(หลังริม!C26*2)+(หลังกลาง!C26*4)</f>
        <v>55</v>
      </c>
      <c r="D26" s="6" t="s">
        <v>16</v>
      </c>
      <c r="E26" s="11">
        <v>1500</v>
      </c>
      <c r="F26" s="5">
        <f t="shared" ref="F26:F29" si="9">E26*C26</f>
        <v>82500</v>
      </c>
      <c r="G26" s="5">
        <v>0</v>
      </c>
      <c r="H26" s="5">
        <f t="shared" ref="H26:H29" si="10">G26*C26</f>
        <v>0</v>
      </c>
      <c r="I26" s="49">
        <f t="shared" ref="I26:I29" si="11">H26+F26</f>
        <v>82500</v>
      </c>
      <c r="J26" s="4"/>
    </row>
    <row r="27" spans="1:11" s="40" customFormat="1" ht="20" customHeight="1">
      <c r="A27" s="198"/>
      <c r="B27" s="4" t="s">
        <v>37</v>
      </c>
      <c r="C27" s="5">
        <f>(หลังริม!C27*2)+(หลังกลาง!C27*4)</f>
        <v>0</v>
      </c>
      <c r="D27" s="6" t="s">
        <v>16</v>
      </c>
      <c r="E27" s="11">
        <v>1600</v>
      </c>
      <c r="F27" s="5">
        <f t="shared" si="9"/>
        <v>0</v>
      </c>
      <c r="G27" s="5">
        <v>0</v>
      </c>
      <c r="H27" s="5">
        <f t="shared" si="10"/>
        <v>0</v>
      </c>
      <c r="I27" s="49">
        <f t="shared" si="11"/>
        <v>0</v>
      </c>
      <c r="J27" s="4"/>
    </row>
    <row r="28" spans="1:11" s="40" customFormat="1" ht="20" customHeight="1">
      <c r="A28" s="198"/>
      <c r="B28" s="4" t="s">
        <v>38</v>
      </c>
      <c r="C28" s="5">
        <f>(หลังริม!C28*2)+(หลังกลาง!C28*4)</f>
        <v>600</v>
      </c>
      <c r="D28" s="6" t="s">
        <v>32</v>
      </c>
      <c r="E28" s="11">
        <v>74.2</v>
      </c>
      <c r="F28" s="5">
        <f t="shared" si="9"/>
        <v>44520</v>
      </c>
      <c r="G28" s="5">
        <v>0</v>
      </c>
      <c r="H28" s="5">
        <f t="shared" si="10"/>
        <v>0</v>
      </c>
      <c r="I28" s="49">
        <f t="shared" si="11"/>
        <v>44520</v>
      </c>
      <c r="J28" s="4"/>
    </row>
    <row r="29" spans="1:11" s="40" customFormat="1" ht="20" customHeight="1">
      <c r="A29" s="198"/>
      <c r="B29" s="4" t="s">
        <v>286</v>
      </c>
      <c r="C29" s="5">
        <f>(หลังริม!C29*2)+(หลังกลาง!C29*4)</f>
        <v>600</v>
      </c>
      <c r="D29" s="6" t="s">
        <v>32</v>
      </c>
      <c r="E29" s="11">
        <v>0</v>
      </c>
      <c r="F29" s="5">
        <f t="shared" si="9"/>
        <v>0</v>
      </c>
      <c r="G29" s="223">
        <v>173.47</v>
      </c>
      <c r="H29" s="5">
        <f t="shared" si="10"/>
        <v>104082</v>
      </c>
      <c r="I29" s="49">
        <f t="shared" si="11"/>
        <v>104082</v>
      </c>
      <c r="J29" s="4"/>
    </row>
    <row r="30" spans="1:11" s="50" customFormat="1" ht="20" customHeight="1">
      <c r="A30" s="12"/>
      <c r="B30" s="12" t="s">
        <v>39</v>
      </c>
      <c r="C30" s="5">
        <f>(หลังริม!C30*2)+(หลังกลาง!C30*4)</f>
        <v>0</v>
      </c>
      <c r="D30" s="12"/>
      <c r="E30" s="100"/>
      <c r="F30" s="14">
        <f>SUM(F25:F29)</f>
        <v>146520</v>
      </c>
      <c r="G30" s="14"/>
      <c r="H30" s="14">
        <f t="shared" ref="H30:I30" si="12">SUM(H25:H29)</f>
        <v>104082</v>
      </c>
      <c r="I30" s="14">
        <f t="shared" si="12"/>
        <v>250602</v>
      </c>
      <c r="J30" s="13"/>
      <c r="K30" s="151">
        <f>H30+F30</f>
        <v>250602</v>
      </c>
    </row>
    <row r="31" spans="1:11" s="40" customFormat="1" ht="20" customHeight="1">
      <c r="A31" s="198"/>
      <c r="B31" s="3" t="s">
        <v>40</v>
      </c>
      <c r="C31" s="5">
        <f>(หลังริม!C31*2)+(หลังกลาง!C31*4)</f>
        <v>0</v>
      </c>
      <c r="D31" s="6"/>
      <c r="E31" s="48"/>
      <c r="F31" s="4"/>
      <c r="G31" s="8"/>
      <c r="H31" s="8"/>
      <c r="I31" s="8"/>
      <c r="J31" s="4"/>
    </row>
    <row r="32" spans="1:11" s="40" customFormat="1" ht="20" customHeight="1">
      <c r="A32" s="198"/>
      <c r="B32" s="4" t="s">
        <v>41</v>
      </c>
      <c r="C32" s="5">
        <f>(หลังริม!C32*2)+(หลังกลาง!C32*4)</f>
        <v>0.11100000000000002</v>
      </c>
      <c r="D32" s="6" t="s">
        <v>42</v>
      </c>
      <c r="E32" s="11">
        <v>64</v>
      </c>
      <c r="F32" s="5">
        <f>C32*1000/2.22*E32</f>
        <v>3200</v>
      </c>
      <c r="G32" s="5">
        <v>0</v>
      </c>
      <c r="H32" s="5">
        <f>G32*C32</f>
        <v>0</v>
      </c>
      <c r="I32" s="49">
        <f>H32+F32</f>
        <v>3200</v>
      </c>
      <c r="J32" s="4"/>
    </row>
    <row r="33" spans="1:11" s="40" customFormat="1" ht="20" customHeight="1">
      <c r="A33" s="198"/>
      <c r="B33" s="4" t="s">
        <v>43</v>
      </c>
      <c r="C33" s="5">
        <f>(หลังริม!C33*2)+(หลังกลาง!C33*4)</f>
        <v>0.32435000000000003</v>
      </c>
      <c r="D33" s="6" t="s">
        <v>42</v>
      </c>
      <c r="E33" s="11">
        <v>137</v>
      </c>
      <c r="F33" s="5">
        <f>C33*1000/4.99*E33</f>
        <v>8905</v>
      </c>
      <c r="G33" s="5">
        <v>0</v>
      </c>
      <c r="H33" s="5">
        <f t="shared" ref="H33:H36" si="13">G33*C33</f>
        <v>0</v>
      </c>
      <c r="I33" s="49">
        <f t="shared" ref="I33:I36" si="14">H33+F33</f>
        <v>8905</v>
      </c>
      <c r="J33" s="4"/>
    </row>
    <row r="34" spans="1:11" s="40" customFormat="1" ht="20" customHeight="1">
      <c r="A34" s="198"/>
      <c r="B34" s="4" t="s">
        <v>44</v>
      </c>
      <c r="C34" s="5">
        <f>(หลังริม!C34*2)+(หลังกลาง!C34*4)</f>
        <v>1.9092000000000002</v>
      </c>
      <c r="D34" s="6" t="s">
        <v>42</v>
      </c>
      <c r="E34" s="11">
        <v>240</v>
      </c>
      <c r="F34" s="5">
        <f>C34*1000/8.88*E34</f>
        <v>51600</v>
      </c>
      <c r="G34" s="5">
        <v>0</v>
      </c>
      <c r="H34" s="5">
        <f t="shared" si="13"/>
        <v>0</v>
      </c>
      <c r="I34" s="49">
        <f t="shared" si="14"/>
        <v>51600</v>
      </c>
      <c r="J34" s="4"/>
    </row>
    <row r="35" spans="1:11" s="40" customFormat="1" ht="20" customHeight="1">
      <c r="A35" s="198"/>
      <c r="B35" s="4" t="s">
        <v>45</v>
      </c>
      <c r="C35" s="5">
        <f>(หลังริม!C35*2)+(หลังกลาง!C35*4)</f>
        <v>0</v>
      </c>
      <c r="D35" s="6" t="s">
        <v>42</v>
      </c>
      <c r="E35" s="11">
        <v>425</v>
      </c>
      <c r="F35" s="5">
        <f>C35*1000/15.78*E35</f>
        <v>0</v>
      </c>
      <c r="G35" s="5">
        <v>0</v>
      </c>
      <c r="H35" s="5">
        <f t="shared" si="13"/>
        <v>0</v>
      </c>
      <c r="I35" s="49">
        <f t="shared" si="14"/>
        <v>0</v>
      </c>
      <c r="J35" s="4"/>
    </row>
    <row r="36" spans="1:11" s="40" customFormat="1" ht="20" customHeight="1">
      <c r="A36" s="198"/>
      <c r="B36" s="4" t="s">
        <v>46</v>
      </c>
      <c r="C36" s="5">
        <f>(หลังริม!C36*2)+(หลังกลาง!C36*4)</f>
        <v>0</v>
      </c>
      <c r="D36" s="6" t="s">
        <v>30</v>
      </c>
      <c r="E36" s="11">
        <v>0</v>
      </c>
      <c r="F36" s="5">
        <f t="shared" ref="F36" si="15">E36*C36</f>
        <v>0</v>
      </c>
      <c r="G36" s="5">
        <v>0</v>
      </c>
      <c r="H36" s="5">
        <f t="shared" si="13"/>
        <v>0</v>
      </c>
      <c r="I36" s="49">
        <f t="shared" si="14"/>
        <v>0</v>
      </c>
      <c r="J36" s="4"/>
    </row>
    <row r="37" spans="1:11" s="50" customFormat="1" ht="20" customHeight="1">
      <c r="A37" s="199"/>
      <c r="B37" s="12" t="s">
        <v>47</v>
      </c>
      <c r="C37" s="5">
        <f>(หลังริม!C37*2)+(หลังกลาง!C37*4)</f>
        <v>0</v>
      </c>
      <c r="D37" s="12"/>
      <c r="E37" s="21"/>
      <c r="F37" s="18">
        <f>SUM(F32:F36)</f>
        <v>63705</v>
      </c>
      <c r="G37" s="18"/>
      <c r="H37" s="18">
        <f t="shared" ref="H37:I37" si="16">SUM(H32:H36)</f>
        <v>0</v>
      </c>
      <c r="I37" s="18">
        <f t="shared" si="16"/>
        <v>63705</v>
      </c>
      <c r="J37" s="13"/>
      <c r="K37" s="151">
        <f>H37+F37</f>
        <v>63705</v>
      </c>
    </row>
    <row r="38" spans="1:11" s="40" customFormat="1" ht="20" customHeight="1">
      <c r="A38" s="198"/>
      <c r="B38" s="3" t="s">
        <v>48</v>
      </c>
      <c r="C38" s="5">
        <f>(หลังริม!C38*2)+(หลังกลาง!C38*4)</f>
        <v>0</v>
      </c>
      <c r="D38" s="6"/>
      <c r="E38" s="48"/>
      <c r="F38" s="4"/>
      <c r="G38" s="4"/>
      <c r="H38" s="4"/>
      <c r="I38" s="4"/>
      <c r="J38" s="4"/>
    </row>
    <row r="39" spans="1:11" s="40" customFormat="1" ht="20" customHeight="1">
      <c r="A39" s="198"/>
      <c r="B39" s="4" t="s">
        <v>43</v>
      </c>
      <c r="C39" s="5">
        <f>(หลังริม!C39*2)+(หลังกลาง!C39*4)</f>
        <v>0.29899999999999999</v>
      </c>
      <c r="D39" s="6" t="s">
        <v>42</v>
      </c>
      <c r="E39" s="11">
        <v>137</v>
      </c>
      <c r="F39" s="5">
        <f>C39*1000/4.99*E39</f>
        <v>8209.0180360721442</v>
      </c>
      <c r="G39" s="20">
        <v>0</v>
      </c>
      <c r="H39" s="5">
        <f>G39*C39</f>
        <v>0</v>
      </c>
      <c r="I39" s="49">
        <f>H39+F39</f>
        <v>8209.0180360721442</v>
      </c>
      <c r="J39" s="4"/>
    </row>
    <row r="40" spans="1:11" s="40" customFormat="1" ht="20" customHeight="1">
      <c r="A40" s="198"/>
      <c r="B40" s="4" t="s">
        <v>44</v>
      </c>
      <c r="C40" s="5">
        <f>(หลังริม!C40*2)+(หลังกลาง!C40*4)</f>
        <v>0.53</v>
      </c>
      <c r="D40" s="6" t="s">
        <v>42</v>
      </c>
      <c r="E40" s="11">
        <v>240</v>
      </c>
      <c r="F40" s="5">
        <f>C40*1000/8.88*E40</f>
        <v>14324.324324324321</v>
      </c>
      <c r="G40" s="20">
        <v>0</v>
      </c>
      <c r="H40" s="5">
        <f t="shared" ref="H40:H43" si="17">G40*C40</f>
        <v>0</v>
      </c>
      <c r="I40" s="49">
        <f>H40+F40</f>
        <v>14324.324324324321</v>
      </c>
      <c r="J40" s="4"/>
    </row>
    <row r="41" spans="1:11" s="40" customFormat="1" ht="20" customHeight="1">
      <c r="A41" s="6"/>
      <c r="B41" s="4" t="s">
        <v>111</v>
      </c>
      <c r="C41" s="5">
        <f>(หลังริม!C41*2)+(หลังกลาง!C41*4)</f>
        <v>59</v>
      </c>
      <c r="D41" s="6" t="s">
        <v>16</v>
      </c>
      <c r="E41" s="11">
        <v>1600</v>
      </c>
      <c r="F41" s="5">
        <f>E41*C41</f>
        <v>94400</v>
      </c>
      <c r="G41" s="20">
        <v>0</v>
      </c>
      <c r="H41" s="5">
        <f t="shared" si="17"/>
        <v>0</v>
      </c>
      <c r="I41" s="49">
        <f t="shared" ref="I41:I43" si="18">H41+F41</f>
        <v>94400</v>
      </c>
      <c r="J41" s="4"/>
    </row>
    <row r="42" spans="1:11" s="40" customFormat="1" ht="20" customHeight="1">
      <c r="A42" s="6"/>
      <c r="B42" s="4" t="s">
        <v>49</v>
      </c>
      <c r="C42" s="5">
        <f>(หลังริม!C42*2)+(หลังกลาง!C42*4)</f>
        <v>600</v>
      </c>
      <c r="D42" s="6" t="s">
        <v>32</v>
      </c>
      <c r="E42" s="11">
        <v>74.2</v>
      </c>
      <c r="F42" s="5">
        <f>E42*C42</f>
        <v>44520</v>
      </c>
      <c r="G42" s="20">
        <v>0</v>
      </c>
      <c r="H42" s="5">
        <f t="shared" si="17"/>
        <v>0</v>
      </c>
      <c r="I42" s="49">
        <f t="shared" si="18"/>
        <v>44520</v>
      </c>
      <c r="J42" s="4"/>
    </row>
    <row r="43" spans="1:11" s="40" customFormat="1" ht="20" customHeight="1">
      <c r="A43" s="198"/>
      <c r="B43" s="4" t="s">
        <v>287</v>
      </c>
      <c r="C43" s="5">
        <f>(หลังริม!C43*2)+(หลังกลาง!C43*4)</f>
        <v>600</v>
      </c>
      <c r="D43" s="6" t="s">
        <v>32</v>
      </c>
      <c r="E43" s="11">
        <v>0</v>
      </c>
      <c r="F43" s="5">
        <v>0</v>
      </c>
      <c r="G43" s="20">
        <v>115</v>
      </c>
      <c r="H43" s="5">
        <f t="shared" si="17"/>
        <v>69000</v>
      </c>
      <c r="I43" s="49">
        <f t="shared" si="18"/>
        <v>69000</v>
      </c>
      <c r="J43" s="4"/>
    </row>
    <row r="44" spans="1:11" s="50" customFormat="1" ht="20" customHeight="1" thickBot="1">
      <c r="A44" s="12"/>
      <c r="B44" s="12" t="s">
        <v>50</v>
      </c>
      <c r="C44" s="5">
        <f>(หลังริม!C44*2)+(หลังกลาง!C44*4)</f>
        <v>0</v>
      </c>
      <c r="D44" s="12"/>
      <c r="E44" s="21"/>
      <c r="F44" s="18">
        <f>SUM(F39:F43)</f>
        <v>161453.34236039646</v>
      </c>
      <c r="G44" s="18"/>
      <c r="H44" s="18">
        <f t="shared" ref="H44:I44" si="19">SUM(H39:H43)</f>
        <v>69000</v>
      </c>
      <c r="I44" s="18">
        <f t="shared" si="19"/>
        <v>230453.34236039646</v>
      </c>
      <c r="J44" s="13"/>
      <c r="K44" s="151">
        <f>H44+F44</f>
        <v>230453.34236039646</v>
      </c>
    </row>
    <row r="45" spans="1:11" s="40" customFormat="1" ht="20" customHeight="1" thickTop="1">
      <c r="A45" s="200"/>
      <c r="B45" s="22" t="s">
        <v>51</v>
      </c>
      <c r="C45" s="5">
        <f>(หลังริม!C45*2)+(หลังกลาง!C45*4)</f>
        <v>0</v>
      </c>
      <c r="D45" s="187"/>
      <c r="E45" s="51"/>
      <c r="F45" s="23"/>
      <c r="G45" s="23"/>
      <c r="H45" s="23"/>
      <c r="I45" s="23"/>
      <c r="J45" s="23"/>
    </row>
    <row r="46" spans="1:11" s="40" customFormat="1" ht="20" customHeight="1">
      <c r="A46" s="198"/>
      <c r="B46" s="4" t="s">
        <v>52</v>
      </c>
      <c r="C46" s="5">
        <f>(หลังริม!C46*2)+(หลังกลาง!C46*4)</f>
        <v>12</v>
      </c>
      <c r="D46" s="6" t="s">
        <v>53</v>
      </c>
      <c r="E46" s="11">
        <v>225</v>
      </c>
      <c r="F46" s="5">
        <f>E46*C46</f>
        <v>2700</v>
      </c>
      <c r="G46" s="20">
        <v>0</v>
      </c>
      <c r="H46" s="5">
        <f>G46*C46</f>
        <v>0</v>
      </c>
      <c r="I46" s="49">
        <f>H46+F46</f>
        <v>2700</v>
      </c>
      <c r="J46" s="24"/>
    </row>
    <row r="47" spans="1:11" s="40" customFormat="1" ht="20" customHeight="1">
      <c r="A47" s="198"/>
      <c r="B47" s="4" t="s">
        <v>54</v>
      </c>
      <c r="C47" s="5">
        <f>(หลังริม!C47*2)+(หลังกลาง!C47*4)</f>
        <v>73</v>
      </c>
      <c r="D47" s="6" t="s">
        <v>53</v>
      </c>
      <c r="E47" s="11">
        <v>500</v>
      </c>
      <c r="F47" s="5">
        <f t="shared" ref="F47:F64" si="20">E47*C47</f>
        <v>36500</v>
      </c>
      <c r="G47" s="20">
        <v>0</v>
      </c>
      <c r="H47" s="5">
        <f t="shared" ref="H47:H64" si="21">G47*C47</f>
        <v>0</v>
      </c>
      <c r="I47" s="49">
        <f t="shared" ref="I47:I64" si="22">H47+F47</f>
        <v>36500</v>
      </c>
      <c r="J47" s="24"/>
    </row>
    <row r="48" spans="1:11" s="40" customFormat="1" ht="20" customHeight="1">
      <c r="A48" s="6"/>
      <c r="B48" s="4" t="s">
        <v>112</v>
      </c>
      <c r="C48" s="5">
        <f>(หลังริม!C48*2)+(หลังกลาง!C48*4)</f>
        <v>46</v>
      </c>
      <c r="D48" s="6" t="s">
        <v>53</v>
      </c>
      <c r="E48" s="11">
        <v>650</v>
      </c>
      <c r="F48" s="5">
        <f t="shared" si="20"/>
        <v>29900</v>
      </c>
      <c r="G48" s="20">
        <v>0</v>
      </c>
      <c r="H48" s="5">
        <f t="shared" si="21"/>
        <v>0</v>
      </c>
      <c r="I48" s="49">
        <f t="shared" si="22"/>
        <v>29900</v>
      </c>
      <c r="J48" s="24"/>
    </row>
    <row r="49" spans="1:10" s="40" customFormat="1" ht="20" customHeight="1">
      <c r="A49" s="198"/>
      <c r="B49" s="4" t="s">
        <v>55</v>
      </c>
      <c r="C49" s="5">
        <f>(หลังริม!C49*2)+(หลังกลาง!C49*4)</f>
        <v>28</v>
      </c>
      <c r="D49" s="6" t="s">
        <v>53</v>
      </c>
      <c r="E49" s="11">
        <v>740</v>
      </c>
      <c r="F49" s="5">
        <f t="shared" si="20"/>
        <v>20720</v>
      </c>
      <c r="G49" s="20">
        <v>0</v>
      </c>
      <c r="H49" s="5">
        <f t="shared" si="21"/>
        <v>0</v>
      </c>
      <c r="I49" s="49">
        <f t="shared" si="22"/>
        <v>20720</v>
      </c>
      <c r="J49" s="24"/>
    </row>
    <row r="50" spans="1:10" s="40" customFormat="1" ht="20" customHeight="1">
      <c r="A50" s="198"/>
      <c r="B50" s="4" t="s">
        <v>56</v>
      </c>
      <c r="C50" s="5">
        <f>(หลังริม!C50*2)+(หลังกลาง!C50*4)</f>
        <v>2</v>
      </c>
      <c r="D50" s="6" t="s">
        <v>53</v>
      </c>
      <c r="E50" s="11">
        <v>1900</v>
      </c>
      <c r="F50" s="5">
        <f t="shared" si="20"/>
        <v>3800</v>
      </c>
      <c r="G50" s="20">
        <v>0</v>
      </c>
      <c r="H50" s="5">
        <f t="shared" si="21"/>
        <v>0</v>
      </c>
      <c r="I50" s="49">
        <f t="shared" si="22"/>
        <v>3800</v>
      </c>
      <c r="J50" s="24"/>
    </row>
    <row r="51" spans="1:10" s="40" customFormat="1" ht="20" customHeight="1">
      <c r="A51" s="198"/>
      <c r="B51" s="4" t="s">
        <v>57</v>
      </c>
      <c r="C51" s="5">
        <f>(หลังริม!C51*2)+(หลังกลาง!C51*4)</f>
        <v>1</v>
      </c>
      <c r="D51" s="6" t="s">
        <v>53</v>
      </c>
      <c r="E51" s="11">
        <v>905</v>
      </c>
      <c r="F51" s="5">
        <f t="shared" si="20"/>
        <v>905</v>
      </c>
      <c r="G51" s="20">
        <v>0</v>
      </c>
      <c r="H51" s="5">
        <f t="shared" si="21"/>
        <v>0</v>
      </c>
      <c r="I51" s="49">
        <f t="shared" si="22"/>
        <v>905</v>
      </c>
      <c r="J51" s="24"/>
    </row>
    <row r="52" spans="1:10" s="40" customFormat="1" ht="20" customHeight="1">
      <c r="A52" s="198"/>
      <c r="B52" s="4" t="s">
        <v>58</v>
      </c>
      <c r="C52" s="5">
        <f>(หลังริม!C52*2)+(หลังกลาง!C52*4)</f>
        <v>8</v>
      </c>
      <c r="D52" s="6" t="s">
        <v>53</v>
      </c>
      <c r="E52" s="11">
        <v>1040</v>
      </c>
      <c r="F52" s="5">
        <f t="shared" si="20"/>
        <v>8320</v>
      </c>
      <c r="G52" s="20">
        <v>0</v>
      </c>
      <c r="H52" s="5">
        <f t="shared" si="21"/>
        <v>0</v>
      </c>
      <c r="I52" s="49">
        <f t="shared" si="22"/>
        <v>8320</v>
      </c>
      <c r="J52" s="24"/>
    </row>
    <row r="53" spans="1:10" s="40" customFormat="1" ht="20" customHeight="1">
      <c r="A53" s="198"/>
      <c r="B53" s="4" t="s">
        <v>59</v>
      </c>
      <c r="C53" s="5">
        <f>(หลังริม!C53*2)+(หลังกลาง!C53*4)</f>
        <v>6</v>
      </c>
      <c r="D53" s="6" t="s">
        <v>60</v>
      </c>
      <c r="E53" s="11">
        <v>109</v>
      </c>
      <c r="F53" s="5">
        <f t="shared" si="20"/>
        <v>654</v>
      </c>
      <c r="G53" s="20">
        <v>0</v>
      </c>
      <c r="H53" s="5">
        <f t="shared" si="21"/>
        <v>0</v>
      </c>
      <c r="I53" s="49">
        <f t="shared" si="22"/>
        <v>654</v>
      </c>
      <c r="J53" s="24"/>
    </row>
    <row r="54" spans="1:10" s="40" customFormat="1" ht="20" customHeight="1">
      <c r="A54" s="6"/>
      <c r="B54" s="4" t="s">
        <v>61</v>
      </c>
      <c r="C54" s="5">
        <f>(หลังริม!C54*2)+(หลังกลาง!C54*4)</f>
        <v>14</v>
      </c>
      <c r="D54" s="6" t="s">
        <v>60</v>
      </c>
      <c r="E54" s="11">
        <v>53</v>
      </c>
      <c r="F54" s="5">
        <f t="shared" si="20"/>
        <v>742</v>
      </c>
      <c r="G54" s="20">
        <v>0</v>
      </c>
      <c r="H54" s="5">
        <f t="shared" si="21"/>
        <v>0</v>
      </c>
      <c r="I54" s="49">
        <f t="shared" si="22"/>
        <v>742</v>
      </c>
      <c r="J54" s="24"/>
    </row>
    <row r="55" spans="1:10" s="40" customFormat="1" ht="20" customHeight="1">
      <c r="A55" s="6"/>
      <c r="B55" s="4" t="s">
        <v>62</v>
      </c>
      <c r="C55" s="5">
        <f>(หลังริม!C55*2)+(หลังกลาง!C55*4)</f>
        <v>1</v>
      </c>
      <c r="D55" s="6" t="s">
        <v>60</v>
      </c>
      <c r="E55" s="11">
        <v>670</v>
      </c>
      <c r="F55" s="5">
        <f t="shared" si="20"/>
        <v>670</v>
      </c>
      <c r="G55" s="20">
        <v>0</v>
      </c>
      <c r="H55" s="5">
        <f t="shared" si="21"/>
        <v>0</v>
      </c>
      <c r="I55" s="49">
        <f t="shared" si="22"/>
        <v>670</v>
      </c>
      <c r="J55" s="24"/>
    </row>
    <row r="56" spans="1:10" s="40" customFormat="1" ht="20" customHeight="1">
      <c r="A56" s="198"/>
      <c r="B56" s="4" t="s">
        <v>63</v>
      </c>
      <c r="C56" s="5">
        <f>(หลังริม!C56*2)+(หลังกลาง!C56*4)</f>
        <v>1</v>
      </c>
      <c r="D56" s="6" t="s">
        <v>64</v>
      </c>
      <c r="E56" s="11">
        <v>1500</v>
      </c>
      <c r="F56" s="5">
        <f t="shared" si="20"/>
        <v>1500</v>
      </c>
      <c r="G56" s="20">
        <v>0</v>
      </c>
      <c r="H56" s="5">
        <f t="shared" si="21"/>
        <v>0</v>
      </c>
      <c r="I56" s="49">
        <f t="shared" si="22"/>
        <v>1500</v>
      </c>
      <c r="J56" s="4"/>
    </row>
    <row r="57" spans="1:10" s="40" customFormat="1" ht="20" customHeight="1">
      <c r="A57" s="198"/>
      <c r="B57" s="4" t="s">
        <v>65</v>
      </c>
      <c r="C57" s="5">
        <f>(หลังริม!C57*2)+(หลังกลาง!C57*4)</f>
        <v>6</v>
      </c>
      <c r="D57" s="6" t="s">
        <v>66</v>
      </c>
      <c r="E57" s="11">
        <v>1189</v>
      </c>
      <c r="F57" s="5">
        <f t="shared" si="20"/>
        <v>7134</v>
      </c>
      <c r="G57" s="20">
        <v>0</v>
      </c>
      <c r="H57" s="5">
        <f t="shared" si="21"/>
        <v>0</v>
      </c>
      <c r="I57" s="49">
        <f t="shared" si="22"/>
        <v>7134</v>
      </c>
      <c r="J57" s="4"/>
    </row>
    <row r="58" spans="1:10" s="40" customFormat="1" ht="20" customHeight="1">
      <c r="A58" s="198"/>
      <c r="B58" s="4" t="s">
        <v>67</v>
      </c>
      <c r="C58" s="5">
        <f>(หลังริม!C58*2)+(หลังกลาง!C58*4)</f>
        <v>10</v>
      </c>
      <c r="D58" s="6" t="s">
        <v>66</v>
      </c>
      <c r="E58" s="11">
        <v>499</v>
      </c>
      <c r="F58" s="5">
        <f t="shared" si="20"/>
        <v>4990</v>
      </c>
      <c r="G58" s="20">
        <v>0</v>
      </c>
      <c r="H58" s="5">
        <f t="shared" si="21"/>
        <v>0</v>
      </c>
      <c r="I58" s="49">
        <f t="shared" si="22"/>
        <v>4990</v>
      </c>
      <c r="J58" s="4"/>
    </row>
    <row r="59" spans="1:10" s="40" customFormat="1" ht="20" customHeight="1">
      <c r="A59" s="198"/>
      <c r="B59" s="4" t="s">
        <v>68</v>
      </c>
      <c r="C59" s="5">
        <f>(หลังริม!C59*2)+(หลังกลาง!C59*4)</f>
        <v>10</v>
      </c>
      <c r="D59" s="16" t="s">
        <v>69</v>
      </c>
      <c r="E59" s="11">
        <v>98</v>
      </c>
      <c r="F59" s="5">
        <f t="shared" si="20"/>
        <v>980</v>
      </c>
      <c r="G59" s="20">
        <v>0</v>
      </c>
      <c r="H59" s="5">
        <f t="shared" si="21"/>
        <v>0</v>
      </c>
      <c r="I59" s="49">
        <f t="shared" si="22"/>
        <v>980</v>
      </c>
      <c r="J59" s="4"/>
    </row>
    <row r="60" spans="1:10" s="40" customFormat="1" ht="20" customHeight="1">
      <c r="A60" s="198"/>
      <c r="B60" s="39" t="s">
        <v>255</v>
      </c>
      <c r="C60" s="5">
        <f>(หลังริม!C60*2)+(หลังกลาง!C60*4)</f>
        <v>446.43</v>
      </c>
      <c r="D60" s="27" t="s">
        <v>263</v>
      </c>
      <c r="E60" s="28">
        <v>0</v>
      </c>
      <c r="F60" s="5">
        <f t="shared" si="20"/>
        <v>0</v>
      </c>
      <c r="G60" s="11">
        <v>135</v>
      </c>
      <c r="H60" s="5">
        <f t="shared" si="21"/>
        <v>60268.05</v>
      </c>
      <c r="I60" s="49">
        <f t="shared" si="22"/>
        <v>60268.05</v>
      </c>
      <c r="J60" s="24"/>
    </row>
    <row r="61" spans="1:10" s="40" customFormat="1" ht="20" customHeight="1">
      <c r="A61" s="198"/>
      <c r="B61" s="4" t="s">
        <v>266</v>
      </c>
      <c r="C61" s="5">
        <f>(หลังริม!C61*2)+(หลังกลาง!C61*4)</f>
        <v>2</v>
      </c>
      <c r="D61" s="31" t="s">
        <v>264</v>
      </c>
      <c r="E61" s="28">
        <v>0</v>
      </c>
      <c r="F61" s="5">
        <f t="shared" si="20"/>
        <v>0</v>
      </c>
      <c r="G61" s="32">
        <v>1000</v>
      </c>
      <c r="H61" s="5">
        <f t="shared" si="21"/>
        <v>2000</v>
      </c>
      <c r="I61" s="49">
        <f t="shared" si="22"/>
        <v>2000</v>
      </c>
      <c r="J61" s="24"/>
    </row>
    <row r="62" spans="1:10" s="40" customFormat="1" ht="20" customHeight="1">
      <c r="A62" s="198"/>
      <c r="B62" s="4" t="s">
        <v>258</v>
      </c>
      <c r="C62" s="5">
        <f>(หลังริม!C62*2)+(หลังกลาง!C62*4)</f>
        <v>11</v>
      </c>
      <c r="D62" s="31" t="s">
        <v>21</v>
      </c>
      <c r="E62" s="28">
        <v>0</v>
      </c>
      <c r="F62" s="5">
        <f t="shared" si="20"/>
        <v>0</v>
      </c>
      <c r="G62" s="33">
        <v>300</v>
      </c>
      <c r="H62" s="5">
        <f t="shared" si="21"/>
        <v>3300</v>
      </c>
      <c r="I62" s="49">
        <f t="shared" si="22"/>
        <v>3300</v>
      </c>
      <c r="J62" s="24"/>
    </row>
    <row r="63" spans="1:10" s="40" customFormat="1" ht="20" customHeight="1">
      <c r="A63" s="6"/>
      <c r="B63" s="4" t="s">
        <v>267</v>
      </c>
      <c r="C63" s="5">
        <f>(หลังริม!C63*2)+(หลังกลาง!C63*4)</f>
        <v>8</v>
      </c>
      <c r="D63" s="31" t="s">
        <v>21</v>
      </c>
      <c r="E63" s="28">
        <v>0</v>
      </c>
      <c r="F63" s="5">
        <f t="shared" si="20"/>
        <v>0</v>
      </c>
      <c r="G63" s="11">
        <v>500</v>
      </c>
      <c r="H63" s="5">
        <f t="shared" si="21"/>
        <v>4000</v>
      </c>
      <c r="I63" s="49">
        <f t="shared" si="22"/>
        <v>4000</v>
      </c>
      <c r="J63" s="24"/>
    </row>
    <row r="64" spans="1:10" s="40" customFormat="1" ht="20" customHeight="1">
      <c r="A64" s="6"/>
      <c r="B64" s="39" t="s">
        <v>268</v>
      </c>
      <c r="C64" s="5">
        <f>(หลังริม!C64*2)+(หลังกลาง!C64*4)</f>
        <v>24</v>
      </c>
      <c r="D64" s="34" t="s">
        <v>123</v>
      </c>
      <c r="E64" s="28">
        <v>0</v>
      </c>
      <c r="F64" s="5">
        <f t="shared" si="20"/>
        <v>0</v>
      </c>
      <c r="G64" s="11">
        <v>80</v>
      </c>
      <c r="H64" s="5">
        <f t="shared" si="21"/>
        <v>1920</v>
      </c>
      <c r="I64" s="49">
        <f t="shared" si="22"/>
        <v>1920</v>
      </c>
      <c r="J64" s="24"/>
    </row>
    <row r="65" spans="1:11" s="50" customFormat="1" ht="20" customHeight="1">
      <c r="A65" s="199"/>
      <c r="B65" s="12" t="s">
        <v>70</v>
      </c>
      <c r="C65" s="5">
        <f>(หลังริม!C65*2)+(หลังกลาง!C65*4)</f>
        <v>0</v>
      </c>
      <c r="D65" s="12"/>
      <c r="E65" s="100"/>
      <c r="F65" s="14">
        <f>SUM(F46:F64)</f>
        <v>119515</v>
      </c>
      <c r="G65" s="14"/>
      <c r="H65" s="14">
        <f t="shared" ref="H65:I65" si="23">SUM(H46:H64)</f>
        <v>71488.05</v>
      </c>
      <c r="I65" s="14">
        <f t="shared" si="23"/>
        <v>191003.05</v>
      </c>
      <c r="J65" s="13"/>
      <c r="K65" s="151">
        <f>H65+F65</f>
        <v>191003.05</v>
      </c>
    </row>
    <row r="66" spans="1:11" s="152" customFormat="1" ht="20" customHeight="1">
      <c r="A66" s="211">
        <v>1</v>
      </c>
      <c r="B66" s="36" t="s">
        <v>71</v>
      </c>
      <c r="C66" s="5">
        <f>(หลังริม!C66*2)+(หลังกลาง!C66*4)</f>
        <v>0</v>
      </c>
      <c r="D66" s="36" t="s">
        <v>11</v>
      </c>
      <c r="E66" s="37"/>
      <c r="F66" s="37">
        <f>F12+F16+F23+F30+F37+F44+F65</f>
        <v>665483.3423603964</v>
      </c>
      <c r="G66" s="37"/>
      <c r="H66" s="37">
        <f t="shared" ref="H66:I66" si="24">H12+H16+H23+H30+H37+H44+H65</f>
        <v>286120.05</v>
      </c>
      <c r="I66" s="37">
        <f t="shared" si="24"/>
        <v>951603.39236039645</v>
      </c>
      <c r="J66" s="38"/>
      <c r="K66" s="151">
        <f>H66+F66</f>
        <v>951603.39236039645</v>
      </c>
    </row>
    <row r="67" spans="1:11" s="91" customFormat="1" ht="20" customHeight="1" thickBot="1">
      <c r="A67" s="205"/>
      <c r="B67" s="87"/>
      <c r="C67" s="5">
        <f>(หลังริม!C67*2)+(หลังกลาง!C67*4)</f>
        <v>0</v>
      </c>
      <c r="D67" s="87"/>
      <c r="E67" s="88"/>
      <c r="F67" s="88"/>
      <c r="G67" s="88"/>
      <c r="H67" s="88"/>
      <c r="I67" s="153"/>
      <c r="J67" s="89"/>
    </row>
    <row r="68" spans="1:11" s="69" customFormat="1" ht="20" customHeight="1" thickTop="1">
      <c r="A68" s="203">
        <v>2</v>
      </c>
      <c r="B68" s="66" t="s">
        <v>72</v>
      </c>
      <c r="C68" s="5">
        <f>(หลังริม!C68*2)+(หลังกลาง!C68*4)</f>
        <v>0</v>
      </c>
      <c r="D68" s="188"/>
      <c r="E68" s="68"/>
      <c r="F68" s="67"/>
      <c r="G68" s="67"/>
      <c r="H68" s="67"/>
      <c r="I68" s="67"/>
      <c r="J68" s="67"/>
    </row>
    <row r="69" spans="1:11" s="40" customFormat="1" ht="20" customHeight="1">
      <c r="A69" s="198"/>
      <c r="B69" s="3" t="s">
        <v>73</v>
      </c>
      <c r="C69" s="5">
        <f>(หลังริม!C69*2)+(หลังกลาง!C69*4)</f>
        <v>0</v>
      </c>
      <c r="D69" s="6"/>
      <c r="E69" s="48"/>
      <c r="F69" s="4"/>
      <c r="G69" s="4"/>
      <c r="H69" s="4"/>
      <c r="I69" s="4"/>
      <c r="J69" s="4"/>
    </row>
    <row r="70" spans="1:11" s="40" customFormat="1" ht="20" customHeight="1">
      <c r="A70" s="198"/>
      <c r="B70" s="4" t="s">
        <v>74</v>
      </c>
      <c r="C70" s="5">
        <f>(หลังริม!C70*2)+(หลังกลาง!C70*4)</f>
        <v>30</v>
      </c>
      <c r="D70" s="6" t="s">
        <v>53</v>
      </c>
      <c r="E70" s="11">
        <v>1090</v>
      </c>
      <c r="F70" s="5">
        <f>E70*C70</f>
        <v>32700</v>
      </c>
      <c r="G70" s="20">
        <v>0</v>
      </c>
      <c r="H70" s="5">
        <f>G70*C70</f>
        <v>0</v>
      </c>
      <c r="I70" s="49">
        <f>H70+F70</f>
        <v>32700</v>
      </c>
      <c r="J70" s="4"/>
    </row>
    <row r="71" spans="1:11" s="40" customFormat="1" ht="20" customHeight="1">
      <c r="A71" s="198"/>
      <c r="B71" s="4" t="s">
        <v>75</v>
      </c>
      <c r="C71" s="5">
        <f>(หลังริม!C71*2)+(หลังกลาง!C71*4)</f>
        <v>12</v>
      </c>
      <c r="D71" s="6" t="s">
        <v>53</v>
      </c>
      <c r="E71" s="11">
        <v>510</v>
      </c>
      <c r="F71" s="5">
        <f t="shared" ref="F71:F95" si="25">E71*C71</f>
        <v>6120</v>
      </c>
      <c r="G71" s="20">
        <v>0</v>
      </c>
      <c r="H71" s="5">
        <f t="shared" ref="H71:H95" si="26">G71*C71</f>
        <v>0</v>
      </c>
      <c r="I71" s="49">
        <f t="shared" ref="I71:I95" si="27">H71+F71</f>
        <v>6120</v>
      </c>
      <c r="J71" s="4"/>
    </row>
    <row r="72" spans="1:11" s="40" customFormat="1" ht="20" customHeight="1">
      <c r="A72" s="6"/>
      <c r="B72" s="4" t="s">
        <v>76</v>
      </c>
      <c r="C72" s="5">
        <f>(หลังริม!C72*2)+(หลังกลาง!C72*4)</f>
        <v>6</v>
      </c>
      <c r="D72" s="6" t="s">
        <v>53</v>
      </c>
      <c r="E72" s="11">
        <v>234</v>
      </c>
      <c r="F72" s="5">
        <f t="shared" si="25"/>
        <v>1404</v>
      </c>
      <c r="G72" s="20">
        <v>0</v>
      </c>
      <c r="H72" s="5">
        <f t="shared" si="26"/>
        <v>0</v>
      </c>
      <c r="I72" s="49">
        <f t="shared" si="27"/>
        <v>1404</v>
      </c>
      <c r="J72" s="4"/>
    </row>
    <row r="73" spans="1:11" s="40" customFormat="1" ht="20" customHeight="1">
      <c r="A73" s="198"/>
      <c r="B73" s="4" t="s">
        <v>77</v>
      </c>
      <c r="C73" s="5">
        <f>(หลังริม!C73*2)+(หลังกลาง!C73*4)</f>
        <v>12</v>
      </c>
      <c r="D73" s="6" t="s">
        <v>53</v>
      </c>
      <c r="E73" s="11">
        <v>144</v>
      </c>
      <c r="F73" s="5">
        <f t="shared" si="25"/>
        <v>1728</v>
      </c>
      <c r="G73" s="20">
        <v>0</v>
      </c>
      <c r="H73" s="5">
        <f t="shared" si="26"/>
        <v>0</v>
      </c>
      <c r="I73" s="49">
        <f t="shared" si="27"/>
        <v>1728</v>
      </c>
      <c r="J73" s="4"/>
    </row>
    <row r="74" spans="1:11" s="40" customFormat="1" ht="20" customHeight="1">
      <c r="A74" s="198"/>
      <c r="B74" s="4" t="s">
        <v>78</v>
      </c>
      <c r="C74" s="5">
        <f>(หลังริม!C74*2)+(หลังกลาง!C74*4)</f>
        <v>6</v>
      </c>
      <c r="D74" s="6" t="s">
        <v>53</v>
      </c>
      <c r="E74" s="11">
        <v>53</v>
      </c>
      <c r="F74" s="5">
        <f t="shared" si="25"/>
        <v>318</v>
      </c>
      <c r="G74" s="20">
        <v>0</v>
      </c>
      <c r="H74" s="5">
        <f t="shared" si="26"/>
        <v>0</v>
      </c>
      <c r="I74" s="49">
        <f t="shared" si="27"/>
        <v>318</v>
      </c>
      <c r="J74" s="4"/>
    </row>
    <row r="75" spans="1:11" s="40" customFormat="1" ht="20" customHeight="1">
      <c r="A75" s="6"/>
      <c r="B75" s="4" t="s">
        <v>79</v>
      </c>
      <c r="C75" s="5">
        <f>(หลังริม!C75*2)+(หลังกลาง!C75*4)</f>
        <v>6</v>
      </c>
      <c r="D75" s="6" t="s">
        <v>53</v>
      </c>
      <c r="E75" s="11">
        <v>48</v>
      </c>
      <c r="F75" s="5">
        <f t="shared" si="25"/>
        <v>288</v>
      </c>
      <c r="G75" s="20">
        <v>0</v>
      </c>
      <c r="H75" s="5">
        <f t="shared" si="26"/>
        <v>0</v>
      </c>
      <c r="I75" s="49">
        <f t="shared" si="27"/>
        <v>288</v>
      </c>
      <c r="J75" s="4"/>
    </row>
    <row r="76" spans="1:11" s="40" customFormat="1" ht="20" customHeight="1">
      <c r="A76" s="6"/>
      <c r="B76" s="4" t="s">
        <v>80</v>
      </c>
      <c r="C76" s="5">
        <f>(หลังริม!C76*2)+(หลังกลาง!C76*4)</f>
        <v>6</v>
      </c>
      <c r="D76" s="6" t="s">
        <v>53</v>
      </c>
      <c r="E76" s="11">
        <v>64</v>
      </c>
      <c r="F76" s="5">
        <f t="shared" si="25"/>
        <v>384</v>
      </c>
      <c r="G76" s="20">
        <v>0</v>
      </c>
      <c r="H76" s="5">
        <f t="shared" si="26"/>
        <v>0</v>
      </c>
      <c r="I76" s="49">
        <f t="shared" si="27"/>
        <v>384</v>
      </c>
      <c r="J76" s="4"/>
    </row>
    <row r="77" spans="1:11" s="40" customFormat="1" ht="20" customHeight="1">
      <c r="A77" s="198"/>
      <c r="B77" s="4" t="s">
        <v>81</v>
      </c>
      <c r="C77" s="5">
        <f>(หลังริม!C77*2)+(หลังกลาง!C77*4)</f>
        <v>6</v>
      </c>
      <c r="D77" s="6" t="s">
        <v>82</v>
      </c>
      <c r="E77" s="11">
        <v>84.6</v>
      </c>
      <c r="F77" s="5">
        <f t="shared" si="25"/>
        <v>507.59999999999997</v>
      </c>
      <c r="G77" s="20">
        <v>0</v>
      </c>
      <c r="H77" s="5">
        <f t="shared" si="26"/>
        <v>0</v>
      </c>
      <c r="I77" s="49">
        <f t="shared" si="27"/>
        <v>507.59999999999997</v>
      </c>
      <c r="J77" s="4"/>
    </row>
    <row r="78" spans="1:11" s="40" customFormat="1" ht="20" customHeight="1">
      <c r="A78" s="198"/>
      <c r="B78" s="4" t="s">
        <v>83</v>
      </c>
      <c r="C78" s="5">
        <f>(หลังริม!C78*2)+(หลังกลาง!C78*4)</f>
        <v>18</v>
      </c>
      <c r="D78" s="6" t="s">
        <v>82</v>
      </c>
      <c r="E78" s="11">
        <v>84.6</v>
      </c>
      <c r="F78" s="5">
        <f t="shared" si="25"/>
        <v>1522.8</v>
      </c>
      <c r="G78" s="20">
        <v>0</v>
      </c>
      <c r="H78" s="5">
        <f t="shared" si="26"/>
        <v>0</v>
      </c>
      <c r="I78" s="49">
        <f t="shared" si="27"/>
        <v>1522.8</v>
      </c>
      <c r="J78" s="4"/>
    </row>
    <row r="79" spans="1:11" s="40" customFormat="1" ht="20" customHeight="1">
      <c r="A79" s="198"/>
      <c r="B79" s="4" t="s">
        <v>84</v>
      </c>
      <c r="C79" s="5">
        <f>(หลังริม!C79*2)+(หลังกลาง!C79*4)</f>
        <v>24</v>
      </c>
      <c r="D79" s="6" t="s">
        <v>82</v>
      </c>
      <c r="E79" s="11">
        <v>22.8</v>
      </c>
      <c r="F79" s="5">
        <f t="shared" si="25"/>
        <v>547.20000000000005</v>
      </c>
      <c r="G79" s="20">
        <v>0</v>
      </c>
      <c r="H79" s="5">
        <f t="shared" si="26"/>
        <v>0</v>
      </c>
      <c r="I79" s="49">
        <f t="shared" si="27"/>
        <v>547.20000000000005</v>
      </c>
      <c r="J79" s="4"/>
    </row>
    <row r="80" spans="1:11" s="40" customFormat="1" ht="20" customHeight="1">
      <c r="A80" s="198"/>
      <c r="B80" s="4" t="s">
        <v>85</v>
      </c>
      <c r="C80" s="5">
        <f>(หลังริม!C80*2)+(หลังกลาง!C80*4)</f>
        <v>12</v>
      </c>
      <c r="D80" s="6" t="s">
        <v>82</v>
      </c>
      <c r="E80" s="11">
        <v>31.3</v>
      </c>
      <c r="F80" s="5">
        <f t="shared" si="25"/>
        <v>375.6</v>
      </c>
      <c r="G80" s="20">
        <v>0</v>
      </c>
      <c r="H80" s="5">
        <f t="shared" si="26"/>
        <v>0</v>
      </c>
      <c r="I80" s="49">
        <f t="shared" si="27"/>
        <v>375.6</v>
      </c>
      <c r="J80" s="4"/>
    </row>
    <row r="81" spans="1:11" s="40" customFormat="1" ht="20" customHeight="1">
      <c r="A81" s="198"/>
      <c r="B81" s="4" t="s">
        <v>86</v>
      </c>
      <c r="C81" s="5">
        <f>(หลังริม!C81*2)+(หลังกลาง!C81*4)</f>
        <v>24</v>
      </c>
      <c r="D81" s="6" t="s">
        <v>82</v>
      </c>
      <c r="E81" s="11">
        <v>13.9</v>
      </c>
      <c r="F81" s="5">
        <f t="shared" si="25"/>
        <v>333.6</v>
      </c>
      <c r="G81" s="20">
        <v>0</v>
      </c>
      <c r="H81" s="5">
        <f t="shared" si="26"/>
        <v>0</v>
      </c>
      <c r="I81" s="49">
        <f t="shared" si="27"/>
        <v>333.6</v>
      </c>
      <c r="J81" s="4"/>
    </row>
    <row r="82" spans="1:11" s="40" customFormat="1" ht="20" customHeight="1">
      <c r="A82" s="198"/>
      <c r="B82" s="4" t="s">
        <v>87</v>
      </c>
      <c r="C82" s="5">
        <f>(หลังริม!C82*2)+(หลังกลาง!C82*4)</f>
        <v>6</v>
      </c>
      <c r="D82" s="6" t="s">
        <v>82</v>
      </c>
      <c r="E82" s="11">
        <v>8.0500000000000007</v>
      </c>
      <c r="F82" s="5">
        <f t="shared" si="25"/>
        <v>48.300000000000004</v>
      </c>
      <c r="G82" s="20">
        <v>0</v>
      </c>
      <c r="H82" s="5">
        <f t="shared" si="26"/>
        <v>0</v>
      </c>
      <c r="I82" s="49">
        <f t="shared" si="27"/>
        <v>48.300000000000004</v>
      </c>
      <c r="J82" s="4"/>
    </row>
    <row r="83" spans="1:11" s="40" customFormat="1" ht="20" customHeight="1">
      <c r="A83" s="198"/>
      <c r="B83" s="4" t="s">
        <v>88</v>
      </c>
      <c r="C83" s="5">
        <f>(หลังริม!C83*2)+(หลังกลาง!C83*4)</f>
        <v>12</v>
      </c>
      <c r="D83" s="6" t="s">
        <v>82</v>
      </c>
      <c r="E83" s="11">
        <v>18.600000000000001</v>
      </c>
      <c r="F83" s="5">
        <f t="shared" si="25"/>
        <v>223.20000000000002</v>
      </c>
      <c r="G83" s="20">
        <v>0</v>
      </c>
      <c r="H83" s="5">
        <f t="shared" si="26"/>
        <v>0</v>
      </c>
      <c r="I83" s="49">
        <f t="shared" si="27"/>
        <v>223.20000000000002</v>
      </c>
      <c r="J83" s="4"/>
    </row>
    <row r="84" spans="1:11" s="40" customFormat="1" ht="20" customHeight="1">
      <c r="A84" s="198"/>
      <c r="B84" s="4" t="s">
        <v>89</v>
      </c>
      <c r="C84" s="5">
        <f>(หลังริม!C84*2)+(หลังกลาง!C84*4)</f>
        <v>6</v>
      </c>
      <c r="D84" s="6" t="s">
        <v>82</v>
      </c>
      <c r="E84" s="11">
        <v>13.8</v>
      </c>
      <c r="F84" s="5">
        <f t="shared" si="25"/>
        <v>82.800000000000011</v>
      </c>
      <c r="G84" s="20">
        <v>0</v>
      </c>
      <c r="H84" s="5">
        <f t="shared" si="26"/>
        <v>0</v>
      </c>
      <c r="I84" s="49">
        <f t="shared" si="27"/>
        <v>82.800000000000011</v>
      </c>
      <c r="J84" s="4"/>
    </row>
    <row r="85" spans="1:11" s="40" customFormat="1" ht="20" customHeight="1">
      <c r="A85" s="198"/>
      <c r="B85" s="4" t="s">
        <v>90</v>
      </c>
      <c r="C85" s="5">
        <f>(หลังริม!C85*2)+(หลังกลาง!C85*4)</f>
        <v>6</v>
      </c>
      <c r="D85" s="6" t="s">
        <v>82</v>
      </c>
      <c r="E85" s="11">
        <v>15</v>
      </c>
      <c r="F85" s="5">
        <f t="shared" si="25"/>
        <v>90</v>
      </c>
      <c r="G85" s="20">
        <v>0</v>
      </c>
      <c r="H85" s="5">
        <f t="shared" si="26"/>
        <v>0</v>
      </c>
      <c r="I85" s="49">
        <f t="shared" si="27"/>
        <v>90</v>
      </c>
      <c r="J85" s="4"/>
    </row>
    <row r="86" spans="1:11" s="40" customFormat="1" ht="20" customHeight="1">
      <c r="A86" s="198"/>
      <c r="B86" s="4" t="s">
        <v>91</v>
      </c>
      <c r="C86" s="5">
        <f>(หลังริม!C86*2)+(หลังกลาง!C86*4)</f>
        <v>6</v>
      </c>
      <c r="D86" s="6" t="s">
        <v>82</v>
      </c>
      <c r="E86" s="11">
        <v>13</v>
      </c>
      <c r="F86" s="5">
        <f t="shared" si="25"/>
        <v>78</v>
      </c>
      <c r="G86" s="20">
        <v>0</v>
      </c>
      <c r="H86" s="5">
        <f t="shared" si="26"/>
        <v>0</v>
      </c>
      <c r="I86" s="49">
        <f t="shared" si="27"/>
        <v>78</v>
      </c>
      <c r="J86" s="4"/>
    </row>
    <row r="87" spans="1:11" s="40" customFormat="1" ht="20" customHeight="1">
      <c r="A87" s="198"/>
      <c r="B87" s="4" t="s">
        <v>92</v>
      </c>
      <c r="C87" s="5">
        <f>(หลังริม!C87*2)+(หลังกลาง!C87*4)</f>
        <v>6</v>
      </c>
      <c r="D87" s="6" t="s">
        <v>82</v>
      </c>
      <c r="E87" s="11">
        <v>12</v>
      </c>
      <c r="F87" s="5">
        <f t="shared" si="25"/>
        <v>72</v>
      </c>
      <c r="G87" s="20">
        <v>0</v>
      </c>
      <c r="H87" s="5">
        <f t="shared" si="26"/>
        <v>0</v>
      </c>
      <c r="I87" s="49">
        <f t="shared" si="27"/>
        <v>72</v>
      </c>
      <c r="J87" s="4"/>
    </row>
    <row r="88" spans="1:11" s="40" customFormat="1" ht="20" customHeight="1">
      <c r="A88" s="198"/>
      <c r="B88" s="4" t="s">
        <v>93</v>
      </c>
      <c r="C88" s="5">
        <f>(หลังริม!C88*2)+(หลังกลาง!C88*4)</f>
        <v>6</v>
      </c>
      <c r="D88" s="6" t="s">
        <v>82</v>
      </c>
      <c r="E88" s="11">
        <v>4.7</v>
      </c>
      <c r="F88" s="5">
        <f t="shared" si="25"/>
        <v>28.200000000000003</v>
      </c>
      <c r="G88" s="20">
        <v>0</v>
      </c>
      <c r="H88" s="5">
        <f t="shared" si="26"/>
        <v>0</v>
      </c>
      <c r="I88" s="49">
        <f t="shared" si="27"/>
        <v>28.200000000000003</v>
      </c>
      <c r="J88" s="4"/>
    </row>
    <row r="89" spans="1:11" s="40" customFormat="1" ht="20" customHeight="1">
      <c r="A89" s="6"/>
      <c r="B89" s="4" t="s">
        <v>94</v>
      </c>
      <c r="C89" s="5">
        <f>(หลังริม!C89*2)+(หลังกลาง!C89*4)</f>
        <v>7.5</v>
      </c>
      <c r="D89" s="6" t="s">
        <v>95</v>
      </c>
      <c r="E89" s="11">
        <v>434</v>
      </c>
      <c r="F89" s="5">
        <f t="shared" si="25"/>
        <v>3255</v>
      </c>
      <c r="G89" s="20">
        <v>0</v>
      </c>
      <c r="H89" s="5">
        <f t="shared" si="26"/>
        <v>0</v>
      </c>
      <c r="I89" s="49">
        <f t="shared" si="27"/>
        <v>3255</v>
      </c>
      <c r="J89" s="4"/>
    </row>
    <row r="90" spans="1:11" s="40" customFormat="1" ht="20" customHeight="1">
      <c r="A90" s="6"/>
      <c r="B90" s="4" t="s">
        <v>96</v>
      </c>
      <c r="C90" s="5">
        <f>(หลังริม!C90*2)+(หลังกลาง!C90*4)</f>
        <v>6</v>
      </c>
      <c r="D90" s="6" t="s">
        <v>66</v>
      </c>
      <c r="E90" s="11">
        <v>3600</v>
      </c>
      <c r="F90" s="5">
        <f t="shared" si="25"/>
        <v>21600</v>
      </c>
      <c r="G90" s="20">
        <v>0</v>
      </c>
      <c r="H90" s="5">
        <f t="shared" si="26"/>
        <v>0</v>
      </c>
      <c r="I90" s="49">
        <f t="shared" si="27"/>
        <v>21600</v>
      </c>
      <c r="J90" s="4"/>
    </row>
    <row r="91" spans="1:11" s="40" customFormat="1" ht="20" customHeight="1">
      <c r="A91" s="198"/>
      <c r="B91" s="3" t="s">
        <v>280</v>
      </c>
      <c r="C91" s="5">
        <f>(หลังริม!C91*2)+(หลังกลาง!C91*4)</f>
        <v>2</v>
      </c>
      <c r="D91" s="6" t="s">
        <v>97</v>
      </c>
      <c r="E91" s="11">
        <v>600</v>
      </c>
      <c r="F91" s="5">
        <f t="shared" si="25"/>
        <v>1200</v>
      </c>
      <c r="G91" s="20">
        <v>0</v>
      </c>
      <c r="H91" s="5">
        <f t="shared" si="26"/>
        <v>0</v>
      </c>
      <c r="I91" s="49">
        <f t="shared" si="27"/>
        <v>1200</v>
      </c>
      <c r="J91" s="4"/>
    </row>
    <row r="92" spans="1:11" s="40" customFormat="1" ht="20" customHeight="1">
      <c r="A92" s="198"/>
      <c r="B92" s="4" t="s">
        <v>113</v>
      </c>
      <c r="C92" s="5">
        <f>(หลังริม!C92*2)+(หลังกลาง!C92*4)</f>
        <v>6</v>
      </c>
      <c r="D92" s="6" t="s">
        <v>66</v>
      </c>
      <c r="E92" s="11">
        <v>1100</v>
      </c>
      <c r="F92" s="5">
        <f t="shared" si="25"/>
        <v>6600</v>
      </c>
      <c r="G92" s="20">
        <v>0</v>
      </c>
      <c r="H92" s="5">
        <f t="shared" si="26"/>
        <v>0</v>
      </c>
      <c r="I92" s="49">
        <f t="shared" si="27"/>
        <v>6600</v>
      </c>
      <c r="J92" s="4"/>
    </row>
    <row r="93" spans="1:11" s="40" customFormat="1" ht="20" customHeight="1">
      <c r="A93" s="198"/>
      <c r="B93" s="4" t="s">
        <v>98</v>
      </c>
      <c r="C93" s="5">
        <f>(หลังริม!C93*2)+(หลังกลาง!C93*4)</f>
        <v>3.5</v>
      </c>
      <c r="D93" s="6" t="s">
        <v>97</v>
      </c>
      <c r="E93" s="11">
        <v>160</v>
      </c>
      <c r="F93" s="5">
        <f t="shared" si="25"/>
        <v>560</v>
      </c>
      <c r="G93" s="20">
        <v>0</v>
      </c>
      <c r="H93" s="5">
        <f t="shared" si="26"/>
        <v>0</v>
      </c>
      <c r="I93" s="49">
        <f t="shared" si="27"/>
        <v>560</v>
      </c>
      <c r="J93" s="4"/>
    </row>
    <row r="94" spans="1:11" s="40" customFormat="1" ht="20" customHeight="1">
      <c r="A94" s="6"/>
      <c r="B94" s="4" t="s">
        <v>99</v>
      </c>
      <c r="C94" s="5">
        <f>(หลังริม!C94*2)+(หลังกลาง!C94*4)</f>
        <v>12</v>
      </c>
      <c r="D94" s="6" t="s">
        <v>100</v>
      </c>
      <c r="E94" s="11">
        <v>108</v>
      </c>
      <c r="F94" s="5">
        <f t="shared" si="25"/>
        <v>1296</v>
      </c>
      <c r="G94" s="20">
        <v>0</v>
      </c>
      <c r="H94" s="5">
        <f t="shared" si="26"/>
        <v>0</v>
      </c>
      <c r="I94" s="49">
        <f t="shared" si="27"/>
        <v>1296</v>
      </c>
      <c r="J94" s="4"/>
    </row>
    <row r="95" spans="1:11" s="40" customFormat="1" ht="20" customHeight="1">
      <c r="A95" s="6"/>
      <c r="B95" s="4" t="s">
        <v>101</v>
      </c>
      <c r="C95" s="5">
        <f>(หลังริม!C95*2)+(หลังกลาง!C95*4)</f>
        <v>12</v>
      </c>
      <c r="D95" s="6" t="s">
        <v>102</v>
      </c>
      <c r="E95" s="11">
        <v>42</v>
      </c>
      <c r="F95" s="5">
        <f t="shared" si="25"/>
        <v>504</v>
      </c>
      <c r="G95" s="20">
        <v>0</v>
      </c>
      <c r="H95" s="5">
        <f t="shared" si="26"/>
        <v>0</v>
      </c>
      <c r="I95" s="49">
        <f t="shared" si="27"/>
        <v>504</v>
      </c>
      <c r="J95" s="4"/>
    </row>
    <row r="96" spans="1:11" s="50" customFormat="1" ht="20" customHeight="1">
      <c r="A96" s="199"/>
      <c r="B96" s="12" t="s">
        <v>103</v>
      </c>
      <c r="C96" s="5">
        <f>(หลังริม!C96*2)+(หลังกลาง!C96*4)</f>
        <v>0</v>
      </c>
      <c r="D96" s="12"/>
      <c r="E96" s="21"/>
      <c r="F96" s="18">
        <f>SUM(F70:F95)</f>
        <v>81866.299999999988</v>
      </c>
      <c r="G96" s="18"/>
      <c r="H96" s="18">
        <f t="shared" ref="H96:I96" si="28">SUM(H70:H95)</f>
        <v>0</v>
      </c>
      <c r="I96" s="18">
        <f t="shared" si="28"/>
        <v>81866.299999999988</v>
      </c>
      <c r="J96" s="13"/>
      <c r="K96" s="151">
        <f>H96+F96</f>
        <v>81866.299999999988</v>
      </c>
    </row>
    <row r="97" spans="1:11" s="40" customFormat="1" ht="20" customHeight="1">
      <c r="A97" s="6"/>
      <c r="B97" s="3" t="s">
        <v>114</v>
      </c>
      <c r="C97" s="5">
        <f>(หลังริม!C97*2)+(หลังกลาง!C97*4)</f>
        <v>0</v>
      </c>
      <c r="D97" s="6"/>
      <c r="E97" s="11"/>
      <c r="F97" s="5"/>
      <c r="G97" s="10"/>
      <c r="H97" s="5"/>
      <c r="I97" s="7"/>
      <c r="J97" s="4"/>
    </row>
    <row r="98" spans="1:11" s="40" customFormat="1" ht="20" customHeight="1">
      <c r="A98" s="198"/>
      <c r="B98" s="4" t="s">
        <v>104</v>
      </c>
      <c r="C98" s="5">
        <f>(หลังริม!C98*2)+(หลังกลาง!C98*4)</f>
        <v>6</v>
      </c>
      <c r="D98" s="6" t="s">
        <v>105</v>
      </c>
      <c r="E98" s="11">
        <v>109</v>
      </c>
      <c r="F98" s="5">
        <f>E98*C98</f>
        <v>654</v>
      </c>
      <c r="G98" s="20">
        <v>6000</v>
      </c>
      <c r="H98" s="5">
        <f t="shared" ref="H98:H99" si="29">G98*C98</f>
        <v>36000</v>
      </c>
      <c r="I98" s="49">
        <f t="shared" ref="I98:I99" si="30">H98+F98</f>
        <v>36654</v>
      </c>
      <c r="J98" s="4"/>
    </row>
    <row r="99" spans="1:11" s="40" customFormat="1" ht="20" customHeight="1">
      <c r="A99" s="198"/>
      <c r="B99" s="4" t="s">
        <v>106</v>
      </c>
      <c r="C99" s="5">
        <f>(หลังริม!C99*2)+(หลังกลาง!C99*4)</f>
        <v>20</v>
      </c>
      <c r="D99" s="6" t="s">
        <v>105</v>
      </c>
      <c r="E99" s="11">
        <v>75</v>
      </c>
      <c r="F99" s="5">
        <f>E99*C99</f>
        <v>1500</v>
      </c>
      <c r="G99" s="20">
        <v>0</v>
      </c>
      <c r="H99" s="5">
        <f t="shared" si="29"/>
        <v>0</v>
      </c>
      <c r="I99" s="49">
        <f t="shared" si="30"/>
        <v>1500</v>
      </c>
      <c r="J99" s="4"/>
    </row>
    <row r="100" spans="1:11" s="50" customFormat="1" ht="20" customHeight="1">
      <c r="A100" s="12"/>
      <c r="B100" s="12" t="s">
        <v>115</v>
      </c>
      <c r="C100" s="5">
        <f>(หลังริม!C100*2)+(หลังกลาง!C100*4)</f>
        <v>0</v>
      </c>
      <c r="D100" s="12"/>
      <c r="E100" s="100"/>
      <c r="F100" s="14">
        <f>SUM(F98:F99)</f>
        <v>2154</v>
      </c>
      <c r="G100" s="14"/>
      <c r="H100" s="14">
        <f t="shared" ref="H100:I100" si="31">SUM(H98:H99)</f>
        <v>36000</v>
      </c>
      <c r="I100" s="14">
        <f t="shared" si="31"/>
        <v>38154</v>
      </c>
      <c r="J100" s="13"/>
      <c r="K100" s="151">
        <f>H100+F100</f>
        <v>38154</v>
      </c>
    </row>
    <row r="101" spans="1:11" s="40" customFormat="1" ht="20" customHeight="1">
      <c r="A101" s="198"/>
      <c r="B101" s="3" t="s">
        <v>210</v>
      </c>
      <c r="C101" s="5">
        <f>(หลังริม!C101*2)+(หลังกลาง!C101*4)</f>
        <v>0</v>
      </c>
      <c r="D101" s="6"/>
      <c r="E101" s="48"/>
      <c r="F101" s="4"/>
      <c r="G101" s="4"/>
      <c r="H101" s="4"/>
      <c r="I101" s="4"/>
      <c r="J101" s="4"/>
    </row>
    <row r="102" spans="1:11" s="40" customFormat="1" ht="20" customHeight="1">
      <c r="A102" s="198"/>
      <c r="B102" s="4" t="s">
        <v>211</v>
      </c>
      <c r="C102" s="5">
        <f>(หลังริม!C102*2)+(หลังกลาง!C102*4)</f>
        <v>525</v>
      </c>
      <c r="D102" s="6" t="s">
        <v>246</v>
      </c>
      <c r="E102" s="11">
        <v>5.5</v>
      </c>
      <c r="F102" s="5">
        <f>E102*C102</f>
        <v>2887.5</v>
      </c>
      <c r="G102" s="20">
        <v>0</v>
      </c>
      <c r="H102" s="5">
        <f t="shared" ref="H102:H109" si="32">G102*C102</f>
        <v>0</v>
      </c>
      <c r="I102" s="49">
        <f>H102+F102</f>
        <v>2887.5</v>
      </c>
      <c r="J102" s="4"/>
    </row>
    <row r="103" spans="1:11" s="40" customFormat="1" ht="20" customHeight="1">
      <c r="A103" s="198"/>
      <c r="B103" s="4" t="s">
        <v>212</v>
      </c>
      <c r="C103" s="5">
        <f>(หลังริม!C103*2)+(หลังกลาง!C103*4)</f>
        <v>2</v>
      </c>
      <c r="D103" s="6" t="s">
        <v>214</v>
      </c>
      <c r="E103" s="11">
        <v>500</v>
      </c>
      <c r="F103" s="5">
        <f t="shared" ref="F103:F110" si="33">E103*C103</f>
        <v>1000</v>
      </c>
      <c r="G103" s="20">
        <v>0</v>
      </c>
      <c r="H103" s="5">
        <f t="shared" si="32"/>
        <v>0</v>
      </c>
      <c r="I103" s="49">
        <f t="shared" ref="I103:I110" si="34">H103+F103</f>
        <v>1000</v>
      </c>
      <c r="J103" s="4"/>
    </row>
    <row r="104" spans="1:11" s="40" customFormat="1" ht="20" customHeight="1">
      <c r="A104" s="198"/>
      <c r="B104" s="4" t="s">
        <v>213</v>
      </c>
      <c r="C104" s="5">
        <f>(หลังริม!C104*2)+(หลังกลาง!C104*4)</f>
        <v>2</v>
      </c>
      <c r="D104" s="6" t="s">
        <v>214</v>
      </c>
      <c r="E104" s="11">
        <v>400</v>
      </c>
      <c r="F104" s="5">
        <f t="shared" si="33"/>
        <v>800</v>
      </c>
      <c r="G104" s="20">
        <v>0</v>
      </c>
      <c r="H104" s="5">
        <f t="shared" si="32"/>
        <v>0</v>
      </c>
      <c r="I104" s="49">
        <f t="shared" si="34"/>
        <v>800</v>
      </c>
      <c r="J104" s="4"/>
    </row>
    <row r="105" spans="1:11" s="40" customFormat="1" ht="20" customHeight="1">
      <c r="A105" s="198"/>
      <c r="B105" s="4" t="s">
        <v>107</v>
      </c>
      <c r="C105" s="5">
        <f>(หลังริม!C105*2)+(หลังกลาง!C105*4)</f>
        <v>20</v>
      </c>
      <c r="D105" s="6" t="s">
        <v>105</v>
      </c>
      <c r="E105" s="11">
        <v>92</v>
      </c>
      <c r="F105" s="5">
        <f t="shared" si="33"/>
        <v>1840</v>
      </c>
      <c r="G105" s="20">
        <v>0</v>
      </c>
      <c r="H105" s="5">
        <f t="shared" si="32"/>
        <v>0</v>
      </c>
      <c r="I105" s="49">
        <f t="shared" si="34"/>
        <v>1840</v>
      </c>
      <c r="J105" s="4"/>
    </row>
    <row r="106" spans="1:11" s="40" customFormat="1" ht="20" customHeight="1">
      <c r="A106" s="198"/>
      <c r="B106" s="4" t="s">
        <v>108</v>
      </c>
      <c r="C106" s="5">
        <f>(หลังริม!C106*2)+(หลังกลาง!C106*4)</f>
        <v>60</v>
      </c>
      <c r="D106" s="6" t="s">
        <v>105</v>
      </c>
      <c r="E106" s="11">
        <v>61</v>
      </c>
      <c r="F106" s="5">
        <f t="shared" si="33"/>
        <v>3660</v>
      </c>
      <c r="G106" s="20">
        <v>0</v>
      </c>
      <c r="H106" s="5">
        <f t="shared" si="32"/>
        <v>0</v>
      </c>
      <c r="I106" s="49">
        <f t="shared" si="34"/>
        <v>3660</v>
      </c>
      <c r="J106" s="4"/>
    </row>
    <row r="107" spans="1:11" s="40" customFormat="1" ht="20" customHeight="1">
      <c r="A107" s="198"/>
      <c r="B107" s="4" t="s">
        <v>245</v>
      </c>
      <c r="C107" s="5">
        <f>(หลังริม!C107*2)+(หลังกลาง!C107*4)</f>
        <v>10</v>
      </c>
      <c r="D107" s="6" t="s">
        <v>53</v>
      </c>
      <c r="E107" s="11">
        <v>110</v>
      </c>
      <c r="F107" s="5">
        <f t="shared" si="33"/>
        <v>1100</v>
      </c>
      <c r="G107" s="20">
        <v>0</v>
      </c>
      <c r="H107" s="5">
        <f t="shared" si="32"/>
        <v>0</v>
      </c>
      <c r="I107" s="49">
        <f t="shared" si="34"/>
        <v>1100</v>
      </c>
      <c r="J107" s="4"/>
    </row>
    <row r="108" spans="1:11" s="40" customFormat="1" ht="20" customHeight="1">
      <c r="A108" s="198"/>
      <c r="B108" s="4" t="s">
        <v>41</v>
      </c>
      <c r="C108" s="5">
        <f>(หลังริม!C108*2)+(หลังกลาง!C108*4)</f>
        <v>10</v>
      </c>
      <c r="D108" s="6" t="s">
        <v>53</v>
      </c>
      <c r="E108" s="11">
        <v>64</v>
      </c>
      <c r="F108" s="5">
        <f t="shared" si="33"/>
        <v>640</v>
      </c>
      <c r="G108" s="20">
        <v>0</v>
      </c>
      <c r="H108" s="5">
        <f t="shared" si="32"/>
        <v>0</v>
      </c>
      <c r="I108" s="49">
        <f t="shared" si="34"/>
        <v>640</v>
      </c>
      <c r="J108" s="4"/>
    </row>
    <row r="109" spans="1:11" s="40" customFormat="1" ht="20" customHeight="1">
      <c r="A109" s="198"/>
      <c r="B109" s="4" t="s">
        <v>215</v>
      </c>
      <c r="C109" s="5">
        <f>(หลังริม!C109*2)+(หลังกลาง!C109*4)</f>
        <v>1</v>
      </c>
      <c r="D109" s="6" t="s">
        <v>97</v>
      </c>
      <c r="E109" s="11">
        <v>0</v>
      </c>
      <c r="F109" s="5">
        <f t="shared" si="33"/>
        <v>0</v>
      </c>
      <c r="G109" s="20">
        <v>0</v>
      </c>
      <c r="H109" s="5">
        <f t="shared" si="32"/>
        <v>0</v>
      </c>
      <c r="I109" s="49">
        <f t="shared" si="34"/>
        <v>0</v>
      </c>
      <c r="J109" s="4"/>
    </row>
    <row r="110" spans="1:11" s="43" customFormat="1" ht="20" customHeight="1">
      <c r="A110" s="6"/>
      <c r="B110" s="4" t="s">
        <v>281</v>
      </c>
      <c r="C110" s="5">
        <f>(หลังริม!C110*2)+(หลังกลาง!C110*4)</f>
        <v>6</v>
      </c>
      <c r="D110" s="6" t="s">
        <v>264</v>
      </c>
      <c r="E110" s="5">
        <v>0</v>
      </c>
      <c r="F110" s="5">
        <f t="shared" si="33"/>
        <v>0</v>
      </c>
      <c r="G110" s="70">
        <v>1012</v>
      </c>
      <c r="H110" s="5">
        <f>G110*C110</f>
        <v>6072</v>
      </c>
      <c r="I110" s="49">
        <f t="shared" si="34"/>
        <v>6072</v>
      </c>
      <c r="J110" s="4"/>
      <c r="K110" s="73"/>
    </row>
    <row r="111" spans="1:11" s="72" customFormat="1" ht="20" customHeight="1">
      <c r="A111" s="12"/>
      <c r="B111" s="12" t="s">
        <v>128</v>
      </c>
      <c r="C111" s="5">
        <f>(หลังริม!C111*2)+(หลังกลาง!C111*4)</f>
        <v>0</v>
      </c>
      <c r="D111" s="12"/>
      <c r="E111" s="99"/>
      <c r="F111" s="71">
        <f>SUM(F102:F110)</f>
        <v>11927.5</v>
      </c>
      <c r="G111" s="71"/>
      <c r="H111" s="71">
        <f t="shared" ref="H111:I111" si="35">SUM(H102:H110)</f>
        <v>6072</v>
      </c>
      <c r="I111" s="71">
        <f t="shared" si="35"/>
        <v>17999.5</v>
      </c>
      <c r="J111" s="12"/>
      <c r="K111" s="151">
        <f>H111+F111</f>
        <v>17999.5</v>
      </c>
    </row>
    <row r="112" spans="1:11" s="40" customFormat="1" ht="20" customHeight="1">
      <c r="A112" s="198"/>
      <c r="B112" s="3" t="s">
        <v>216</v>
      </c>
      <c r="C112" s="5">
        <f>(หลังริม!C112*2)+(หลังกลาง!C112*4)</f>
        <v>0</v>
      </c>
      <c r="D112" s="6"/>
      <c r="E112" s="48"/>
      <c r="F112" s="4"/>
      <c r="G112" s="4"/>
      <c r="H112" s="4"/>
      <c r="I112" s="4"/>
      <c r="J112" s="4"/>
    </row>
    <row r="113" spans="1:20" s="40" customFormat="1" ht="20" customHeight="1">
      <c r="A113" s="198"/>
      <c r="B113" s="4" t="s">
        <v>217</v>
      </c>
      <c r="C113" s="5">
        <f>(หลังริม!C113*2)+(หลังกลาง!C113*4)</f>
        <v>144</v>
      </c>
      <c r="D113" s="6" t="s">
        <v>32</v>
      </c>
      <c r="E113" s="11">
        <v>45</v>
      </c>
      <c r="F113" s="5">
        <f>E113*C113</f>
        <v>6480</v>
      </c>
      <c r="G113" s="5">
        <v>80</v>
      </c>
      <c r="H113" s="5">
        <f>G113*C113</f>
        <v>11520</v>
      </c>
      <c r="I113" s="7">
        <f>F113+H113</f>
        <v>18000</v>
      </c>
      <c r="J113" s="4"/>
    </row>
    <row r="114" spans="1:20" s="40" customFormat="1" ht="20" customHeight="1">
      <c r="A114" s="198"/>
      <c r="B114" s="4" t="s">
        <v>36</v>
      </c>
      <c r="C114" s="5">
        <f>(หลังริม!C114*2)+(หลังกลาง!C114*4)</f>
        <v>17</v>
      </c>
      <c r="D114" s="6" t="s">
        <v>16</v>
      </c>
      <c r="E114" s="11">
        <v>1500</v>
      </c>
      <c r="F114" s="5">
        <f>E114*C114</f>
        <v>25500</v>
      </c>
      <c r="G114" s="20">
        <v>0</v>
      </c>
      <c r="H114" s="5">
        <f>G114*C114</f>
        <v>0</v>
      </c>
      <c r="I114" s="7">
        <f>F114+H114</f>
        <v>25500</v>
      </c>
      <c r="J114" s="4"/>
    </row>
    <row r="115" spans="1:20" s="72" customFormat="1" ht="20" customHeight="1">
      <c r="A115" s="12"/>
      <c r="B115" s="12" t="s">
        <v>134</v>
      </c>
      <c r="C115" s="5">
        <f>(หลังริม!C115*2)+(หลังกลาง!C115*4)</f>
        <v>0</v>
      </c>
      <c r="D115" s="12"/>
      <c r="E115" s="99"/>
      <c r="F115" s="71">
        <f>SUM(F113:F114)</f>
        <v>31980</v>
      </c>
      <c r="G115" s="71"/>
      <c r="H115" s="71">
        <f t="shared" ref="H115:I115" si="36">SUM(H113:H114)</f>
        <v>11520</v>
      </c>
      <c r="I115" s="71">
        <f t="shared" si="36"/>
        <v>43500</v>
      </c>
      <c r="J115" s="12"/>
      <c r="K115" s="151">
        <f>H115+F115</f>
        <v>43500</v>
      </c>
    </row>
    <row r="116" spans="1:20" s="40" customFormat="1" ht="20" customHeight="1">
      <c r="A116" s="198"/>
      <c r="B116" s="3" t="s">
        <v>247</v>
      </c>
      <c r="C116" s="5">
        <f>(หลังริม!C116*2)+(หลังกลาง!C116*4)</f>
        <v>0</v>
      </c>
      <c r="D116" s="6"/>
      <c r="E116" s="11"/>
      <c r="F116" s="5"/>
      <c r="G116" s="5"/>
      <c r="H116" s="5"/>
      <c r="I116" s="7"/>
      <c r="J116" s="4"/>
    </row>
    <row r="117" spans="1:20" s="40" customFormat="1" ht="20" customHeight="1">
      <c r="A117" s="198"/>
      <c r="B117" s="4" t="s">
        <v>43</v>
      </c>
      <c r="C117" s="5">
        <f>(หลังริม!C117*2)+(หลังกลาง!C117*4)</f>
        <v>0.05</v>
      </c>
      <c r="D117" s="6" t="s">
        <v>42</v>
      </c>
      <c r="E117" s="11">
        <v>137</v>
      </c>
      <c r="F117" s="5">
        <f>C117*1000/4.99*E117</f>
        <v>1372.7454909819639</v>
      </c>
      <c r="G117" s="20">
        <v>0</v>
      </c>
      <c r="H117" s="5">
        <f>G117*C117</f>
        <v>0</v>
      </c>
      <c r="I117" s="49">
        <f>H117+F117</f>
        <v>1372.7454909819639</v>
      </c>
      <c r="J117" s="4"/>
    </row>
    <row r="118" spans="1:20" s="40" customFormat="1" ht="20" customHeight="1">
      <c r="A118" s="198"/>
      <c r="B118" s="4" t="s">
        <v>44</v>
      </c>
      <c r="C118" s="5">
        <f>(หลังริม!C118*2)+(หลังกลาง!C118*4)</f>
        <v>0.04</v>
      </c>
      <c r="D118" s="6" t="s">
        <v>42</v>
      </c>
      <c r="E118" s="11">
        <v>240</v>
      </c>
      <c r="F118" s="5">
        <f>C118*1000/8.88*E118</f>
        <v>1081.0810810810808</v>
      </c>
      <c r="G118" s="20">
        <v>0</v>
      </c>
      <c r="H118" s="5">
        <f t="shared" ref="H118:H121" si="37">G118*C118</f>
        <v>0</v>
      </c>
      <c r="I118" s="49">
        <f t="shared" ref="I118:I121" si="38">H118+F118</f>
        <v>1081.0810810810808</v>
      </c>
      <c r="J118" s="4"/>
    </row>
    <row r="119" spans="1:20" s="40" customFormat="1" ht="20" customHeight="1">
      <c r="A119" s="6"/>
      <c r="B119" s="4" t="s">
        <v>111</v>
      </c>
      <c r="C119" s="5">
        <f>(หลังริม!C119*2)+(หลังกลาง!C119*4)</f>
        <v>13</v>
      </c>
      <c r="D119" s="6" t="s">
        <v>16</v>
      </c>
      <c r="E119" s="11">
        <v>1600</v>
      </c>
      <c r="F119" s="5">
        <f>E119*C119</f>
        <v>20800</v>
      </c>
      <c r="G119" s="20">
        <v>0</v>
      </c>
      <c r="H119" s="5">
        <f t="shared" si="37"/>
        <v>0</v>
      </c>
      <c r="I119" s="49">
        <f t="shared" si="38"/>
        <v>20800</v>
      </c>
      <c r="J119" s="4"/>
    </row>
    <row r="120" spans="1:20" s="40" customFormat="1" ht="20" customHeight="1">
      <c r="A120" s="6"/>
      <c r="B120" s="4" t="s">
        <v>49</v>
      </c>
      <c r="C120" s="5">
        <f>(หลังริม!C120*2)+(หลังกลาง!C120*4)</f>
        <v>130</v>
      </c>
      <c r="D120" s="6" t="s">
        <v>32</v>
      </c>
      <c r="E120" s="11">
        <v>74.2</v>
      </c>
      <c r="F120" s="5">
        <f>E120*C120</f>
        <v>9646</v>
      </c>
      <c r="G120" s="20">
        <v>0</v>
      </c>
      <c r="H120" s="5">
        <f t="shared" si="37"/>
        <v>0</v>
      </c>
      <c r="I120" s="49">
        <f t="shared" si="38"/>
        <v>9646</v>
      </c>
      <c r="J120" s="4"/>
    </row>
    <row r="121" spans="1:20" s="43" customFormat="1" ht="20" customHeight="1">
      <c r="A121" s="6"/>
      <c r="B121" s="4" t="s">
        <v>275</v>
      </c>
      <c r="C121" s="5">
        <f>(หลังริม!C121*2)+(หลังกลาง!C121*4)</f>
        <v>6</v>
      </c>
      <c r="D121" s="6" t="s">
        <v>264</v>
      </c>
      <c r="E121" s="5">
        <v>0</v>
      </c>
      <c r="F121" s="5">
        <f>E121*C121</f>
        <v>0</v>
      </c>
      <c r="G121" s="70">
        <v>2500</v>
      </c>
      <c r="H121" s="5">
        <f t="shared" si="37"/>
        <v>15000</v>
      </c>
      <c r="I121" s="49">
        <f t="shared" si="38"/>
        <v>15000</v>
      </c>
      <c r="J121" s="4"/>
      <c r="K121" s="73"/>
    </row>
    <row r="122" spans="1:20" s="72" customFormat="1" ht="20" customHeight="1">
      <c r="A122" s="12"/>
      <c r="B122" s="12" t="s">
        <v>162</v>
      </c>
      <c r="C122" s="5">
        <f>(หลังริม!C122*2)+(หลังกลาง!C122*4)</f>
        <v>0</v>
      </c>
      <c r="D122" s="12"/>
      <c r="E122" s="99"/>
      <c r="F122" s="71">
        <f>SUM(F117:F121)</f>
        <v>32899.826572063044</v>
      </c>
      <c r="G122" s="71"/>
      <c r="H122" s="71">
        <f t="shared" ref="H122:I122" si="39">SUM(H117:H121)</f>
        <v>15000</v>
      </c>
      <c r="I122" s="71">
        <f t="shared" si="39"/>
        <v>47899.826572063044</v>
      </c>
      <c r="J122" s="12"/>
      <c r="K122" s="151">
        <f>H122+F122</f>
        <v>47899.826572063044</v>
      </c>
    </row>
    <row r="123" spans="1:20" s="40" customFormat="1" ht="20" customHeight="1">
      <c r="A123" s="198"/>
      <c r="B123" s="3" t="s">
        <v>223</v>
      </c>
      <c r="C123" s="5">
        <f>(หลังริม!C123*2)+(หลังกลาง!C123*4)</f>
        <v>0</v>
      </c>
      <c r="D123" s="6"/>
      <c r="E123" s="48"/>
      <c r="F123" s="4"/>
      <c r="G123" s="4"/>
      <c r="H123" s="4"/>
      <c r="I123" s="4"/>
      <c r="J123" s="4"/>
      <c r="K123" s="43"/>
      <c r="L123" s="43"/>
      <c r="M123" s="43"/>
      <c r="N123" s="43"/>
      <c r="O123" s="43"/>
      <c r="P123" s="43"/>
      <c r="Q123" s="43"/>
      <c r="R123" s="43"/>
      <c r="S123" s="43"/>
      <c r="T123" s="43"/>
    </row>
    <row r="124" spans="1:20" s="40" customFormat="1" ht="20" customHeight="1">
      <c r="A124" s="198"/>
      <c r="B124" s="4" t="s">
        <v>117</v>
      </c>
      <c r="C124" s="5">
        <f>(หลังริม!C124*2)+(หลังกลาง!C124*4)</f>
        <v>624</v>
      </c>
      <c r="D124" s="6" t="s">
        <v>60</v>
      </c>
      <c r="E124" s="11">
        <v>67</v>
      </c>
      <c r="F124" s="5">
        <f>E124*C124</f>
        <v>41808</v>
      </c>
      <c r="G124" s="20">
        <v>0</v>
      </c>
      <c r="H124" s="5">
        <f>G124*C124</f>
        <v>0</v>
      </c>
      <c r="I124" s="49">
        <f>H124+F124</f>
        <v>41808</v>
      </c>
      <c r="J124" s="4"/>
      <c r="K124" s="43"/>
      <c r="L124" s="43"/>
      <c r="M124" s="43"/>
      <c r="N124" s="43"/>
      <c r="O124" s="43"/>
      <c r="P124" s="43"/>
      <c r="Q124" s="43"/>
      <c r="R124" s="43"/>
      <c r="S124" s="43"/>
      <c r="T124" s="43"/>
    </row>
    <row r="125" spans="1:20" s="40" customFormat="1" ht="20" customHeight="1">
      <c r="A125" s="198"/>
      <c r="B125" s="4" t="s">
        <v>118</v>
      </c>
      <c r="C125" s="5">
        <f>(หลังริม!C125*2)+(หลังกลาง!C125*4)</f>
        <v>156</v>
      </c>
      <c r="D125" s="6" t="s">
        <v>60</v>
      </c>
      <c r="E125" s="11">
        <v>82</v>
      </c>
      <c r="F125" s="5">
        <f t="shared" ref="F125:F136" si="40">E125*C125</f>
        <v>12792</v>
      </c>
      <c r="G125" s="20">
        <v>0</v>
      </c>
      <c r="H125" s="5">
        <f t="shared" ref="H125:H136" si="41">G125*C125</f>
        <v>0</v>
      </c>
      <c r="I125" s="49">
        <f t="shared" ref="I125:I136" si="42">H125+F125</f>
        <v>12792</v>
      </c>
      <c r="J125" s="4"/>
      <c r="K125" s="43"/>
      <c r="L125" s="43"/>
      <c r="M125" s="43"/>
      <c r="N125" s="43"/>
      <c r="O125" s="43"/>
      <c r="P125" s="43"/>
      <c r="Q125" s="43"/>
      <c r="R125" s="43"/>
      <c r="S125" s="43"/>
      <c r="T125" s="43"/>
    </row>
    <row r="126" spans="1:20" s="40" customFormat="1" ht="20" customHeight="1">
      <c r="A126" s="6"/>
      <c r="B126" s="4" t="s">
        <v>156</v>
      </c>
      <c r="C126" s="5">
        <f>(หลังริม!C126*2)+(หลังกลาง!C126*4)</f>
        <v>15</v>
      </c>
      <c r="D126" s="6" t="s">
        <v>125</v>
      </c>
      <c r="E126" s="11">
        <v>870</v>
      </c>
      <c r="F126" s="5">
        <f t="shared" si="40"/>
        <v>13050</v>
      </c>
      <c r="G126" s="20">
        <v>0</v>
      </c>
      <c r="H126" s="5">
        <f t="shared" si="41"/>
        <v>0</v>
      </c>
      <c r="I126" s="49">
        <f t="shared" si="42"/>
        <v>13050</v>
      </c>
      <c r="J126" s="4"/>
      <c r="K126" s="43"/>
      <c r="L126" s="43"/>
      <c r="M126" s="43"/>
      <c r="N126" s="43"/>
      <c r="O126" s="43"/>
      <c r="P126" s="43"/>
      <c r="Q126" s="43"/>
      <c r="R126" s="43"/>
      <c r="S126" s="43"/>
      <c r="T126" s="43"/>
    </row>
    <row r="127" spans="1:20" s="40" customFormat="1" ht="20" customHeight="1">
      <c r="A127" s="198"/>
      <c r="B127" s="4" t="s">
        <v>126</v>
      </c>
      <c r="C127" s="5">
        <f>(หลังริม!C127*2)+(หลังกลาง!C127*4)</f>
        <v>6</v>
      </c>
      <c r="D127" s="6" t="s">
        <v>60</v>
      </c>
      <c r="E127" s="11">
        <v>53</v>
      </c>
      <c r="F127" s="5">
        <f t="shared" si="40"/>
        <v>318</v>
      </c>
      <c r="G127" s="20">
        <v>0</v>
      </c>
      <c r="H127" s="5">
        <f t="shared" si="41"/>
        <v>0</v>
      </c>
      <c r="I127" s="49">
        <f t="shared" si="42"/>
        <v>318</v>
      </c>
      <c r="J127" s="4"/>
      <c r="K127" s="43"/>
      <c r="L127" s="43"/>
      <c r="M127" s="43"/>
      <c r="N127" s="43"/>
      <c r="O127" s="43"/>
      <c r="P127" s="43"/>
      <c r="Q127" s="43"/>
      <c r="R127" s="43"/>
      <c r="S127" s="43"/>
      <c r="T127" s="43"/>
    </row>
    <row r="128" spans="1:20" s="40" customFormat="1" ht="20" customHeight="1">
      <c r="A128" s="198"/>
      <c r="B128" s="4" t="s">
        <v>127</v>
      </c>
      <c r="C128" s="5">
        <f>(หลังริม!C128*2)+(หลังกลาง!C128*4)</f>
        <v>12</v>
      </c>
      <c r="D128" s="6" t="s">
        <v>60</v>
      </c>
      <c r="E128" s="11">
        <v>63</v>
      </c>
      <c r="F128" s="5">
        <f t="shared" si="40"/>
        <v>756</v>
      </c>
      <c r="G128" s="20">
        <v>0</v>
      </c>
      <c r="H128" s="5">
        <f t="shared" si="41"/>
        <v>0</v>
      </c>
      <c r="I128" s="49">
        <f t="shared" si="42"/>
        <v>756</v>
      </c>
      <c r="J128" s="4"/>
      <c r="K128" s="43"/>
      <c r="L128" s="43"/>
      <c r="M128" s="43"/>
      <c r="N128" s="43"/>
      <c r="O128" s="43"/>
      <c r="P128" s="43"/>
      <c r="Q128" s="43"/>
      <c r="R128" s="43"/>
      <c r="S128" s="43"/>
      <c r="T128" s="43"/>
    </row>
    <row r="129" spans="1:20" s="40" customFormat="1" ht="20" customHeight="1">
      <c r="A129" s="198"/>
      <c r="B129" s="4" t="s">
        <v>116</v>
      </c>
      <c r="C129" s="5">
        <f>(หลังริม!C129*2)+(หลังกลาง!C129*4)</f>
        <v>24</v>
      </c>
      <c r="D129" s="6" t="s">
        <v>60</v>
      </c>
      <c r="E129" s="11">
        <v>137</v>
      </c>
      <c r="F129" s="5">
        <f t="shared" si="40"/>
        <v>3288</v>
      </c>
      <c r="G129" s="20">
        <v>0</v>
      </c>
      <c r="H129" s="5">
        <f t="shared" si="41"/>
        <v>0</v>
      </c>
      <c r="I129" s="49">
        <f t="shared" si="42"/>
        <v>3288</v>
      </c>
      <c r="J129" s="4"/>
      <c r="K129" s="43"/>
      <c r="L129" s="43"/>
      <c r="M129" s="43"/>
      <c r="N129" s="43"/>
      <c r="O129" s="43"/>
      <c r="P129" s="43"/>
      <c r="Q129" s="43"/>
      <c r="R129" s="43"/>
      <c r="S129" s="43"/>
      <c r="T129" s="43"/>
    </row>
    <row r="130" spans="1:20" s="40" customFormat="1" ht="20" customHeight="1">
      <c r="A130" s="6"/>
      <c r="B130" s="4" t="s">
        <v>119</v>
      </c>
      <c r="C130" s="5">
        <f>(หลังริม!C130*2)+(หลังกลาง!C130*4)</f>
        <v>106</v>
      </c>
      <c r="D130" s="6" t="s">
        <v>60</v>
      </c>
      <c r="E130" s="11">
        <v>39</v>
      </c>
      <c r="F130" s="5">
        <f t="shared" si="40"/>
        <v>4134</v>
      </c>
      <c r="G130" s="20">
        <v>0</v>
      </c>
      <c r="H130" s="5">
        <f t="shared" si="41"/>
        <v>0</v>
      </c>
      <c r="I130" s="49">
        <f t="shared" si="42"/>
        <v>4134</v>
      </c>
      <c r="J130" s="4"/>
      <c r="K130" s="43"/>
      <c r="L130" s="43"/>
      <c r="M130" s="43"/>
      <c r="N130" s="43"/>
      <c r="O130" s="43"/>
      <c r="P130" s="43"/>
      <c r="Q130" s="43"/>
      <c r="R130" s="43"/>
      <c r="S130" s="43"/>
      <c r="T130" s="43"/>
    </row>
    <row r="131" spans="1:20" s="40" customFormat="1" ht="20" customHeight="1">
      <c r="A131" s="6"/>
      <c r="B131" s="4" t="s">
        <v>120</v>
      </c>
      <c r="C131" s="5">
        <f>(หลังริม!C131*2)+(หลังกลาง!C131*4)</f>
        <v>88</v>
      </c>
      <c r="D131" s="6" t="s">
        <v>60</v>
      </c>
      <c r="E131" s="11">
        <v>39</v>
      </c>
      <c r="F131" s="5">
        <f t="shared" si="40"/>
        <v>3432</v>
      </c>
      <c r="G131" s="20">
        <v>0</v>
      </c>
      <c r="H131" s="5">
        <f t="shared" si="41"/>
        <v>0</v>
      </c>
      <c r="I131" s="49">
        <f t="shared" si="42"/>
        <v>3432</v>
      </c>
      <c r="J131" s="4"/>
      <c r="K131" s="43"/>
      <c r="L131" s="43"/>
      <c r="M131" s="43"/>
      <c r="N131" s="43"/>
      <c r="O131" s="43"/>
      <c r="P131" s="43"/>
      <c r="Q131" s="43"/>
      <c r="R131" s="43"/>
      <c r="S131" s="43"/>
      <c r="T131" s="43"/>
    </row>
    <row r="132" spans="1:20" s="40" customFormat="1" ht="20" customHeight="1">
      <c r="A132" s="6"/>
      <c r="B132" s="4" t="s">
        <v>121</v>
      </c>
      <c r="C132" s="5">
        <f>(หลังริม!C132*2)+(หลังกลาง!C132*4)</f>
        <v>2</v>
      </c>
      <c r="D132" s="6" t="s">
        <v>60</v>
      </c>
      <c r="E132" s="11">
        <v>52</v>
      </c>
      <c r="F132" s="5">
        <f t="shared" si="40"/>
        <v>104</v>
      </c>
      <c r="G132" s="20">
        <v>0</v>
      </c>
      <c r="H132" s="5">
        <f t="shared" si="41"/>
        <v>0</v>
      </c>
      <c r="I132" s="49">
        <f t="shared" si="42"/>
        <v>104</v>
      </c>
      <c r="J132" s="4"/>
      <c r="K132" s="43"/>
      <c r="L132" s="43"/>
      <c r="M132" s="43"/>
      <c r="N132" s="43"/>
      <c r="O132" s="43"/>
      <c r="P132" s="43"/>
      <c r="Q132" s="43"/>
      <c r="R132" s="43"/>
      <c r="S132" s="43"/>
      <c r="T132" s="43"/>
    </row>
    <row r="133" spans="1:20" s="40" customFormat="1" ht="20" customHeight="1">
      <c r="A133" s="6"/>
      <c r="B133" s="4" t="s">
        <v>124</v>
      </c>
      <c r="C133" s="5">
        <f>(หลังริม!C133*2)+(หลังกลาง!C133*4)</f>
        <v>14</v>
      </c>
      <c r="D133" s="6" t="s">
        <v>125</v>
      </c>
      <c r="E133" s="11">
        <v>170</v>
      </c>
      <c r="F133" s="5">
        <f t="shared" si="40"/>
        <v>2380</v>
      </c>
      <c r="G133" s="20">
        <v>0</v>
      </c>
      <c r="H133" s="5">
        <f t="shared" si="41"/>
        <v>0</v>
      </c>
      <c r="I133" s="49">
        <f t="shared" si="42"/>
        <v>2380</v>
      </c>
      <c r="J133" s="4"/>
      <c r="K133" s="43"/>
      <c r="L133" s="43"/>
      <c r="M133" s="43"/>
      <c r="N133" s="43"/>
      <c r="O133" s="43"/>
      <c r="P133" s="43"/>
      <c r="Q133" s="43"/>
      <c r="R133" s="43"/>
      <c r="S133" s="43"/>
      <c r="T133" s="43"/>
    </row>
    <row r="134" spans="1:20" s="40" customFormat="1" ht="20" customHeight="1">
      <c r="A134" s="6"/>
      <c r="B134" s="4" t="s">
        <v>155</v>
      </c>
      <c r="C134" s="5">
        <f>(หลังริม!C134*2)+(หลังกลาง!C134*4)</f>
        <v>3</v>
      </c>
      <c r="D134" s="6" t="s">
        <v>97</v>
      </c>
      <c r="E134" s="11">
        <v>1359</v>
      </c>
      <c r="F134" s="5">
        <f t="shared" si="40"/>
        <v>4077</v>
      </c>
      <c r="G134" s="20">
        <v>0</v>
      </c>
      <c r="H134" s="5">
        <f t="shared" si="41"/>
        <v>0</v>
      </c>
      <c r="I134" s="49">
        <f t="shared" si="42"/>
        <v>4077</v>
      </c>
      <c r="J134" s="4"/>
      <c r="K134" s="43"/>
      <c r="L134" s="43"/>
      <c r="M134" s="43"/>
      <c r="N134" s="43"/>
      <c r="O134" s="43"/>
      <c r="P134" s="43"/>
      <c r="Q134" s="43"/>
      <c r="R134" s="43"/>
      <c r="S134" s="43"/>
      <c r="T134" s="43"/>
    </row>
    <row r="135" spans="1:20" s="40" customFormat="1" ht="20" customHeight="1">
      <c r="A135" s="6"/>
      <c r="B135" s="4" t="s">
        <v>122</v>
      </c>
      <c r="C135" s="5">
        <f>(หลังริม!C135*2)+(หลังกลาง!C135*4)</f>
        <v>19.2</v>
      </c>
      <c r="D135" s="6" t="s">
        <v>123</v>
      </c>
      <c r="E135" s="5">
        <v>0</v>
      </c>
      <c r="F135" s="5">
        <f t="shared" si="40"/>
        <v>0</v>
      </c>
      <c r="G135" s="5">
        <v>400</v>
      </c>
      <c r="H135" s="5">
        <f t="shared" si="41"/>
        <v>7680</v>
      </c>
      <c r="I135" s="49">
        <f t="shared" si="42"/>
        <v>7680</v>
      </c>
      <c r="J135" s="4"/>
      <c r="K135" s="43"/>
      <c r="L135" s="43"/>
      <c r="M135" s="43"/>
      <c r="N135" s="43"/>
      <c r="O135" s="43"/>
      <c r="P135" s="43"/>
      <c r="Q135" s="43"/>
      <c r="R135" s="43"/>
      <c r="S135" s="43"/>
      <c r="T135" s="43"/>
    </row>
    <row r="136" spans="1:20" s="43" customFormat="1" ht="20" customHeight="1">
      <c r="A136" s="6"/>
      <c r="B136" s="4" t="s">
        <v>274</v>
      </c>
      <c r="C136" s="5">
        <f>(หลังริม!C136*2)+(หลังกลาง!C136*4)</f>
        <v>119</v>
      </c>
      <c r="D136" s="6" t="s">
        <v>264</v>
      </c>
      <c r="E136" s="5">
        <v>0</v>
      </c>
      <c r="F136" s="5">
        <f t="shared" si="40"/>
        <v>0</v>
      </c>
      <c r="G136" s="70">
        <v>70</v>
      </c>
      <c r="H136" s="5">
        <f t="shared" si="41"/>
        <v>8330</v>
      </c>
      <c r="I136" s="49">
        <f t="shared" si="42"/>
        <v>8330</v>
      </c>
      <c r="J136" s="4"/>
      <c r="K136" s="73"/>
    </row>
    <row r="137" spans="1:20" s="50" customFormat="1" ht="20" customHeight="1">
      <c r="A137" s="12"/>
      <c r="B137" s="12" t="s">
        <v>218</v>
      </c>
      <c r="C137" s="5">
        <f>(หลังริม!C137*2)+(หลังกลาง!C137*4)</f>
        <v>0</v>
      </c>
      <c r="D137" s="12"/>
      <c r="E137" s="100"/>
      <c r="F137" s="14">
        <f>SUM(F124:F136)</f>
        <v>86139</v>
      </c>
      <c r="G137" s="14"/>
      <c r="H137" s="14">
        <f t="shared" ref="H137:I137" si="43">SUM(H124:H136)</f>
        <v>16010</v>
      </c>
      <c r="I137" s="14">
        <f t="shared" si="43"/>
        <v>102149</v>
      </c>
      <c r="J137" s="13"/>
      <c r="K137" s="151">
        <f>H137+F137</f>
        <v>102149</v>
      </c>
    </row>
    <row r="138" spans="1:20" s="40" customFormat="1" ht="20" customHeight="1">
      <c r="A138" s="198"/>
      <c r="B138" s="3" t="s">
        <v>224</v>
      </c>
      <c r="C138" s="5">
        <f>(หลังริม!C138*2)+(หลังกลาง!C138*4)</f>
        <v>0</v>
      </c>
      <c r="D138" s="6"/>
      <c r="E138" s="48"/>
      <c r="F138" s="4"/>
      <c r="G138" s="4"/>
      <c r="H138" s="4"/>
      <c r="I138" s="4"/>
      <c r="J138" s="4"/>
      <c r="K138" s="43"/>
      <c r="L138" s="43"/>
      <c r="M138" s="43"/>
      <c r="N138" s="43"/>
      <c r="O138" s="43"/>
      <c r="P138" s="43"/>
      <c r="Q138" s="43"/>
      <c r="R138" s="43"/>
      <c r="S138" s="43"/>
      <c r="T138" s="43"/>
    </row>
    <row r="139" spans="1:20" s="40" customFormat="1" ht="20" customHeight="1">
      <c r="A139" s="198"/>
      <c r="B139" s="4" t="s">
        <v>130</v>
      </c>
      <c r="C139" s="5">
        <f>(หลังริม!C139*2)+(หลังกลาง!C139*4)</f>
        <v>42</v>
      </c>
      <c r="D139" s="6" t="s">
        <v>32</v>
      </c>
      <c r="E139" s="5">
        <v>0</v>
      </c>
      <c r="F139" s="5">
        <f>E139*C139</f>
        <v>0</v>
      </c>
      <c r="G139" s="5">
        <f>320</f>
        <v>320</v>
      </c>
      <c r="H139" s="20">
        <f>G139*C139</f>
        <v>13440</v>
      </c>
      <c r="I139" s="49">
        <f>H139+F139</f>
        <v>13440</v>
      </c>
      <c r="J139" s="24" t="s">
        <v>132</v>
      </c>
      <c r="K139" s="43"/>
      <c r="L139" s="43"/>
      <c r="M139" s="43"/>
      <c r="N139" s="43"/>
      <c r="O139" s="43"/>
      <c r="P139" s="43"/>
      <c r="Q139" s="43"/>
      <c r="R139" s="43"/>
      <c r="S139" s="43"/>
      <c r="T139" s="43"/>
    </row>
    <row r="140" spans="1:20" s="40" customFormat="1" ht="20" customHeight="1">
      <c r="A140" s="198"/>
      <c r="B140" s="4" t="s">
        <v>131</v>
      </c>
      <c r="C140" s="5">
        <f>(หลังริม!C140*2)+(หลังกลาง!C140*4)</f>
        <v>108</v>
      </c>
      <c r="D140" s="6" t="s">
        <v>32</v>
      </c>
      <c r="E140" s="5">
        <v>0</v>
      </c>
      <c r="F140" s="5">
        <f t="shared" ref="F140:F145" si="44">E140*C140</f>
        <v>0</v>
      </c>
      <c r="G140" s="5">
        <v>280</v>
      </c>
      <c r="H140" s="20">
        <f t="shared" ref="H140:H145" si="45">G140*C140</f>
        <v>30240</v>
      </c>
      <c r="I140" s="49">
        <f t="shared" ref="I140:I145" si="46">H140+F140</f>
        <v>30240</v>
      </c>
      <c r="J140" s="24" t="s">
        <v>133</v>
      </c>
      <c r="K140" s="43"/>
      <c r="L140" s="43"/>
      <c r="M140" s="43"/>
      <c r="N140" s="43"/>
      <c r="O140" s="43"/>
      <c r="P140" s="43"/>
      <c r="Q140" s="43"/>
      <c r="R140" s="43"/>
      <c r="S140" s="43"/>
      <c r="T140" s="43"/>
    </row>
    <row r="141" spans="1:20" s="40" customFormat="1" ht="20" customHeight="1">
      <c r="A141" s="198"/>
      <c r="B141" s="4" t="s">
        <v>129</v>
      </c>
      <c r="C141" s="5">
        <f>(หลังริม!C141*2)+(หลังกลาง!C141*4)</f>
        <v>180</v>
      </c>
      <c r="D141" s="6" t="s">
        <v>32</v>
      </c>
      <c r="E141" s="5">
        <v>0</v>
      </c>
      <c r="F141" s="5">
        <f t="shared" si="44"/>
        <v>0</v>
      </c>
      <c r="G141" s="5">
        <v>240</v>
      </c>
      <c r="H141" s="20">
        <f t="shared" si="45"/>
        <v>43200</v>
      </c>
      <c r="I141" s="49">
        <f t="shared" si="46"/>
        <v>43200</v>
      </c>
      <c r="J141" s="24" t="s">
        <v>133</v>
      </c>
      <c r="K141" s="43"/>
      <c r="L141" s="43"/>
      <c r="M141" s="43"/>
      <c r="N141" s="43"/>
      <c r="O141" s="43"/>
      <c r="P141" s="43"/>
      <c r="Q141" s="43"/>
      <c r="R141" s="43"/>
      <c r="S141" s="43"/>
      <c r="T141" s="43"/>
    </row>
    <row r="142" spans="1:20" s="40" customFormat="1" ht="20" customHeight="1">
      <c r="A142" s="198"/>
      <c r="B142" s="4" t="s">
        <v>135</v>
      </c>
      <c r="C142" s="5">
        <f>(หลังริม!C142*2)+(หลังกลาง!C142*4)</f>
        <v>345.6</v>
      </c>
      <c r="D142" s="6" t="s">
        <v>123</v>
      </c>
      <c r="E142" s="5">
        <v>0</v>
      </c>
      <c r="F142" s="5">
        <f t="shared" si="44"/>
        <v>0</v>
      </c>
      <c r="G142" s="5">
        <v>70</v>
      </c>
      <c r="H142" s="20">
        <f t="shared" si="45"/>
        <v>24192</v>
      </c>
      <c r="I142" s="49">
        <f t="shared" si="46"/>
        <v>24192</v>
      </c>
      <c r="J142" s="4"/>
      <c r="K142" s="43"/>
      <c r="L142" s="43"/>
      <c r="M142" s="43"/>
      <c r="N142" s="43"/>
      <c r="O142" s="43"/>
      <c r="P142" s="43"/>
      <c r="Q142" s="43"/>
      <c r="R142" s="43"/>
      <c r="S142" s="43"/>
      <c r="T142" s="43"/>
    </row>
    <row r="143" spans="1:20" s="40" customFormat="1" ht="20" customHeight="1">
      <c r="A143" s="198"/>
      <c r="B143" s="4" t="s">
        <v>137</v>
      </c>
      <c r="C143" s="5">
        <f>(หลังริม!C143*2)+(หลังกลาง!C143*4)</f>
        <v>6</v>
      </c>
      <c r="D143" s="6" t="s">
        <v>136</v>
      </c>
      <c r="E143" s="11">
        <v>8067</v>
      </c>
      <c r="F143" s="5">
        <f t="shared" si="44"/>
        <v>48402</v>
      </c>
      <c r="G143" s="5">
        <v>2000</v>
      </c>
      <c r="H143" s="20">
        <f t="shared" si="45"/>
        <v>12000</v>
      </c>
      <c r="I143" s="49">
        <f t="shared" si="46"/>
        <v>60402</v>
      </c>
      <c r="J143" s="4"/>
      <c r="K143" s="43"/>
      <c r="L143" s="43"/>
      <c r="M143" s="43"/>
      <c r="N143" s="43"/>
      <c r="O143" s="43"/>
      <c r="P143" s="43"/>
      <c r="Q143" s="43"/>
      <c r="R143" s="43"/>
      <c r="S143" s="43"/>
      <c r="T143" s="43"/>
    </row>
    <row r="144" spans="1:20" s="40" customFormat="1" ht="20" customHeight="1">
      <c r="A144" s="198"/>
      <c r="B144" s="4" t="s">
        <v>139</v>
      </c>
      <c r="C144" s="5">
        <f>(หลังริม!C144*2)+(หลังกลาง!C144*4)</f>
        <v>16</v>
      </c>
      <c r="D144" s="6" t="s">
        <v>32</v>
      </c>
      <c r="E144" s="5">
        <v>0</v>
      </c>
      <c r="F144" s="5">
        <f t="shared" si="44"/>
        <v>0</v>
      </c>
      <c r="G144" s="5">
        <v>280</v>
      </c>
      <c r="H144" s="20">
        <f t="shared" si="45"/>
        <v>4480</v>
      </c>
      <c r="I144" s="49">
        <f t="shared" si="46"/>
        <v>4480</v>
      </c>
      <c r="J144" s="4"/>
      <c r="K144" s="43"/>
      <c r="L144" s="43"/>
      <c r="M144" s="43"/>
      <c r="N144" s="43"/>
      <c r="O144" s="43"/>
      <c r="P144" s="43"/>
      <c r="Q144" s="43"/>
      <c r="R144" s="43"/>
      <c r="S144" s="43"/>
      <c r="T144" s="43"/>
    </row>
    <row r="145" spans="1:20" s="40" customFormat="1" ht="20" customHeight="1">
      <c r="A145" s="6"/>
      <c r="B145" s="4" t="s">
        <v>138</v>
      </c>
      <c r="C145" s="5">
        <f>(หลังริม!C145*2)+(หลังกลาง!C145*4)</f>
        <v>16</v>
      </c>
      <c r="D145" s="6" t="s">
        <v>32</v>
      </c>
      <c r="E145" s="5">
        <v>0</v>
      </c>
      <c r="F145" s="5">
        <f t="shared" si="44"/>
        <v>0</v>
      </c>
      <c r="G145" s="5">
        <v>965</v>
      </c>
      <c r="H145" s="20">
        <f t="shared" si="45"/>
        <v>15440</v>
      </c>
      <c r="I145" s="49">
        <f t="shared" si="46"/>
        <v>15440</v>
      </c>
      <c r="J145" s="4"/>
      <c r="K145" s="43"/>
      <c r="L145" s="43"/>
      <c r="M145" s="43"/>
      <c r="N145" s="43"/>
      <c r="O145" s="43"/>
      <c r="P145" s="43"/>
      <c r="Q145" s="43"/>
      <c r="R145" s="43"/>
      <c r="S145" s="43"/>
      <c r="T145" s="43"/>
    </row>
    <row r="146" spans="1:20" s="50" customFormat="1" ht="20" customHeight="1">
      <c r="A146" s="12"/>
      <c r="B146" s="12" t="s">
        <v>177</v>
      </c>
      <c r="C146" s="5">
        <f>(หลังริม!C146*2)+(หลังกลาง!C146*4)</f>
        <v>0</v>
      </c>
      <c r="D146" s="12"/>
      <c r="E146" s="100"/>
      <c r="F146" s="14">
        <f>SUM(F139:F145)</f>
        <v>48402</v>
      </c>
      <c r="G146" s="14"/>
      <c r="H146" s="14">
        <f t="shared" ref="H146:I146" si="47">SUM(H139:H145)</f>
        <v>142992</v>
      </c>
      <c r="I146" s="14">
        <f t="shared" si="47"/>
        <v>191394</v>
      </c>
      <c r="J146" s="13"/>
      <c r="K146" s="151">
        <f>H146+F146</f>
        <v>191394</v>
      </c>
    </row>
    <row r="147" spans="1:20" s="40" customFormat="1" ht="20" customHeight="1">
      <c r="A147" s="198"/>
      <c r="B147" s="3" t="s">
        <v>225</v>
      </c>
      <c r="C147" s="5">
        <f>(หลังริม!C147*2)+(หลังกลาง!C147*4)</f>
        <v>0</v>
      </c>
      <c r="D147" s="6"/>
      <c r="E147" s="48"/>
      <c r="F147" s="4"/>
      <c r="G147" s="4"/>
      <c r="H147" s="4"/>
      <c r="I147" s="4"/>
      <c r="J147" s="4"/>
      <c r="K147" s="43"/>
      <c r="L147" s="43"/>
      <c r="M147" s="43"/>
      <c r="N147" s="43"/>
      <c r="O147" s="43"/>
      <c r="P147" s="43"/>
      <c r="Q147" s="43"/>
      <c r="R147" s="43"/>
      <c r="S147" s="43"/>
      <c r="T147" s="43"/>
    </row>
    <row r="148" spans="1:20" s="40" customFormat="1" ht="20" customHeight="1">
      <c r="A148" s="198"/>
      <c r="B148" s="4" t="s">
        <v>140</v>
      </c>
      <c r="C148" s="5">
        <f>(หลังริม!C148*2)+(หลังกลาง!C148*4)</f>
        <v>6</v>
      </c>
      <c r="D148" s="6" t="s">
        <v>141</v>
      </c>
      <c r="E148" s="11">
        <v>1869</v>
      </c>
      <c r="F148" s="5">
        <f>E148*C148</f>
        <v>11214</v>
      </c>
      <c r="G148" s="20">
        <v>0</v>
      </c>
      <c r="H148" s="20">
        <f>G148*C148</f>
        <v>0</v>
      </c>
      <c r="I148" s="49">
        <f>H148+F148</f>
        <v>11214</v>
      </c>
      <c r="J148" s="4"/>
      <c r="K148" s="43"/>
      <c r="L148" s="43"/>
      <c r="M148" s="43"/>
      <c r="N148" s="43"/>
      <c r="O148" s="43"/>
      <c r="P148" s="43"/>
      <c r="Q148" s="43"/>
      <c r="R148" s="43"/>
      <c r="S148" s="43"/>
      <c r="T148" s="43"/>
    </row>
    <row r="149" spans="1:20" s="40" customFormat="1" ht="20" customHeight="1">
      <c r="A149" s="198"/>
      <c r="B149" s="4" t="s">
        <v>142</v>
      </c>
      <c r="C149" s="5">
        <f>(หลังริม!C149*2)+(หลังกลาง!C149*4)</f>
        <v>6</v>
      </c>
      <c r="D149" s="6" t="s">
        <v>141</v>
      </c>
      <c r="E149" s="11">
        <v>640</v>
      </c>
      <c r="F149" s="5">
        <f t="shared" ref="F149:F165" si="48">E149*C149</f>
        <v>3840</v>
      </c>
      <c r="G149" s="20">
        <v>0</v>
      </c>
      <c r="H149" s="20">
        <f t="shared" ref="H149:H165" si="49">G149*C149</f>
        <v>0</v>
      </c>
      <c r="I149" s="49">
        <f t="shared" ref="I149:I165" si="50">H149+F149</f>
        <v>3840</v>
      </c>
      <c r="J149" s="4"/>
      <c r="K149" s="43"/>
      <c r="L149" s="43"/>
      <c r="M149" s="43"/>
      <c r="N149" s="43"/>
      <c r="O149" s="43"/>
      <c r="P149" s="43"/>
      <c r="Q149" s="43"/>
      <c r="R149" s="43"/>
      <c r="S149" s="43"/>
      <c r="T149" s="43"/>
    </row>
    <row r="150" spans="1:20" s="40" customFormat="1" ht="20" customHeight="1">
      <c r="A150" s="198"/>
      <c r="B150" s="4" t="s">
        <v>158</v>
      </c>
      <c r="C150" s="5">
        <f>(หลังริม!C150*2)+(หลังกลาง!C150*4)</f>
        <v>6</v>
      </c>
      <c r="D150" s="6" t="s">
        <v>141</v>
      </c>
      <c r="E150" s="11">
        <v>664</v>
      </c>
      <c r="F150" s="5">
        <f t="shared" si="48"/>
        <v>3984</v>
      </c>
      <c r="G150" s="20">
        <v>0</v>
      </c>
      <c r="H150" s="20">
        <f t="shared" si="49"/>
        <v>0</v>
      </c>
      <c r="I150" s="49">
        <f t="shared" si="50"/>
        <v>3984</v>
      </c>
      <c r="J150" s="4"/>
      <c r="K150" s="43"/>
      <c r="L150" s="43"/>
      <c r="M150" s="43"/>
      <c r="N150" s="43"/>
      <c r="O150" s="43"/>
      <c r="P150" s="43"/>
      <c r="Q150" s="43"/>
      <c r="R150" s="43"/>
      <c r="S150" s="43"/>
      <c r="T150" s="43"/>
    </row>
    <row r="151" spans="1:20" s="40" customFormat="1" ht="20" customHeight="1">
      <c r="A151" s="198"/>
      <c r="B151" s="4" t="s">
        <v>157</v>
      </c>
      <c r="C151" s="5">
        <f>(หลังริม!C151*2)+(หลังกลาง!C151*4)</f>
        <v>6</v>
      </c>
      <c r="D151" s="6" t="s">
        <v>141</v>
      </c>
      <c r="E151" s="11">
        <v>159</v>
      </c>
      <c r="F151" s="5">
        <f t="shared" si="48"/>
        <v>954</v>
      </c>
      <c r="G151" s="20">
        <v>0</v>
      </c>
      <c r="H151" s="20">
        <f t="shared" si="49"/>
        <v>0</v>
      </c>
      <c r="I151" s="49">
        <f t="shared" si="50"/>
        <v>954</v>
      </c>
      <c r="J151" s="4"/>
      <c r="K151" s="43"/>
      <c r="L151" s="43"/>
      <c r="M151" s="43"/>
      <c r="N151" s="43"/>
      <c r="O151" s="43"/>
      <c r="P151" s="43"/>
      <c r="Q151" s="43"/>
      <c r="R151" s="43"/>
      <c r="S151" s="43"/>
      <c r="T151" s="43"/>
    </row>
    <row r="152" spans="1:20" s="40" customFormat="1" ht="20" customHeight="1">
      <c r="A152" s="198"/>
      <c r="B152" s="4" t="s">
        <v>159</v>
      </c>
      <c r="C152" s="5">
        <f>(หลังริม!C152*2)+(หลังกลาง!C152*4)</f>
        <v>6</v>
      </c>
      <c r="D152" s="6" t="s">
        <v>141</v>
      </c>
      <c r="E152" s="11">
        <v>425</v>
      </c>
      <c r="F152" s="5">
        <f t="shared" si="48"/>
        <v>2550</v>
      </c>
      <c r="G152" s="20">
        <v>0</v>
      </c>
      <c r="H152" s="20">
        <f t="shared" si="49"/>
        <v>0</v>
      </c>
      <c r="I152" s="49">
        <f t="shared" si="50"/>
        <v>2550</v>
      </c>
      <c r="J152" s="4"/>
      <c r="K152" s="43"/>
      <c r="L152" s="43"/>
      <c r="M152" s="43"/>
      <c r="N152" s="43"/>
      <c r="O152" s="43"/>
      <c r="P152" s="43"/>
      <c r="Q152" s="43"/>
      <c r="R152" s="43"/>
      <c r="S152" s="43"/>
      <c r="T152" s="43"/>
    </row>
    <row r="153" spans="1:20" s="40" customFormat="1" ht="20" customHeight="1">
      <c r="A153" s="198"/>
      <c r="B153" s="4" t="s">
        <v>143</v>
      </c>
      <c r="C153" s="5">
        <f>(หลังริม!C153*2)+(หลังกลาง!C153*4)</f>
        <v>6</v>
      </c>
      <c r="D153" s="6" t="s">
        <v>141</v>
      </c>
      <c r="E153" s="11">
        <v>183</v>
      </c>
      <c r="F153" s="5">
        <f t="shared" si="48"/>
        <v>1098</v>
      </c>
      <c r="G153" s="20">
        <v>0</v>
      </c>
      <c r="H153" s="20">
        <f t="shared" si="49"/>
        <v>0</v>
      </c>
      <c r="I153" s="49">
        <f t="shared" si="50"/>
        <v>1098</v>
      </c>
      <c r="J153" s="4"/>
      <c r="K153" s="43"/>
      <c r="L153" s="43"/>
      <c r="M153" s="43"/>
      <c r="N153" s="43"/>
      <c r="O153" s="43"/>
      <c r="P153" s="43"/>
      <c r="Q153" s="43"/>
      <c r="R153" s="43"/>
      <c r="S153" s="43"/>
      <c r="T153" s="43"/>
    </row>
    <row r="154" spans="1:20" s="40" customFormat="1" ht="20" customHeight="1">
      <c r="A154" s="198"/>
      <c r="B154" s="4" t="s">
        <v>144</v>
      </c>
      <c r="C154" s="5">
        <f>(หลังริม!C154*2)+(หลังกลาง!C154*4)</f>
        <v>6</v>
      </c>
      <c r="D154" s="6" t="s">
        <v>100</v>
      </c>
      <c r="E154" s="11">
        <v>151</v>
      </c>
      <c r="F154" s="5">
        <f t="shared" si="48"/>
        <v>906</v>
      </c>
      <c r="G154" s="20">
        <v>0</v>
      </c>
      <c r="H154" s="20">
        <f t="shared" si="49"/>
        <v>0</v>
      </c>
      <c r="I154" s="49">
        <f t="shared" si="50"/>
        <v>906</v>
      </c>
      <c r="J154" s="4"/>
      <c r="K154" s="43"/>
      <c r="L154" s="43"/>
      <c r="M154" s="43"/>
      <c r="N154" s="43"/>
      <c r="O154" s="43"/>
      <c r="P154" s="43"/>
      <c r="Q154" s="43"/>
      <c r="R154" s="43"/>
      <c r="S154" s="43"/>
      <c r="T154" s="43"/>
    </row>
    <row r="155" spans="1:20" s="40" customFormat="1" ht="20" customHeight="1">
      <c r="A155" s="198"/>
      <c r="B155" s="4" t="s">
        <v>145</v>
      </c>
      <c r="C155" s="5">
        <f>(หลังริม!C155*2)+(หลังกลาง!C155*4)</f>
        <v>6</v>
      </c>
      <c r="D155" s="6" t="s">
        <v>146</v>
      </c>
      <c r="E155" s="11"/>
      <c r="F155" s="5">
        <f t="shared" si="48"/>
        <v>0</v>
      </c>
      <c r="G155" s="20">
        <v>0</v>
      </c>
      <c r="H155" s="20">
        <f t="shared" si="49"/>
        <v>0</v>
      </c>
      <c r="I155" s="49">
        <f t="shared" si="50"/>
        <v>0</v>
      </c>
      <c r="J155" s="4"/>
      <c r="K155" s="43"/>
      <c r="L155" s="43"/>
      <c r="M155" s="43"/>
      <c r="N155" s="43"/>
      <c r="O155" s="43"/>
      <c r="P155" s="43"/>
      <c r="Q155" s="43"/>
      <c r="R155" s="43"/>
      <c r="S155" s="43"/>
      <c r="T155" s="43"/>
    </row>
    <row r="156" spans="1:20" s="40" customFormat="1" ht="20" customHeight="1">
      <c r="A156" s="198"/>
      <c r="B156" s="4" t="s">
        <v>160</v>
      </c>
      <c r="C156" s="5">
        <f>(หลังริม!C156*2)+(หลังกลาง!C156*4)</f>
        <v>6</v>
      </c>
      <c r="D156" s="6" t="s">
        <v>100</v>
      </c>
      <c r="E156" s="11">
        <v>77</v>
      </c>
      <c r="F156" s="5">
        <f t="shared" si="48"/>
        <v>462</v>
      </c>
      <c r="G156" s="20">
        <v>0</v>
      </c>
      <c r="H156" s="20">
        <f t="shared" si="49"/>
        <v>0</v>
      </c>
      <c r="I156" s="49">
        <f t="shared" si="50"/>
        <v>462</v>
      </c>
      <c r="J156" s="4"/>
      <c r="K156" s="43"/>
      <c r="L156" s="43"/>
      <c r="M156" s="43"/>
      <c r="N156" s="43"/>
      <c r="O156" s="43"/>
      <c r="P156" s="43"/>
      <c r="Q156" s="43"/>
      <c r="R156" s="43"/>
      <c r="S156" s="43"/>
      <c r="T156" s="43"/>
    </row>
    <row r="157" spans="1:20" s="40" customFormat="1" ht="20" customHeight="1">
      <c r="A157" s="198"/>
      <c r="B157" s="4" t="s">
        <v>147</v>
      </c>
      <c r="C157" s="5">
        <f>(หลังริม!C157*2)+(หลังกลาง!C157*4)</f>
        <v>6</v>
      </c>
      <c r="D157" s="6" t="s">
        <v>100</v>
      </c>
      <c r="E157" s="11">
        <v>234</v>
      </c>
      <c r="F157" s="5">
        <f t="shared" si="48"/>
        <v>1404</v>
      </c>
      <c r="G157" s="20">
        <v>0</v>
      </c>
      <c r="H157" s="20">
        <f t="shared" si="49"/>
        <v>0</v>
      </c>
      <c r="I157" s="49">
        <f t="shared" si="50"/>
        <v>1404</v>
      </c>
      <c r="J157" s="4"/>
      <c r="K157" s="43"/>
      <c r="L157" s="43"/>
      <c r="M157" s="43"/>
      <c r="N157" s="43"/>
      <c r="O157" s="43"/>
      <c r="P157" s="43"/>
      <c r="Q157" s="43"/>
      <c r="R157" s="43"/>
      <c r="S157" s="43"/>
      <c r="T157" s="43"/>
    </row>
    <row r="158" spans="1:20" s="40" customFormat="1" ht="20" customHeight="1">
      <c r="A158" s="198"/>
      <c r="B158" s="4" t="s">
        <v>161</v>
      </c>
      <c r="C158" s="5">
        <f>(หลังริม!C158*2)+(หลังกลาง!C158*4)</f>
        <v>6</v>
      </c>
      <c r="D158" s="6" t="s">
        <v>100</v>
      </c>
      <c r="E158" s="11">
        <v>151</v>
      </c>
      <c r="F158" s="5">
        <f t="shared" si="48"/>
        <v>906</v>
      </c>
      <c r="G158" s="20">
        <v>0</v>
      </c>
      <c r="H158" s="20">
        <f t="shared" si="49"/>
        <v>0</v>
      </c>
      <c r="I158" s="49">
        <f t="shared" si="50"/>
        <v>906</v>
      </c>
      <c r="J158" s="4"/>
      <c r="K158" s="43"/>
      <c r="L158" s="43"/>
      <c r="M158" s="43"/>
      <c r="N158" s="43"/>
      <c r="O158" s="43"/>
      <c r="P158" s="43"/>
      <c r="Q158" s="43"/>
      <c r="R158" s="43"/>
      <c r="S158" s="43"/>
      <c r="T158" s="43"/>
    </row>
    <row r="159" spans="1:20" s="40" customFormat="1" ht="20" customHeight="1">
      <c r="A159" s="198"/>
      <c r="B159" s="4" t="s">
        <v>148</v>
      </c>
      <c r="C159" s="5">
        <f>(หลังริม!C159*2)+(หลังกลาง!C159*4)</f>
        <v>6</v>
      </c>
      <c r="D159" s="6" t="s">
        <v>100</v>
      </c>
      <c r="E159" s="11">
        <v>584</v>
      </c>
      <c r="F159" s="5">
        <f t="shared" si="48"/>
        <v>3504</v>
      </c>
      <c r="G159" s="20">
        <v>0</v>
      </c>
      <c r="H159" s="20">
        <f t="shared" si="49"/>
        <v>0</v>
      </c>
      <c r="I159" s="49">
        <f t="shared" si="50"/>
        <v>3504</v>
      </c>
      <c r="J159" s="4"/>
      <c r="K159" s="43"/>
      <c r="L159" s="43"/>
      <c r="M159" s="43"/>
      <c r="N159" s="43"/>
      <c r="O159" s="43"/>
      <c r="P159" s="43"/>
      <c r="Q159" s="43"/>
      <c r="R159" s="43"/>
      <c r="S159" s="43"/>
      <c r="T159" s="43"/>
    </row>
    <row r="160" spans="1:20" s="43" customFormat="1" ht="20" customHeight="1">
      <c r="A160" s="198"/>
      <c r="B160" s="4" t="s">
        <v>149</v>
      </c>
      <c r="C160" s="5">
        <f>(หลังริม!C160*2)+(หลังกลาง!C160*4)</f>
        <v>12</v>
      </c>
      <c r="D160" s="6" t="s">
        <v>100</v>
      </c>
      <c r="E160" s="5">
        <v>140</v>
      </c>
      <c r="F160" s="5">
        <f t="shared" si="48"/>
        <v>1680</v>
      </c>
      <c r="G160" s="20">
        <v>0</v>
      </c>
      <c r="H160" s="20">
        <f t="shared" si="49"/>
        <v>0</v>
      </c>
      <c r="I160" s="49">
        <f t="shared" si="50"/>
        <v>1680</v>
      </c>
      <c r="J160" s="4"/>
      <c r="K160" s="73"/>
    </row>
    <row r="161" spans="1:20" s="43" customFormat="1" ht="20" customHeight="1">
      <c r="A161" s="198"/>
      <c r="B161" s="4" t="s">
        <v>150</v>
      </c>
      <c r="C161" s="5">
        <f>(หลังริม!C161*2)+(หลังกลาง!C161*4)</f>
        <v>6</v>
      </c>
      <c r="D161" s="6" t="s">
        <v>100</v>
      </c>
      <c r="E161" s="5">
        <v>45</v>
      </c>
      <c r="F161" s="5">
        <f t="shared" si="48"/>
        <v>270</v>
      </c>
      <c r="G161" s="5">
        <v>0</v>
      </c>
      <c r="H161" s="20">
        <f t="shared" si="49"/>
        <v>0</v>
      </c>
      <c r="I161" s="49">
        <f t="shared" si="50"/>
        <v>270</v>
      </c>
      <c r="J161" s="4"/>
      <c r="K161" s="73"/>
    </row>
    <row r="162" spans="1:20" s="43" customFormat="1" ht="20" customHeight="1">
      <c r="A162" s="198"/>
      <c r="B162" s="4" t="s">
        <v>151</v>
      </c>
      <c r="C162" s="5">
        <f>(หลังริม!C162*2)+(หลังกลาง!C162*4)</f>
        <v>6</v>
      </c>
      <c r="D162" s="6" t="s">
        <v>100</v>
      </c>
      <c r="E162" s="5">
        <v>215</v>
      </c>
      <c r="F162" s="5">
        <f t="shared" si="48"/>
        <v>1290</v>
      </c>
      <c r="G162" s="5">
        <v>0</v>
      </c>
      <c r="H162" s="20">
        <f t="shared" si="49"/>
        <v>0</v>
      </c>
      <c r="I162" s="49">
        <f t="shared" si="50"/>
        <v>1290</v>
      </c>
      <c r="J162" s="4"/>
      <c r="K162" s="73"/>
    </row>
    <row r="163" spans="1:20" s="43" customFormat="1" ht="20" customHeight="1">
      <c r="A163" s="198"/>
      <c r="B163" s="4" t="s">
        <v>152</v>
      </c>
      <c r="C163" s="5">
        <f>(หลังริม!C163*2)+(หลังกลาง!C163*4)</f>
        <v>6</v>
      </c>
      <c r="D163" s="6" t="s">
        <v>100</v>
      </c>
      <c r="E163" s="5">
        <v>0</v>
      </c>
      <c r="F163" s="5">
        <f t="shared" si="48"/>
        <v>0</v>
      </c>
      <c r="G163" s="5">
        <v>0</v>
      </c>
      <c r="H163" s="20">
        <f t="shared" si="49"/>
        <v>0</v>
      </c>
      <c r="I163" s="49">
        <f t="shared" si="50"/>
        <v>0</v>
      </c>
      <c r="J163" s="4"/>
      <c r="K163" s="73"/>
    </row>
    <row r="164" spans="1:20" s="43" customFormat="1" ht="20" customHeight="1">
      <c r="A164" s="6"/>
      <c r="B164" s="4" t="s">
        <v>153</v>
      </c>
      <c r="C164" s="5">
        <f>(หลังริม!C164*2)+(หลังกลาง!C164*4)</f>
        <v>12</v>
      </c>
      <c r="D164" s="6" t="s">
        <v>100</v>
      </c>
      <c r="E164" s="4">
        <v>110</v>
      </c>
      <c r="F164" s="5">
        <f t="shared" si="48"/>
        <v>1320</v>
      </c>
      <c r="G164" s="5">
        <v>0</v>
      </c>
      <c r="H164" s="20">
        <f t="shared" si="49"/>
        <v>0</v>
      </c>
      <c r="I164" s="49">
        <f t="shared" si="50"/>
        <v>1320</v>
      </c>
      <c r="J164" s="4"/>
      <c r="K164" s="73"/>
    </row>
    <row r="165" spans="1:20" s="43" customFormat="1" ht="20" customHeight="1">
      <c r="A165" s="6"/>
      <c r="B165" s="4" t="s">
        <v>273</v>
      </c>
      <c r="C165" s="5">
        <f>(หลังริม!C165*2)+(หลังกลาง!C165*4)</f>
        <v>6</v>
      </c>
      <c r="D165" s="6" t="s">
        <v>264</v>
      </c>
      <c r="E165" s="5">
        <v>0</v>
      </c>
      <c r="F165" s="5">
        <f t="shared" si="48"/>
        <v>0</v>
      </c>
      <c r="G165" s="70">
        <v>810</v>
      </c>
      <c r="H165" s="20">
        <f t="shared" si="49"/>
        <v>4860</v>
      </c>
      <c r="I165" s="49">
        <f t="shared" si="50"/>
        <v>4860</v>
      </c>
      <c r="J165" s="4"/>
      <c r="K165" s="73"/>
    </row>
    <row r="166" spans="1:20" s="50" customFormat="1" ht="20" customHeight="1">
      <c r="A166" s="12"/>
      <c r="B166" s="12" t="s">
        <v>154</v>
      </c>
      <c r="C166" s="5">
        <f>(หลังริม!C166*2)+(หลังกลาง!C166*4)</f>
        <v>0</v>
      </c>
      <c r="D166" s="12"/>
      <c r="E166" s="100"/>
      <c r="F166" s="14">
        <f>SUM(F148:F165)</f>
        <v>35382</v>
      </c>
      <c r="G166" s="14"/>
      <c r="H166" s="14">
        <f t="shared" ref="H166:I166" si="51">SUM(H148:H165)</f>
        <v>4860</v>
      </c>
      <c r="I166" s="14">
        <f t="shared" si="51"/>
        <v>40242</v>
      </c>
      <c r="J166" s="13"/>
      <c r="K166" s="151">
        <f>H166+F166</f>
        <v>40242</v>
      </c>
    </row>
    <row r="167" spans="1:20" s="40" customFormat="1" ht="20" customHeight="1">
      <c r="A167" s="198"/>
      <c r="B167" s="3" t="s">
        <v>226</v>
      </c>
      <c r="C167" s="5">
        <f>(หลังริม!C167*2)+(หลังกลาง!C167*4)</f>
        <v>0</v>
      </c>
      <c r="D167" s="6"/>
      <c r="E167" s="48"/>
      <c r="F167" s="4"/>
      <c r="G167" s="4"/>
      <c r="H167" s="4"/>
      <c r="I167" s="4"/>
      <c r="J167" s="4"/>
      <c r="K167" s="43"/>
      <c r="L167" s="43"/>
      <c r="M167" s="43"/>
      <c r="N167" s="43"/>
      <c r="O167" s="43"/>
      <c r="P167" s="43"/>
      <c r="Q167" s="43"/>
      <c r="R167" s="43"/>
      <c r="S167" s="43"/>
      <c r="T167" s="43"/>
    </row>
    <row r="168" spans="1:20" s="40" customFormat="1" ht="20" customHeight="1">
      <c r="A168" s="198"/>
      <c r="B168" s="4" t="s">
        <v>163</v>
      </c>
      <c r="C168" s="5">
        <f>(หลังริม!C168*2)+(หลังกลาง!C168*4)</f>
        <v>6</v>
      </c>
      <c r="D168" s="6" t="s">
        <v>141</v>
      </c>
      <c r="E168" s="11">
        <v>0</v>
      </c>
      <c r="F168" s="5">
        <f>E168*C168</f>
        <v>0</v>
      </c>
      <c r="G168" s="5">
        <v>8000</v>
      </c>
      <c r="H168" s="5">
        <f>G168*C168</f>
        <v>48000</v>
      </c>
      <c r="I168" s="49">
        <f>H168+F168</f>
        <v>48000</v>
      </c>
      <c r="J168" s="24" t="s">
        <v>172</v>
      </c>
      <c r="K168" s="43"/>
      <c r="L168" s="43"/>
      <c r="M168" s="43"/>
      <c r="N168" s="43"/>
      <c r="O168" s="43"/>
      <c r="P168" s="43"/>
      <c r="Q168" s="43"/>
      <c r="R168" s="43"/>
      <c r="S168" s="43"/>
      <c r="T168" s="43"/>
    </row>
    <row r="169" spans="1:20" s="40" customFormat="1" ht="20" customHeight="1">
      <c r="A169" s="198"/>
      <c r="B169" s="4" t="s">
        <v>164</v>
      </c>
      <c r="C169" s="5">
        <f>(หลังริม!C169*2)+(หลังกลาง!C169*4)</f>
        <v>6</v>
      </c>
      <c r="D169" s="6" t="s">
        <v>141</v>
      </c>
      <c r="E169" s="11">
        <v>2670</v>
      </c>
      <c r="F169" s="5">
        <f t="shared" ref="F169:F176" si="52">E169*C169</f>
        <v>16020</v>
      </c>
      <c r="G169" s="5">
        <v>400</v>
      </c>
      <c r="H169" s="5">
        <f t="shared" ref="H169:H176" si="53">G169*C169</f>
        <v>2400</v>
      </c>
      <c r="I169" s="49">
        <f t="shared" ref="I169:I176" si="54">H169+F169</f>
        <v>18420</v>
      </c>
      <c r="J169" s="4"/>
      <c r="K169" s="43"/>
      <c r="L169" s="43"/>
      <c r="M169" s="43"/>
      <c r="N169" s="43"/>
      <c r="O169" s="43"/>
      <c r="P169" s="43"/>
      <c r="Q169" s="43"/>
      <c r="R169" s="43"/>
      <c r="S169" s="43"/>
      <c r="T169" s="43"/>
    </row>
    <row r="170" spans="1:20" s="40" customFormat="1" ht="20" customHeight="1">
      <c r="A170" s="198"/>
      <c r="B170" s="4" t="s">
        <v>165</v>
      </c>
      <c r="C170" s="5">
        <f>(หลังริม!C170*2)+(หลังกลาง!C170*4)</f>
        <v>6</v>
      </c>
      <c r="D170" s="6" t="s">
        <v>141</v>
      </c>
      <c r="E170" s="11">
        <v>2670</v>
      </c>
      <c r="F170" s="5">
        <f t="shared" si="52"/>
        <v>16020</v>
      </c>
      <c r="G170" s="5">
        <v>400</v>
      </c>
      <c r="H170" s="5">
        <f t="shared" si="53"/>
        <v>2400</v>
      </c>
      <c r="I170" s="49">
        <f t="shared" si="54"/>
        <v>18420</v>
      </c>
      <c r="J170" s="4"/>
      <c r="K170" s="43"/>
      <c r="L170" s="43"/>
      <c r="M170" s="43"/>
      <c r="N170" s="43"/>
      <c r="O170" s="43"/>
      <c r="P170" s="43"/>
      <c r="Q170" s="43"/>
      <c r="R170" s="43"/>
      <c r="S170" s="43"/>
      <c r="T170" s="43"/>
    </row>
    <row r="171" spans="1:20" s="40" customFormat="1" ht="20" customHeight="1">
      <c r="A171" s="198"/>
      <c r="B171" s="4" t="s">
        <v>166</v>
      </c>
      <c r="C171" s="5">
        <f>(หลังริม!C171*2)+(หลังกลาง!C171*4)</f>
        <v>12</v>
      </c>
      <c r="D171" s="6" t="s">
        <v>141</v>
      </c>
      <c r="E171" s="11">
        <v>1458</v>
      </c>
      <c r="F171" s="5">
        <f t="shared" si="52"/>
        <v>17496</v>
      </c>
      <c r="G171" s="5">
        <v>400</v>
      </c>
      <c r="H171" s="5">
        <f t="shared" si="53"/>
        <v>4800</v>
      </c>
      <c r="I171" s="49">
        <f t="shared" si="54"/>
        <v>22296</v>
      </c>
      <c r="J171" s="4"/>
      <c r="K171" s="43"/>
      <c r="L171" s="43"/>
      <c r="M171" s="43"/>
      <c r="N171" s="43"/>
      <c r="O171" s="43"/>
      <c r="P171" s="43"/>
      <c r="Q171" s="43"/>
      <c r="R171" s="43"/>
      <c r="S171" s="43"/>
      <c r="T171" s="43"/>
    </row>
    <row r="172" spans="1:20" s="40" customFormat="1" ht="20" customHeight="1">
      <c r="A172" s="198"/>
      <c r="B172" s="4" t="s">
        <v>169</v>
      </c>
      <c r="C172" s="5">
        <f>(หลังริม!C172*2)+(หลังกลาง!C172*4)</f>
        <v>2</v>
      </c>
      <c r="D172" s="6" t="s">
        <v>141</v>
      </c>
      <c r="E172" s="11">
        <v>0</v>
      </c>
      <c r="F172" s="5">
        <f t="shared" si="52"/>
        <v>0</v>
      </c>
      <c r="G172" s="5">
        <v>3300</v>
      </c>
      <c r="H172" s="5">
        <f t="shared" si="53"/>
        <v>6600</v>
      </c>
      <c r="I172" s="49">
        <f t="shared" si="54"/>
        <v>6600</v>
      </c>
      <c r="J172" s="24" t="s">
        <v>172</v>
      </c>
      <c r="K172" s="43"/>
      <c r="L172" s="43"/>
      <c r="M172" s="43"/>
      <c r="N172" s="43"/>
      <c r="O172" s="43"/>
      <c r="P172" s="43"/>
      <c r="Q172" s="43"/>
      <c r="R172" s="43"/>
      <c r="S172" s="43"/>
      <c r="T172" s="43"/>
    </row>
    <row r="173" spans="1:20" s="40" customFormat="1" ht="20" customHeight="1">
      <c r="A173" s="198"/>
      <c r="B173" s="4" t="s">
        <v>167</v>
      </c>
      <c r="C173" s="5">
        <f>(หลังริม!C173*2)+(หลังกลาง!C173*4)</f>
        <v>6</v>
      </c>
      <c r="D173" s="6" t="s">
        <v>141</v>
      </c>
      <c r="E173" s="11">
        <v>0</v>
      </c>
      <c r="F173" s="5">
        <f t="shared" si="52"/>
        <v>0</v>
      </c>
      <c r="G173" s="5">
        <v>2500</v>
      </c>
      <c r="H173" s="5">
        <f t="shared" si="53"/>
        <v>15000</v>
      </c>
      <c r="I173" s="49">
        <f t="shared" si="54"/>
        <v>15000</v>
      </c>
      <c r="J173" s="24" t="s">
        <v>172</v>
      </c>
      <c r="K173" s="43"/>
      <c r="L173" s="43"/>
      <c r="M173" s="43"/>
      <c r="N173" s="43"/>
      <c r="O173" s="43"/>
      <c r="P173" s="43"/>
      <c r="Q173" s="43"/>
      <c r="R173" s="43"/>
      <c r="S173" s="43"/>
      <c r="T173" s="43"/>
    </row>
    <row r="174" spans="1:20" s="40" customFormat="1" ht="20" customHeight="1">
      <c r="A174" s="198"/>
      <c r="B174" s="4" t="s">
        <v>168</v>
      </c>
      <c r="C174" s="5">
        <f>(หลังริม!C174*2)+(หลังกลาง!C174*4)</f>
        <v>6</v>
      </c>
      <c r="D174" s="6" t="s">
        <v>141</v>
      </c>
      <c r="E174" s="11">
        <v>0</v>
      </c>
      <c r="F174" s="5">
        <f t="shared" si="52"/>
        <v>0</v>
      </c>
      <c r="G174" s="5">
        <v>1200</v>
      </c>
      <c r="H174" s="5">
        <f t="shared" si="53"/>
        <v>7200</v>
      </c>
      <c r="I174" s="49">
        <f t="shared" si="54"/>
        <v>7200</v>
      </c>
      <c r="J174" s="24" t="s">
        <v>172</v>
      </c>
      <c r="K174" s="43"/>
      <c r="L174" s="43"/>
      <c r="M174" s="43"/>
      <c r="N174" s="43"/>
      <c r="O174" s="43"/>
      <c r="P174" s="43"/>
      <c r="Q174" s="43"/>
      <c r="R174" s="43"/>
      <c r="S174" s="43"/>
      <c r="T174" s="43"/>
    </row>
    <row r="175" spans="1:20" s="40" customFormat="1" ht="20" customHeight="1">
      <c r="A175" s="198"/>
      <c r="B175" s="4" t="s">
        <v>170</v>
      </c>
      <c r="C175" s="5">
        <f>(หลังริม!C175*2)+(หลังกลาง!C175*4)</f>
        <v>2</v>
      </c>
      <c r="D175" s="6" t="s">
        <v>141</v>
      </c>
      <c r="E175" s="11">
        <v>0</v>
      </c>
      <c r="F175" s="5">
        <f t="shared" si="52"/>
        <v>0</v>
      </c>
      <c r="G175" s="5">
        <v>4400</v>
      </c>
      <c r="H175" s="5">
        <f t="shared" si="53"/>
        <v>8800</v>
      </c>
      <c r="I175" s="49">
        <f t="shared" si="54"/>
        <v>8800</v>
      </c>
      <c r="J175" s="24" t="s">
        <v>172</v>
      </c>
      <c r="K175" s="43"/>
      <c r="L175" s="43"/>
      <c r="M175" s="43"/>
      <c r="N175" s="43"/>
      <c r="O175" s="43"/>
      <c r="P175" s="43"/>
      <c r="Q175" s="43"/>
      <c r="R175" s="43"/>
      <c r="S175" s="43"/>
      <c r="T175" s="43"/>
    </row>
    <row r="176" spans="1:20" s="40" customFormat="1" ht="20" customHeight="1">
      <c r="A176" s="198"/>
      <c r="B176" s="4" t="s">
        <v>171</v>
      </c>
      <c r="C176" s="5">
        <f>(หลังริม!C176*2)+(หลังกลาง!C176*4)</f>
        <v>2</v>
      </c>
      <c r="D176" s="6" t="s">
        <v>141</v>
      </c>
      <c r="E176" s="11">
        <v>0</v>
      </c>
      <c r="F176" s="5">
        <f t="shared" si="52"/>
        <v>0</v>
      </c>
      <c r="G176" s="5">
        <v>5300</v>
      </c>
      <c r="H176" s="5">
        <f t="shared" si="53"/>
        <v>10600</v>
      </c>
      <c r="I176" s="49">
        <f t="shared" si="54"/>
        <v>10600</v>
      </c>
      <c r="J176" s="24" t="s">
        <v>172</v>
      </c>
      <c r="K176" s="43"/>
      <c r="L176" s="43"/>
      <c r="M176" s="43"/>
      <c r="N176" s="43"/>
      <c r="O176" s="43"/>
      <c r="P176" s="43"/>
      <c r="Q176" s="43"/>
      <c r="R176" s="43"/>
      <c r="S176" s="43"/>
      <c r="T176" s="43"/>
    </row>
    <row r="177" spans="1:20" s="50" customFormat="1" ht="20" customHeight="1">
      <c r="A177" s="12"/>
      <c r="B177" s="12" t="s">
        <v>178</v>
      </c>
      <c r="C177" s="5">
        <f>(หลังริม!C177*2)+(หลังกลาง!C177*4)</f>
        <v>0</v>
      </c>
      <c r="D177" s="12"/>
      <c r="E177" s="100"/>
      <c r="F177" s="14">
        <f>SUM(F168:F176)</f>
        <v>49536</v>
      </c>
      <c r="G177" s="14"/>
      <c r="H177" s="14">
        <f t="shared" ref="H177:I177" si="55">SUM(H168:H176)</f>
        <v>105800</v>
      </c>
      <c r="I177" s="14">
        <f t="shared" si="55"/>
        <v>155336</v>
      </c>
      <c r="J177" s="13"/>
      <c r="K177" s="151">
        <f>H177+F177</f>
        <v>155336</v>
      </c>
    </row>
    <row r="178" spans="1:20" s="40" customFormat="1" ht="20" customHeight="1">
      <c r="A178" s="198"/>
      <c r="B178" s="3" t="s">
        <v>227</v>
      </c>
      <c r="C178" s="5">
        <f>(หลังริม!C178*2)+(หลังกลาง!C178*4)</f>
        <v>0</v>
      </c>
      <c r="D178" s="6"/>
      <c r="E178" s="48"/>
      <c r="F178" s="4"/>
      <c r="G178" s="4"/>
      <c r="H178" s="4"/>
      <c r="I178" s="4"/>
      <c r="J178" s="4"/>
      <c r="K178" s="43"/>
      <c r="L178" s="43"/>
      <c r="M178" s="43"/>
      <c r="N178" s="43"/>
      <c r="O178" s="43"/>
      <c r="P178" s="43"/>
      <c r="Q178" s="43"/>
      <c r="R178" s="43"/>
      <c r="S178" s="43"/>
      <c r="T178" s="43"/>
    </row>
    <row r="179" spans="1:20" s="40" customFormat="1" ht="20" customHeight="1">
      <c r="A179" s="198"/>
      <c r="B179" s="4" t="s">
        <v>173</v>
      </c>
      <c r="C179" s="5">
        <f>(หลังริม!C179*2)+(หลังกลาง!C179*4)</f>
        <v>192</v>
      </c>
      <c r="D179" s="6" t="s">
        <v>32</v>
      </c>
      <c r="E179" s="11">
        <v>250</v>
      </c>
      <c r="F179" s="5">
        <f>E179*C179</f>
        <v>48000</v>
      </c>
      <c r="G179" s="5">
        <v>150</v>
      </c>
      <c r="H179" s="5">
        <f>G179*C179</f>
        <v>28800</v>
      </c>
      <c r="I179" s="49">
        <f>H179+F179</f>
        <v>76800</v>
      </c>
      <c r="J179" s="4"/>
      <c r="K179" s="43"/>
      <c r="L179" s="43"/>
      <c r="M179" s="43"/>
      <c r="N179" s="43"/>
      <c r="O179" s="43"/>
      <c r="P179" s="43"/>
      <c r="Q179" s="43"/>
      <c r="R179" s="43"/>
      <c r="S179" s="43"/>
      <c r="T179" s="43"/>
    </row>
    <row r="180" spans="1:20" s="40" customFormat="1" ht="20" customHeight="1">
      <c r="A180" s="198"/>
      <c r="B180" s="4" t="s">
        <v>174</v>
      </c>
      <c r="C180" s="5">
        <f>(หลังริม!C180*2)+(หลังกลาง!C180*4)</f>
        <v>24</v>
      </c>
      <c r="D180" s="6" t="s">
        <v>32</v>
      </c>
      <c r="E180" s="11">
        <v>250</v>
      </c>
      <c r="F180" s="5">
        <f t="shared" ref="F180:F183" si="56">E180*C180</f>
        <v>6000</v>
      </c>
      <c r="G180" s="5">
        <v>150</v>
      </c>
      <c r="H180" s="5">
        <f t="shared" ref="H180:H183" si="57">G180*C180</f>
        <v>3600</v>
      </c>
      <c r="I180" s="49">
        <f t="shared" ref="I180:I183" si="58">H180+F180</f>
        <v>9600</v>
      </c>
      <c r="J180" s="4"/>
      <c r="K180" s="43"/>
      <c r="L180" s="43"/>
      <c r="M180" s="43"/>
      <c r="N180" s="43"/>
      <c r="O180" s="43"/>
      <c r="P180" s="43"/>
      <c r="Q180" s="43"/>
      <c r="R180" s="43"/>
      <c r="S180" s="43"/>
      <c r="T180" s="43"/>
    </row>
    <row r="181" spans="1:20" s="40" customFormat="1" ht="20" customHeight="1">
      <c r="A181" s="198"/>
      <c r="B181" s="4" t="s">
        <v>175</v>
      </c>
      <c r="C181" s="5">
        <f>(หลังริม!C181*2)+(หลังกลาง!C181*4)</f>
        <v>36</v>
      </c>
      <c r="D181" s="6" t="s">
        <v>32</v>
      </c>
      <c r="E181" s="11">
        <v>300</v>
      </c>
      <c r="F181" s="5">
        <f t="shared" si="56"/>
        <v>10800</v>
      </c>
      <c r="G181" s="5">
        <v>150</v>
      </c>
      <c r="H181" s="5">
        <f t="shared" si="57"/>
        <v>5400</v>
      </c>
      <c r="I181" s="49">
        <f t="shared" si="58"/>
        <v>16200</v>
      </c>
      <c r="J181" s="4"/>
      <c r="K181" s="43"/>
      <c r="L181" s="43"/>
      <c r="M181" s="43"/>
      <c r="N181" s="43"/>
      <c r="O181" s="43"/>
      <c r="P181" s="43"/>
      <c r="Q181" s="43"/>
      <c r="R181" s="43"/>
      <c r="S181" s="43"/>
      <c r="T181" s="43"/>
    </row>
    <row r="182" spans="1:20" s="40" customFormat="1" ht="20" customHeight="1">
      <c r="A182" s="198"/>
      <c r="B182" s="4" t="s">
        <v>265</v>
      </c>
      <c r="C182" s="5">
        <f>(หลังริม!C182*2)+(หลังกลาง!C182*4)</f>
        <v>144</v>
      </c>
      <c r="D182" s="6" t="s">
        <v>32</v>
      </c>
      <c r="E182" s="11">
        <v>250</v>
      </c>
      <c r="F182" s="5">
        <f t="shared" si="56"/>
        <v>36000</v>
      </c>
      <c r="G182" s="5">
        <v>170</v>
      </c>
      <c r="H182" s="5">
        <f t="shared" si="57"/>
        <v>24480</v>
      </c>
      <c r="I182" s="49">
        <f t="shared" si="58"/>
        <v>60480</v>
      </c>
      <c r="J182" s="4"/>
      <c r="K182" s="43"/>
      <c r="L182" s="43"/>
      <c r="M182" s="43"/>
      <c r="N182" s="43"/>
      <c r="O182" s="43"/>
      <c r="P182" s="43"/>
      <c r="Q182" s="43"/>
      <c r="R182" s="43"/>
      <c r="S182" s="43"/>
      <c r="T182" s="43"/>
    </row>
    <row r="183" spans="1:20" s="40" customFormat="1" ht="20" customHeight="1">
      <c r="A183" s="198"/>
      <c r="B183" s="4" t="s">
        <v>176</v>
      </c>
      <c r="C183" s="5">
        <f>(หลังริม!C183*2)+(หลังกลาง!C183*4)</f>
        <v>144</v>
      </c>
      <c r="D183" s="6" t="s">
        <v>32</v>
      </c>
      <c r="E183" s="11">
        <v>38</v>
      </c>
      <c r="F183" s="5">
        <f t="shared" si="56"/>
        <v>5472</v>
      </c>
      <c r="G183" s="5">
        <v>1000</v>
      </c>
      <c r="H183" s="5">
        <f t="shared" si="57"/>
        <v>144000</v>
      </c>
      <c r="I183" s="49">
        <f t="shared" si="58"/>
        <v>149472</v>
      </c>
      <c r="J183" s="4"/>
      <c r="K183" s="43"/>
      <c r="L183" s="43"/>
      <c r="M183" s="43"/>
      <c r="N183" s="43"/>
      <c r="O183" s="43"/>
      <c r="P183" s="43"/>
      <c r="Q183" s="43"/>
      <c r="R183" s="43"/>
      <c r="S183" s="43"/>
      <c r="T183" s="43"/>
    </row>
    <row r="184" spans="1:20" s="50" customFormat="1" ht="20" customHeight="1">
      <c r="A184" s="12"/>
      <c r="B184" s="12" t="s">
        <v>219</v>
      </c>
      <c r="C184" s="5">
        <f>(หลังริม!C184*2)+(หลังกลาง!C184*4)</f>
        <v>0</v>
      </c>
      <c r="D184" s="12"/>
      <c r="E184" s="100"/>
      <c r="F184" s="14">
        <f>SUM(F179:F183)</f>
        <v>106272</v>
      </c>
      <c r="G184" s="14"/>
      <c r="H184" s="14">
        <f t="shared" ref="H184:I184" si="59">SUM(H179:H183)</f>
        <v>206280</v>
      </c>
      <c r="I184" s="14">
        <f t="shared" si="59"/>
        <v>312552</v>
      </c>
      <c r="J184" s="13"/>
      <c r="K184" s="151">
        <f>H184+F184</f>
        <v>312552</v>
      </c>
    </row>
    <row r="185" spans="1:20" s="40" customFormat="1" ht="20" customHeight="1">
      <c r="A185" s="198"/>
      <c r="B185" s="3" t="s">
        <v>228</v>
      </c>
      <c r="C185" s="5">
        <f>(หลังริม!C185*2)+(หลังกลาง!C185*4)</f>
        <v>0</v>
      </c>
      <c r="D185" s="6"/>
      <c r="E185" s="48"/>
      <c r="F185" s="74"/>
      <c r="G185" s="77"/>
      <c r="H185" s="74"/>
      <c r="I185" s="74"/>
      <c r="J185" s="4"/>
      <c r="K185" s="43"/>
      <c r="L185" s="43"/>
      <c r="M185" s="43"/>
      <c r="N185" s="43"/>
      <c r="O185" s="43"/>
      <c r="P185" s="43"/>
      <c r="Q185" s="43"/>
      <c r="R185" s="43"/>
      <c r="S185" s="43"/>
      <c r="T185" s="43"/>
    </row>
    <row r="186" spans="1:20" s="40" customFormat="1" ht="20" customHeight="1">
      <c r="A186" s="198"/>
      <c r="B186" s="4" t="s">
        <v>185</v>
      </c>
      <c r="C186" s="5">
        <f>(หลังริม!C186*2)+(หลังกลาง!C186*4)</f>
        <v>306.32</v>
      </c>
      <c r="D186" s="6" t="s">
        <v>32</v>
      </c>
      <c r="E186" s="11">
        <v>60</v>
      </c>
      <c r="F186" s="5">
        <f>E186*C186</f>
        <v>18379.2</v>
      </c>
      <c r="G186" s="5">
        <v>25</v>
      </c>
      <c r="H186" s="5">
        <f>G186*C186</f>
        <v>7658</v>
      </c>
      <c r="I186" s="7">
        <f>H186+F186</f>
        <v>26037.200000000001</v>
      </c>
      <c r="J186" s="4"/>
      <c r="K186" s="43"/>
      <c r="L186" s="43"/>
      <c r="M186" s="43"/>
      <c r="N186" s="43"/>
      <c r="O186" s="43"/>
      <c r="P186" s="43"/>
      <c r="Q186" s="43"/>
      <c r="R186" s="43"/>
      <c r="S186" s="43"/>
      <c r="T186" s="43"/>
    </row>
    <row r="187" spans="1:20" s="40" customFormat="1" ht="20" customHeight="1">
      <c r="A187" s="198"/>
      <c r="B187" s="4" t="s">
        <v>186</v>
      </c>
      <c r="C187" s="5">
        <f>(หลังริม!C187*2)+(หลังกลาง!C187*4)</f>
        <v>666</v>
      </c>
      <c r="D187" s="6" t="s">
        <v>32</v>
      </c>
      <c r="E187" s="11">
        <v>60</v>
      </c>
      <c r="F187" s="5">
        <f t="shared" ref="F187:F199" si="60">E187*C187</f>
        <v>39960</v>
      </c>
      <c r="G187" s="5">
        <v>25</v>
      </c>
      <c r="H187" s="5">
        <f t="shared" ref="H187:H199" si="61">G187*C187</f>
        <v>16650</v>
      </c>
      <c r="I187" s="7">
        <f t="shared" ref="I187:I199" si="62">H187+F187</f>
        <v>56610</v>
      </c>
      <c r="J187" s="4"/>
      <c r="K187" s="43"/>
      <c r="L187" s="43"/>
      <c r="M187" s="43"/>
      <c r="N187" s="43"/>
      <c r="O187" s="43"/>
      <c r="P187" s="43"/>
      <c r="Q187" s="43"/>
      <c r="R187" s="43"/>
      <c r="S187" s="43"/>
      <c r="T187" s="43"/>
    </row>
    <row r="188" spans="1:20" s="40" customFormat="1" ht="20" customHeight="1">
      <c r="A188" s="198"/>
      <c r="B188" s="4" t="s">
        <v>187</v>
      </c>
      <c r="C188" s="5">
        <f>(หลังริม!C188*2)+(หลังกลาง!C188*4)</f>
        <v>277.68</v>
      </c>
      <c r="D188" s="6" t="s">
        <v>32</v>
      </c>
      <c r="E188" s="11">
        <v>45</v>
      </c>
      <c r="F188" s="5">
        <f t="shared" si="60"/>
        <v>12495.6</v>
      </c>
      <c r="G188" s="5">
        <v>25</v>
      </c>
      <c r="H188" s="5">
        <f t="shared" si="61"/>
        <v>6942</v>
      </c>
      <c r="I188" s="7">
        <f t="shared" si="62"/>
        <v>19437.599999999999</v>
      </c>
      <c r="J188" s="4"/>
      <c r="K188" s="43"/>
      <c r="L188" s="43"/>
      <c r="M188" s="43"/>
      <c r="N188" s="43"/>
      <c r="O188" s="43"/>
      <c r="P188" s="43"/>
      <c r="Q188" s="43"/>
      <c r="R188" s="43"/>
      <c r="S188" s="43"/>
      <c r="T188" s="43"/>
    </row>
    <row r="189" spans="1:20" s="40" customFormat="1" ht="20" customHeight="1">
      <c r="A189" s="198"/>
      <c r="B189" s="4" t="s">
        <v>188</v>
      </c>
      <c r="C189" s="5">
        <f>(หลังริม!C189*2)+(หลังกลาง!C189*4)</f>
        <v>45</v>
      </c>
      <c r="D189" s="6" t="s">
        <v>32</v>
      </c>
      <c r="E189" s="11">
        <v>45</v>
      </c>
      <c r="F189" s="5">
        <f t="shared" si="60"/>
        <v>2025</v>
      </c>
      <c r="G189" s="5">
        <v>25</v>
      </c>
      <c r="H189" s="5">
        <f t="shared" si="61"/>
        <v>1125</v>
      </c>
      <c r="I189" s="7">
        <f t="shared" si="62"/>
        <v>3150</v>
      </c>
      <c r="J189" s="4"/>
      <c r="K189" s="43"/>
      <c r="L189" s="43"/>
      <c r="M189" s="43"/>
      <c r="N189" s="43"/>
      <c r="O189" s="43"/>
      <c r="P189" s="43"/>
      <c r="Q189" s="43"/>
      <c r="R189" s="43"/>
      <c r="S189" s="43"/>
      <c r="T189" s="43"/>
    </row>
    <row r="190" spans="1:20" s="40" customFormat="1" ht="20" customHeight="1">
      <c r="A190" s="198"/>
      <c r="B190" s="4" t="s">
        <v>249</v>
      </c>
      <c r="C190" s="5">
        <f>(หลังริม!C190*2)+(หลังกลาง!C190*4)</f>
        <v>162</v>
      </c>
      <c r="D190" s="6" t="s">
        <v>32</v>
      </c>
      <c r="E190" s="11">
        <v>45</v>
      </c>
      <c r="F190" s="5">
        <f t="shared" si="60"/>
        <v>7290</v>
      </c>
      <c r="G190" s="5">
        <v>25</v>
      </c>
      <c r="H190" s="5">
        <f t="shared" si="61"/>
        <v>4050</v>
      </c>
      <c r="I190" s="7">
        <f t="shared" si="62"/>
        <v>11340</v>
      </c>
      <c r="J190" s="4"/>
      <c r="K190" s="43"/>
      <c r="L190" s="43"/>
      <c r="M190" s="43"/>
      <c r="N190" s="43"/>
      <c r="O190" s="43"/>
      <c r="P190" s="43"/>
      <c r="Q190" s="43"/>
      <c r="R190" s="43"/>
      <c r="S190" s="43"/>
      <c r="T190" s="43"/>
    </row>
    <row r="191" spans="1:20" s="40" customFormat="1" ht="20" customHeight="1">
      <c r="A191" s="198"/>
      <c r="B191" s="4" t="s">
        <v>250</v>
      </c>
      <c r="C191" s="5">
        <f>(หลังริม!C191*2)+(หลังกลาง!C191*4)</f>
        <v>153.72</v>
      </c>
      <c r="D191" s="6" t="s">
        <v>32</v>
      </c>
      <c r="E191" s="11">
        <v>45</v>
      </c>
      <c r="F191" s="5">
        <f t="shared" si="60"/>
        <v>6917.4</v>
      </c>
      <c r="G191" s="5">
        <v>25</v>
      </c>
      <c r="H191" s="5">
        <f t="shared" si="61"/>
        <v>3843</v>
      </c>
      <c r="I191" s="7">
        <f t="shared" si="62"/>
        <v>10760.4</v>
      </c>
      <c r="J191" s="4"/>
      <c r="K191" s="43"/>
      <c r="L191" s="43"/>
      <c r="M191" s="43"/>
      <c r="N191" s="43"/>
      <c r="O191" s="43"/>
      <c r="P191" s="43"/>
      <c r="Q191" s="43"/>
      <c r="R191" s="43"/>
      <c r="S191" s="43"/>
      <c r="T191" s="43"/>
    </row>
    <row r="192" spans="1:20" s="40" customFormat="1" ht="20" customHeight="1">
      <c r="A192" s="198"/>
      <c r="B192" s="4" t="s">
        <v>248</v>
      </c>
      <c r="C192" s="5">
        <f>(หลังริม!C192*2)+(หลังกลาง!C192*4)</f>
        <v>30</v>
      </c>
      <c r="D192" s="6" t="s">
        <v>32</v>
      </c>
      <c r="E192" s="11">
        <v>45</v>
      </c>
      <c r="F192" s="5">
        <f t="shared" si="60"/>
        <v>1350</v>
      </c>
      <c r="G192" s="5">
        <v>25</v>
      </c>
      <c r="H192" s="5">
        <f t="shared" si="61"/>
        <v>750</v>
      </c>
      <c r="I192" s="7">
        <f t="shared" si="62"/>
        <v>2100</v>
      </c>
      <c r="J192" s="4"/>
      <c r="K192" s="43"/>
      <c r="L192" s="43"/>
      <c r="M192" s="43"/>
      <c r="N192" s="43"/>
      <c r="O192" s="43"/>
      <c r="P192" s="43"/>
      <c r="Q192" s="43"/>
      <c r="R192" s="43"/>
      <c r="S192" s="43"/>
      <c r="T192" s="43"/>
    </row>
    <row r="193" spans="1:20" s="40" customFormat="1" ht="20" customHeight="1">
      <c r="A193" s="198"/>
      <c r="B193" s="78" t="s">
        <v>269</v>
      </c>
      <c r="C193" s="5">
        <f>(หลังริม!C193*2)+(หลังกลาง!C193*4)</f>
        <v>8.94</v>
      </c>
      <c r="D193" s="6" t="s">
        <v>32</v>
      </c>
      <c r="E193" s="5">
        <v>45</v>
      </c>
      <c r="F193" s="5">
        <f t="shared" si="60"/>
        <v>402.29999999999995</v>
      </c>
      <c r="G193" s="5">
        <v>25</v>
      </c>
      <c r="H193" s="5">
        <f t="shared" si="61"/>
        <v>223.5</v>
      </c>
      <c r="I193" s="7">
        <f t="shared" si="62"/>
        <v>625.79999999999995</v>
      </c>
      <c r="J193" s="4"/>
      <c r="K193" s="43"/>
      <c r="L193" s="43"/>
      <c r="M193" s="43"/>
      <c r="N193" s="43"/>
      <c r="O193" s="43"/>
      <c r="P193" s="43"/>
      <c r="Q193" s="43"/>
      <c r="R193" s="43"/>
      <c r="S193" s="43"/>
      <c r="T193" s="43"/>
    </row>
    <row r="194" spans="1:20" s="40" customFormat="1" ht="20" customHeight="1">
      <c r="A194" s="198"/>
      <c r="B194" s="78" t="s">
        <v>270</v>
      </c>
      <c r="C194" s="5">
        <f>(หลังริม!C194*2)+(หลังกลาง!C194*4)</f>
        <v>16</v>
      </c>
      <c r="D194" s="6" t="s">
        <v>32</v>
      </c>
      <c r="E194" s="5">
        <v>45</v>
      </c>
      <c r="F194" s="5">
        <f t="shared" si="60"/>
        <v>720</v>
      </c>
      <c r="G194" s="5">
        <v>25</v>
      </c>
      <c r="H194" s="5">
        <f t="shared" si="61"/>
        <v>400</v>
      </c>
      <c r="I194" s="7">
        <f t="shared" si="62"/>
        <v>1120</v>
      </c>
      <c r="J194" s="4"/>
      <c r="K194" s="43"/>
      <c r="L194" s="43"/>
      <c r="M194" s="43"/>
      <c r="N194" s="43"/>
      <c r="O194" s="43"/>
      <c r="P194" s="43"/>
      <c r="Q194" s="43"/>
      <c r="R194" s="43"/>
      <c r="S194" s="43"/>
      <c r="T194" s="43"/>
    </row>
    <row r="195" spans="1:20" s="40" customFormat="1" ht="20" customHeight="1">
      <c r="A195" s="198"/>
      <c r="B195" s="4" t="s">
        <v>251</v>
      </c>
      <c r="C195" s="5">
        <f>(หลังริม!C195*2)+(หลังกลาง!C195*4)</f>
        <v>30</v>
      </c>
      <c r="D195" s="6" t="s">
        <v>32</v>
      </c>
      <c r="E195" s="11">
        <v>45</v>
      </c>
      <c r="F195" s="5">
        <f t="shared" si="60"/>
        <v>1350</v>
      </c>
      <c r="G195" s="5">
        <v>25</v>
      </c>
      <c r="H195" s="5">
        <f t="shared" si="61"/>
        <v>750</v>
      </c>
      <c r="I195" s="7">
        <f t="shared" si="62"/>
        <v>2100</v>
      </c>
      <c r="J195" s="4"/>
      <c r="K195" s="43"/>
      <c r="L195" s="43"/>
      <c r="M195" s="43"/>
      <c r="N195" s="43"/>
      <c r="O195" s="43"/>
      <c r="P195" s="43"/>
      <c r="Q195" s="43"/>
      <c r="R195" s="43"/>
      <c r="S195" s="43"/>
      <c r="T195" s="43"/>
    </row>
    <row r="196" spans="1:20" s="40" customFormat="1" ht="20" customHeight="1">
      <c r="A196" s="198"/>
      <c r="B196" s="4" t="s">
        <v>252</v>
      </c>
      <c r="C196" s="5">
        <f>(หลังริม!C196*2)+(หลังกลาง!C196*4)</f>
        <v>37.44</v>
      </c>
      <c r="D196" s="6" t="s">
        <v>32</v>
      </c>
      <c r="E196" s="11">
        <v>45</v>
      </c>
      <c r="F196" s="5">
        <f t="shared" si="60"/>
        <v>1684.8</v>
      </c>
      <c r="G196" s="5">
        <v>25</v>
      </c>
      <c r="H196" s="5">
        <f t="shared" si="61"/>
        <v>936</v>
      </c>
      <c r="I196" s="7">
        <f t="shared" si="62"/>
        <v>2620.8000000000002</v>
      </c>
      <c r="J196" s="4"/>
      <c r="K196" s="43"/>
      <c r="L196" s="43"/>
      <c r="M196" s="43"/>
      <c r="N196" s="43"/>
      <c r="O196" s="43"/>
      <c r="P196" s="43"/>
      <c r="Q196" s="43"/>
      <c r="R196" s="43"/>
      <c r="S196" s="43"/>
      <c r="T196" s="43"/>
    </row>
    <row r="197" spans="1:20" s="40" customFormat="1" ht="20" customHeight="1">
      <c r="A197" s="198"/>
      <c r="B197" s="4" t="s">
        <v>253</v>
      </c>
      <c r="C197" s="5">
        <f>(หลังริม!C197*2)+(หลังกลาง!C197*4)</f>
        <v>6</v>
      </c>
      <c r="D197" s="6" t="s">
        <v>254</v>
      </c>
      <c r="E197" s="11">
        <v>0</v>
      </c>
      <c r="F197" s="5">
        <f t="shared" si="60"/>
        <v>0</v>
      </c>
      <c r="G197" s="5">
        <v>1500</v>
      </c>
      <c r="H197" s="5">
        <f t="shared" si="61"/>
        <v>9000</v>
      </c>
      <c r="I197" s="7">
        <f t="shared" si="62"/>
        <v>9000</v>
      </c>
      <c r="J197" s="4"/>
      <c r="K197" s="43"/>
      <c r="L197" s="43"/>
      <c r="M197" s="43"/>
      <c r="N197" s="43"/>
      <c r="O197" s="43"/>
      <c r="P197" s="43"/>
      <c r="Q197" s="43"/>
      <c r="R197" s="43"/>
      <c r="S197" s="43"/>
      <c r="T197" s="43"/>
    </row>
    <row r="198" spans="1:20" s="40" customFormat="1" ht="20" customHeight="1">
      <c r="A198" s="198"/>
      <c r="B198" s="4" t="s">
        <v>189</v>
      </c>
      <c r="C198" s="5">
        <f>(หลังริม!C198*2)+(หลังกลาง!C198*4)</f>
        <v>1095.68</v>
      </c>
      <c r="D198" s="6" t="s">
        <v>32</v>
      </c>
      <c r="E198" s="11">
        <v>15</v>
      </c>
      <c r="F198" s="5">
        <f t="shared" si="60"/>
        <v>16435.2</v>
      </c>
      <c r="G198" s="5">
        <v>20</v>
      </c>
      <c r="H198" s="5">
        <f t="shared" si="61"/>
        <v>21913.600000000002</v>
      </c>
      <c r="I198" s="7">
        <f t="shared" si="62"/>
        <v>38348.800000000003</v>
      </c>
      <c r="J198" s="4"/>
      <c r="K198" s="43"/>
      <c r="L198" s="43"/>
      <c r="M198" s="43"/>
      <c r="N198" s="43"/>
      <c r="O198" s="43"/>
      <c r="P198" s="43"/>
      <c r="Q198" s="43"/>
      <c r="R198" s="43"/>
      <c r="S198" s="43"/>
      <c r="T198" s="43"/>
    </row>
    <row r="199" spans="1:20" s="40" customFormat="1" ht="20" customHeight="1">
      <c r="A199" s="198"/>
      <c r="B199" s="4" t="s">
        <v>190</v>
      </c>
      <c r="C199" s="5">
        <f>(หลังริม!C199*2)+(หลังกลาง!C199*4)</f>
        <v>6</v>
      </c>
      <c r="D199" s="6" t="s">
        <v>136</v>
      </c>
      <c r="E199" s="11">
        <v>0</v>
      </c>
      <c r="F199" s="5">
        <f t="shared" si="60"/>
        <v>0</v>
      </c>
      <c r="G199" s="5">
        <v>100</v>
      </c>
      <c r="H199" s="5">
        <f t="shared" si="61"/>
        <v>600</v>
      </c>
      <c r="I199" s="7">
        <f t="shared" si="62"/>
        <v>600</v>
      </c>
      <c r="J199" s="4"/>
      <c r="K199" s="43"/>
      <c r="L199" s="43"/>
      <c r="M199" s="43"/>
      <c r="N199" s="43"/>
      <c r="O199" s="43"/>
      <c r="P199" s="43"/>
      <c r="Q199" s="43"/>
      <c r="R199" s="43"/>
      <c r="S199" s="43"/>
      <c r="T199" s="43"/>
    </row>
    <row r="200" spans="1:20" s="50" customFormat="1" ht="20" customHeight="1">
      <c r="A200" s="12"/>
      <c r="B200" s="12" t="s">
        <v>220</v>
      </c>
      <c r="C200" s="5">
        <f>(หลังริม!C200*2)+(หลังกลาง!C200*4)</f>
        <v>0</v>
      </c>
      <c r="D200" s="12"/>
      <c r="E200" s="100"/>
      <c r="F200" s="14">
        <f>SUM(F186:F199)</f>
        <v>109009.5</v>
      </c>
      <c r="G200" s="14"/>
      <c r="H200" s="14">
        <f t="shared" ref="H200:I200" si="63">SUM(H186:H199)</f>
        <v>74841.100000000006</v>
      </c>
      <c r="I200" s="14">
        <f t="shared" si="63"/>
        <v>183850.59999999998</v>
      </c>
      <c r="J200" s="13"/>
      <c r="K200" s="151">
        <f>H200+F200</f>
        <v>183850.6</v>
      </c>
    </row>
    <row r="201" spans="1:20" s="40" customFormat="1" ht="20" customHeight="1">
      <c r="A201" s="198"/>
      <c r="B201" s="3" t="s">
        <v>229</v>
      </c>
      <c r="C201" s="5">
        <f>(หลังริม!C201*2)+(หลังกลาง!C201*4)</f>
        <v>0</v>
      </c>
      <c r="D201" s="6"/>
      <c r="E201" s="48"/>
      <c r="F201" s="4"/>
      <c r="G201" s="4"/>
      <c r="H201" s="4"/>
      <c r="I201" s="4"/>
      <c r="J201" s="4"/>
      <c r="K201" s="43"/>
      <c r="L201" s="43"/>
      <c r="M201" s="43"/>
      <c r="N201" s="43"/>
      <c r="O201" s="43"/>
      <c r="P201" s="43"/>
      <c r="Q201" s="43"/>
      <c r="R201" s="43"/>
      <c r="S201" s="43"/>
      <c r="T201" s="43"/>
    </row>
    <row r="202" spans="1:20" s="40" customFormat="1" ht="20" customHeight="1">
      <c r="A202" s="198"/>
      <c r="B202" s="4" t="s">
        <v>52</v>
      </c>
      <c r="C202" s="5">
        <f>(หลังริม!C202*2)+(หลังกลาง!C202*4)</f>
        <v>48</v>
      </c>
      <c r="D202" s="6" t="s">
        <v>53</v>
      </c>
      <c r="E202" s="11">
        <v>225</v>
      </c>
      <c r="F202" s="5">
        <f>E202*C202</f>
        <v>10800</v>
      </c>
      <c r="G202" s="20">
        <v>0</v>
      </c>
      <c r="H202" s="5">
        <f>G202*C202</f>
        <v>0</v>
      </c>
      <c r="I202" s="49">
        <f>H202+F202</f>
        <v>10800</v>
      </c>
      <c r="J202" s="4"/>
      <c r="K202" s="43"/>
      <c r="L202" s="43"/>
      <c r="M202" s="43"/>
      <c r="N202" s="43"/>
      <c r="O202" s="43"/>
      <c r="P202" s="43"/>
      <c r="Q202" s="43"/>
      <c r="R202" s="43"/>
      <c r="S202" s="43"/>
      <c r="T202" s="43"/>
    </row>
    <row r="203" spans="1:20" s="40" customFormat="1" ht="20" customHeight="1">
      <c r="A203" s="198"/>
      <c r="B203" s="4" t="s">
        <v>179</v>
      </c>
      <c r="C203" s="5">
        <f>(หลังริม!C203*2)+(หลังกลาง!C203*4)</f>
        <v>48</v>
      </c>
      <c r="D203" s="6" t="s">
        <v>141</v>
      </c>
      <c r="E203" s="11">
        <v>25</v>
      </c>
      <c r="F203" s="5">
        <f t="shared" ref="F203:F213" si="64">E203*C203</f>
        <v>1200</v>
      </c>
      <c r="G203" s="20">
        <v>0</v>
      </c>
      <c r="H203" s="5">
        <f t="shared" ref="H203:H213" si="65">G203*C203</f>
        <v>0</v>
      </c>
      <c r="I203" s="49">
        <f t="shared" ref="I203:I213" si="66">H203+F203</f>
        <v>1200</v>
      </c>
      <c r="J203" s="4"/>
      <c r="K203" s="43"/>
      <c r="L203" s="43"/>
      <c r="M203" s="43"/>
      <c r="N203" s="43"/>
      <c r="O203" s="43"/>
      <c r="P203" s="43"/>
      <c r="Q203" s="43"/>
      <c r="R203" s="43"/>
      <c r="S203" s="43"/>
      <c r="T203" s="43"/>
    </row>
    <row r="204" spans="1:20" s="40" customFormat="1" ht="20" customHeight="1">
      <c r="A204" s="198"/>
      <c r="B204" s="4" t="s">
        <v>180</v>
      </c>
      <c r="C204" s="5">
        <f>(หลังริม!C204*2)+(หลังกลาง!C204*4)</f>
        <v>12</v>
      </c>
      <c r="D204" s="6" t="s">
        <v>141</v>
      </c>
      <c r="E204" s="11">
        <v>99</v>
      </c>
      <c r="F204" s="5">
        <f t="shared" si="64"/>
        <v>1188</v>
      </c>
      <c r="G204" s="20">
        <v>0</v>
      </c>
      <c r="H204" s="5">
        <f t="shared" si="65"/>
        <v>0</v>
      </c>
      <c r="I204" s="49">
        <f t="shared" si="66"/>
        <v>1188</v>
      </c>
      <c r="J204" s="4"/>
      <c r="K204" s="43"/>
      <c r="L204" s="43"/>
      <c r="M204" s="43"/>
      <c r="N204" s="43"/>
      <c r="O204" s="43"/>
      <c r="P204" s="43"/>
      <c r="Q204" s="43"/>
      <c r="R204" s="43"/>
      <c r="S204" s="43"/>
      <c r="T204" s="43"/>
    </row>
    <row r="205" spans="1:20" s="40" customFormat="1" ht="20" customHeight="1">
      <c r="A205" s="198"/>
      <c r="B205" s="4" t="s">
        <v>181</v>
      </c>
      <c r="C205" s="5">
        <f>(หลังริม!C205*2)+(หลังกลาง!C205*4)</f>
        <v>12</v>
      </c>
      <c r="D205" s="6" t="s">
        <v>141</v>
      </c>
      <c r="E205" s="11">
        <v>99</v>
      </c>
      <c r="F205" s="5">
        <f t="shared" si="64"/>
        <v>1188</v>
      </c>
      <c r="G205" s="20">
        <v>0</v>
      </c>
      <c r="H205" s="5">
        <f t="shared" si="65"/>
        <v>0</v>
      </c>
      <c r="I205" s="49">
        <f t="shared" si="66"/>
        <v>1188</v>
      </c>
      <c r="J205" s="4"/>
      <c r="K205" s="43"/>
      <c r="L205" s="43"/>
      <c r="M205" s="43"/>
      <c r="N205" s="43"/>
      <c r="O205" s="43"/>
      <c r="P205" s="43"/>
      <c r="Q205" s="43"/>
      <c r="R205" s="43"/>
      <c r="S205" s="43"/>
      <c r="T205" s="43"/>
    </row>
    <row r="206" spans="1:20" s="40" customFormat="1" ht="20" customHeight="1">
      <c r="A206" s="198"/>
      <c r="B206" s="4" t="s">
        <v>182</v>
      </c>
      <c r="C206" s="5">
        <f>(หลังริม!C206*2)+(หลังกลาง!C206*4)</f>
        <v>1</v>
      </c>
      <c r="D206" s="6" t="s">
        <v>53</v>
      </c>
      <c r="E206" s="11">
        <v>335</v>
      </c>
      <c r="F206" s="5">
        <f t="shared" si="64"/>
        <v>335</v>
      </c>
      <c r="G206" s="20">
        <v>0</v>
      </c>
      <c r="H206" s="5">
        <f t="shared" si="65"/>
        <v>0</v>
      </c>
      <c r="I206" s="49">
        <f t="shared" si="66"/>
        <v>335</v>
      </c>
      <c r="J206" s="4"/>
      <c r="K206" s="43"/>
      <c r="L206" s="43"/>
      <c r="M206" s="43"/>
      <c r="N206" s="43"/>
      <c r="O206" s="43"/>
      <c r="P206" s="43"/>
      <c r="Q206" s="43"/>
      <c r="R206" s="43"/>
      <c r="S206" s="43"/>
      <c r="T206" s="43"/>
    </row>
    <row r="207" spans="1:20" s="40" customFormat="1" ht="20" customHeight="1">
      <c r="A207" s="6"/>
      <c r="B207" s="4" t="s">
        <v>63</v>
      </c>
      <c r="C207" s="5">
        <f>(หลังริม!C207*2)+(หลังกลาง!C207*4)</f>
        <v>1</v>
      </c>
      <c r="D207" s="6" t="s">
        <v>64</v>
      </c>
      <c r="E207" s="11">
        <v>1240</v>
      </c>
      <c r="F207" s="5">
        <f t="shared" si="64"/>
        <v>1240</v>
      </c>
      <c r="G207" s="20">
        <v>0</v>
      </c>
      <c r="H207" s="5">
        <f t="shared" si="65"/>
        <v>0</v>
      </c>
      <c r="I207" s="49">
        <f t="shared" si="66"/>
        <v>1240</v>
      </c>
      <c r="J207" s="4"/>
      <c r="K207" s="43"/>
      <c r="L207" s="43"/>
      <c r="M207" s="43"/>
      <c r="N207" s="43"/>
      <c r="O207" s="43"/>
      <c r="P207" s="43"/>
      <c r="Q207" s="43"/>
      <c r="R207" s="43"/>
      <c r="S207" s="43"/>
      <c r="T207" s="43"/>
    </row>
    <row r="208" spans="1:20" s="40" customFormat="1" ht="20" customHeight="1">
      <c r="A208" s="198"/>
      <c r="B208" s="4" t="s">
        <v>65</v>
      </c>
      <c r="C208" s="5">
        <f>(หลังริม!C208*2)+(หลังกลาง!C208*4)</f>
        <v>2</v>
      </c>
      <c r="D208" s="6" t="s">
        <v>66</v>
      </c>
      <c r="E208" s="11">
        <v>1089</v>
      </c>
      <c r="F208" s="5">
        <f t="shared" si="64"/>
        <v>2178</v>
      </c>
      <c r="G208" s="20">
        <v>0</v>
      </c>
      <c r="H208" s="5">
        <f t="shared" si="65"/>
        <v>0</v>
      </c>
      <c r="I208" s="49">
        <f t="shared" si="66"/>
        <v>2178</v>
      </c>
      <c r="J208" s="4"/>
      <c r="K208" s="43"/>
      <c r="L208" s="43"/>
      <c r="M208" s="43"/>
      <c r="N208" s="43"/>
      <c r="O208" s="43"/>
      <c r="P208" s="43"/>
      <c r="Q208" s="43"/>
      <c r="R208" s="43"/>
      <c r="S208" s="43"/>
      <c r="T208" s="43"/>
    </row>
    <row r="209" spans="1:20" s="40" customFormat="1" ht="20" customHeight="1">
      <c r="A209" s="198"/>
      <c r="B209" s="4" t="s">
        <v>68</v>
      </c>
      <c r="C209" s="5">
        <f>(หลังริม!C209*2)+(หลังกลาง!C209*4)</f>
        <v>1.02</v>
      </c>
      <c r="D209" s="6" t="s">
        <v>64</v>
      </c>
      <c r="E209" s="11">
        <v>1595</v>
      </c>
      <c r="F209" s="5">
        <f t="shared" si="64"/>
        <v>1626.9</v>
      </c>
      <c r="G209" s="20">
        <v>0</v>
      </c>
      <c r="H209" s="5">
        <f t="shared" si="65"/>
        <v>0</v>
      </c>
      <c r="I209" s="49">
        <f t="shared" si="66"/>
        <v>1626.9</v>
      </c>
      <c r="J209" s="4"/>
      <c r="K209" s="43"/>
      <c r="L209" s="43"/>
      <c r="M209" s="43"/>
      <c r="N209" s="43"/>
      <c r="O209" s="43"/>
      <c r="P209" s="43"/>
      <c r="Q209" s="43"/>
      <c r="R209" s="43"/>
      <c r="S209" s="43"/>
      <c r="T209" s="43"/>
    </row>
    <row r="210" spans="1:20" s="40" customFormat="1" ht="20" customHeight="1">
      <c r="A210" s="198"/>
      <c r="B210" s="4" t="s">
        <v>67</v>
      </c>
      <c r="C210" s="5">
        <f>(หลังริม!C210*2)+(หลังกลาง!C210*4)</f>
        <v>4</v>
      </c>
      <c r="D210" s="6" t="s">
        <v>66</v>
      </c>
      <c r="E210" s="11">
        <v>389</v>
      </c>
      <c r="F210" s="5">
        <f t="shared" si="64"/>
        <v>1556</v>
      </c>
      <c r="G210" s="20">
        <v>0</v>
      </c>
      <c r="H210" s="5">
        <f t="shared" si="65"/>
        <v>0</v>
      </c>
      <c r="I210" s="49">
        <f t="shared" si="66"/>
        <v>1556</v>
      </c>
      <c r="J210" s="4"/>
      <c r="K210" s="43"/>
      <c r="L210" s="43"/>
      <c r="M210" s="43"/>
      <c r="N210" s="43"/>
      <c r="O210" s="43"/>
      <c r="P210" s="43"/>
      <c r="Q210" s="43"/>
      <c r="R210" s="43"/>
      <c r="S210" s="43"/>
      <c r="T210" s="43"/>
    </row>
    <row r="211" spans="1:20" s="40" customFormat="1" ht="20" customHeight="1">
      <c r="A211" s="198"/>
      <c r="B211" s="4" t="s">
        <v>183</v>
      </c>
      <c r="C211" s="5">
        <f>(หลังริม!C211*2)+(หลังกลาง!C211*4)</f>
        <v>1.02</v>
      </c>
      <c r="D211" s="6" t="s">
        <v>125</v>
      </c>
      <c r="E211" s="11">
        <v>357</v>
      </c>
      <c r="F211" s="5">
        <f t="shared" si="64"/>
        <v>364.14</v>
      </c>
      <c r="G211" s="20">
        <v>0</v>
      </c>
      <c r="H211" s="5">
        <f t="shared" si="65"/>
        <v>0</v>
      </c>
      <c r="I211" s="49">
        <f t="shared" si="66"/>
        <v>364.14</v>
      </c>
      <c r="J211" s="4"/>
      <c r="K211" s="43"/>
      <c r="L211" s="43"/>
      <c r="M211" s="43"/>
      <c r="N211" s="43"/>
      <c r="O211" s="43"/>
      <c r="P211" s="43"/>
      <c r="Q211" s="43"/>
      <c r="R211" s="43"/>
      <c r="S211" s="43"/>
      <c r="T211" s="43"/>
    </row>
    <row r="212" spans="1:20" s="40" customFormat="1" ht="20" customHeight="1">
      <c r="A212" s="198"/>
      <c r="B212" s="4" t="s">
        <v>184</v>
      </c>
      <c r="C212" s="5">
        <f>(หลังริม!C212*2)+(หลังกลาง!C212*4)</f>
        <v>1.02</v>
      </c>
      <c r="D212" s="6" t="s">
        <v>125</v>
      </c>
      <c r="E212" s="11">
        <v>329</v>
      </c>
      <c r="F212" s="5">
        <f t="shared" si="64"/>
        <v>335.58</v>
      </c>
      <c r="G212" s="20">
        <v>0</v>
      </c>
      <c r="H212" s="5">
        <f t="shared" si="65"/>
        <v>0</v>
      </c>
      <c r="I212" s="49">
        <f t="shared" si="66"/>
        <v>335.58</v>
      </c>
      <c r="J212" s="4"/>
      <c r="K212" s="43"/>
      <c r="L212" s="43"/>
      <c r="M212" s="43"/>
      <c r="N212" s="43"/>
      <c r="O212" s="43"/>
      <c r="P212" s="43"/>
      <c r="Q212" s="43"/>
      <c r="R212" s="43"/>
      <c r="S212" s="43"/>
      <c r="T212" s="43"/>
    </row>
    <row r="213" spans="1:20" s="43" customFormat="1" ht="20" customHeight="1">
      <c r="A213" s="198"/>
      <c r="B213" s="4" t="s">
        <v>272</v>
      </c>
      <c r="C213" s="5">
        <f>(หลังริม!C213*2)+(หลังกลาง!C213*4)</f>
        <v>6</v>
      </c>
      <c r="D213" s="6" t="s">
        <v>264</v>
      </c>
      <c r="E213" s="5">
        <v>0</v>
      </c>
      <c r="F213" s="5">
        <f t="shared" si="64"/>
        <v>0</v>
      </c>
      <c r="G213" s="70">
        <v>1600</v>
      </c>
      <c r="H213" s="5">
        <f t="shared" si="65"/>
        <v>9600</v>
      </c>
      <c r="I213" s="49">
        <f t="shared" si="66"/>
        <v>9600</v>
      </c>
      <c r="J213" s="4"/>
      <c r="K213" s="73"/>
    </row>
    <row r="214" spans="1:20" s="50" customFormat="1" ht="20" customHeight="1">
      <c r="A214" s="12"/>
      <c r="B214" s="12" t="s">
        <v>230</v>
      </c>
      <c r="C214" s="5">
        <f>(หลังริม!C214*2)+(หลังกลาง!C214*4)</f>
        <v>0</v>
      </c>
      <c r="D214" s="12"/>
      <c r="E214" s="100"/>
      <c r="F214" s="14">
        <f>SUM(F202:F213)</f>
        <v>22011.620000000003</v>
      </c>
      <c r="G214" s="14"/>
      <c r="H214" s="14">
        <f t="shared" ref="H214:I214" si="67">SUM(H202:H213)</f>
        <v>9600</v>
      </c>
      <c r="I214" s="14">
        <f t="shared" si="67"/>
        <v>31611.620000000003</v>
      </c>
      <c r="J214" s="13"/>
      <c r="K214" s="151">
        <f>H214+F214</f>
        <v>31611.620000000003</v>
      </c>
    </row>
    <row r="215" spans="1:20" s="85" customFormat="1" ht="20" customHeight="1">
      <c r="A215" s="204">
        <v>2</v>
      </c>
      <c r="B215" s="81" t="s">
        <v>109</v>
      </c>
      <c r="C215" s="5">
        <f>(หลังริม!C215*2)+(หลังกลาง!C215*4)</f>
        <v>0</v>
      </c>
      <c r="D215" s="81" t="s">
        <v>11</v>
      </c>
      <c r="E215" s="82"/>
      <c r="F215" s="82">
        <f>F96+F100+F111+F115+F122+F137+F146+F166+F177+F184+F200+F214</f>
        <v>617579.74657206296</v>
      </c>
      <c r="G215" s="82"/>
      <c r="H215" s="82">
        <f t="shared" ref="H215:I215" si="68">H96+H100+H111+H115+H122+H137+H146+H166+H177+H184+H200+H214</f>
        <v>628975.1</v>
      </c>
      <c r="I215" s="82">
        <f t="shared" si="68"/>
        <v>1246554.8465720629</v>
      </c>
      <c r="J215" s="83"/>
      <c r="K215" s="151">
        <f>H215+F215</f>
        <v>1246554.8465720629</v>
      </c>
      <c r="L215" s="84"/>
      <c r="M215" s="84"/>
      <c r="N215" s="84"/>
      <c r="O215" s="84"/>
      <c r="P215" s="84"/>
      <c r="Q215" s="84"/>
      <c r="R215" s="84"/>
      <c r="S215" s="84"/>
      <c r="T215" s="84"/>
    </row>
    <row r="216" spans="1:20" s="159" customFormat="1" ht="20" customHeight="1" thickBot="1">
      <c r="A216" s="212"/>
      <c r="B216" s="87"/>
      <c r="C216" s="5">
        <f>(หลังริม!C216*2)+(หลังกลาง!C216*4)</f>
        <v>0</v>
      </c>
      <c r="D216" s="155"/>
      <c r="E216" s="156"/>
      <c r="F216" s="88"/>
      <c r="G216" s="156"/>
      <c r="H216" s="88"/>
      <c r="I216" s="153"/>
      <c r="J216" s="157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</row>
    <row r="217" spans="1:20" s="97" customFormat="1" ht="20" customHeight="1" thickTop="1">
      <c r="A217" s="206">
        <v>3</v>
      </c>
      <c r="B217" s="92" t="s">
        <v>191</v>
      </c>
      <c r="C217" s="5">
        <f>(หลังริม!C217*2)+(หลังกลาง!C217*4)</f>
        <v>0</v>
      </c>
      <c r="D217" s="190"/>
      <c r="E217" s="94"/>
      <c r="F217" s="93"/>
      <c r="G217" s="93"/>
      <c r="H217" s="93"/>
      <c r="I217" s="93"/>
      <c r="J217" s="93"/>
      <c r="K217" s="96"/>
      <c r="L217" s="96"/>
      <c r="M217" s="96"/>
      <c r="N217" s="96"/>
      <c r="O217" s="96"/>
      <c r="P217" s="96"/>
      <c r="Q217" s="96"/>
      <c r="R217" s="96"/>
      <c r="S217" s="96"/>
      <c r="T217" s="96"/>
    </row>
    <row r="218" spans="1:20" s="40" customFormat="1" ht="20" customHeight="1">
      <c r="A218" s="198"/>
      <c r="B218" s="3" t="s">
        <v>192</v>
      </c>
      <c r="C218" s="5">
        <f>(หลังริม!C218*2)+(หลังกลาง!C218*4)</f>
        <v>0</v>
      </c>
      <c r="D218" s="6"/>
      <c r="E218" s="48"/>
      <c r="F218" s="4"/>
      <c r="G218" s="4"/>
      <c r="H218" s="4"/>
      <c r="I218" s="4"/>
      <c r="J218" s="4"/>
      <c r="K218" s="43"/>
      <c r="L218" s="43"/>
      <c r="M218" s="43"/>
      <c r="N218" s="43"/>
      <c r="O218" s="43"/>
      <c r="P218" s="43"/>
      <c r="Q218" s="43"/>
      <c r="R218" s="43"/>
      <c r="S218" s="43"/>
      <c r="T218" s="43"/>
    </row>
    <row r="219" spans="1:20" s="40" customFormat="1" ht="20" customHeight="1">
      <c r="A219" s="198"/>
      <c r="B219" s="4" t="s">
        <v>207</v>
      </c>
      <c r="C219" s="5">
        <f>(หลังริม!C219*2)+(หลังกลาง!C219*4)</f>
        <v>90</v>
      </c>
      <c r="D219" s="6" t="s">
        <v>141</v>
      </c>
      <c r="E219" s="11">
        <v>31</v>
      </c>
      <c r="F219" s="5">
        <f>E219*C219</f>
        <v>2790</v>
      </c>
      <c r="G219" s="20">
        <v>0</v>
      </c>
      <c r="H219" s="5">
        <f t="shared" ref="H219:H223" si="69">G219*C219</f>
        <v>0</v>
      </c>
      <c r="I219" s="7">
        <f>H219+F219</f>
        <v>2790</v>
      </c>
      <c r="J219" s="4"/>
      <c r="K219" s="43"/>
      <c r="L219" s="43"/>
      <c r="M219" s="43"/>
      <c r="N219" s="43"/>
      <c r="O219" s="43"/>
      <c r="P219" s="43"/>
      <c r="Q219" s="43"/>
      <c r="R219" s="43"/>
      <c r="S219" s="43"/>
      <c r="T219" s="43"/>
    </row>
    <row r="220" spans="1:20" s="40" customFormat="1" ht="20" customHeight="1">
      <c r="A220" s="198"/>
      <c r="B220" s="4" t="s">
        <v>242</v>
      </c>
      <c r="C220" s="5">
        <f>(หลังริม!C220*2)+(หลังกลาง!C220*4)</f>
        <v>96</v>
      </c>
      <c r="D220" s="6" t="s">
        <v>141</v>
      </c>
      <c r="E220" s="11">
        <v>65</v>
      </c>
      <c r="F220" s="5">
        <f t="shared" ref="F220:F223" si="70">E220*C220</f>
        <v>6240</v>
      </c>
      <c r="G220" s="20">
        <v>0</v>
      </c>
      <c r="H220" s="5">
        <f t="shared" si="69"/>
        <v>0</v>
      </c>
      <c r="I220" s="7">
        <f t="shared" ref="I220:I223" si="71">H220+F220</f>
        <v>6240</v>
      </c>
      <c r="J220" s="4"/>
      <c r="K220" s="43"/>
      <c r="L220" s="43"/>
      <c r="M220" s="43"/>
      <c r="N220" s="43"/>
      <c r="O220" s="43"/>
      <c r="P220" s="43"/>
      <c r="Q220" s="43"/>
      <c r="R220" s="43"/>
      <c r="S220" s="43"/>
      <c r="T220" s="43"/>
    </row>
    <row r="221" spans="1:20" s="40" customFormat="1" ht="20" customHeight="1">
      <c r="A221" s="198"/>
      <c r="B221" s="4" t="s">
        <v>208</v>
      </c>
      <c r="C221" s="5">
        <f>(หลังริม!C221*2)+(หลังกลาง!C221*4)</f>
        <v>6</v>
      </c>
      <c r="D221" s="6" t="s">
        <v>141</v>
      </c>
      <c r="E221" s="11">
        <v>109</v>
      </c>
      <c r="F221" s="5">
        <f t="shared" si="70"/>
        <v>654</v>
      </c>
      <c r="G221" s="20">
        <v>0</v>
      </c>
      <c r="H221" s="5">
        <f t="shared" si="69"/>
        <v>0</v>
      </c>
      <c r="I221" s="7">
        <f t="shared" si="71"/>
        <v>654</v>
      </c>
      <c r="J221" s="4"/>
      <c r="K221" s="43"/>
      <c r="L221" s="43"/>
      <c r="M221" s="43"/>
      <c r="N221" s="43"/>
      <c r="O221" s="43"/>
      <c r="P221" s="43"/>
      <c r="Q221" s="43"/>
      <c r="R221" s="43"/>
      <c r="S221" s="43"/>
      <c r="T221" s="43"/>
    </row>
    <row r="222" spans="1:20" s="40" customFormat="1" ht="20" customHeight="1">
      <c r="A222" s="6"/>
      <c r="B222" s="4" t="s">
        <v>209</v>
      </c>
      <c r="C222" s="5">
        <f>(หลังริม!C222*2)+(หลังกลาง!C222*4)</f>
        <v>6</v>
      </c>
      <c r="D222" s="6" t="s">
        <v>141</v>
      </c>
      <c r="E222" s="11">
        <v>349</v>
      </c>
      <c r="F222" s="5">
        <f t="shared" si="70"/>
        <v>2094</v>
      </c>
      <c r="G222" s="20">
        <v>0</v>
      </c>
      <c r="H222" s="5">
        <f t="shared" si="69"/>
        <v>0</v>
      </c>
      <c r="I222" s="7">
        <f t="shared" si="71"/>
        <v>2094</v>
      </c>
      <c r="J222" s="4"/>
      <c r="K222" s="43"/>
      <c r="L222" s="43"/>
      <c r="M222" s="43"/>
      <c r="N222" s="43"/>
      <c r="O222" s="43"/>
      <c r="P222" s="43"/>
      <c r="Q222" s="43"/>
      <c r="R222" s="43"/>
      <c r="S222" s="43"/>
      <c r="T222" s="43"/>
    </row>
    <row r="223" spans="1:20" s="40" customFormat="1" ht="20" customHeight="1">
      <c r="A223" s="6"/>
      <c r="B223" s="4" t="s">
        <v>193</v>
      </c>
      <c r="C223" s="5">
        <f>(หลังริม!C223*2)+(หลังกลาง!C223*4)</f>
        <v>6</v>
      </c>
      <c r="D223" s="6" t="s">
        <v>141</v>
      </c>
      <c r="E223" s="11">
        <v>0</v>
      </c>
      <c r="F223" s="5">
        <f t="shared" si="70"/>
        <v>0</v>
      </c>
      <c r="G223" s="20">
        <v>0</v>
      </c>
      <c r="H223" s="5">
        <f t="shared" si="69"/>
        <v>0</v>
      </c>
      <c r="I223" s="7">
        <f t="shared" si="71"/>
        <v>0</v>
      </c>
      <c r="J223" s="4"/>
      <c r="K223" s="43"/>
      <c r="L223" s="43"/>
      <c r="M223" s="43"/>
      <c r="N223" s="43"/>
      <c r="O223" s="43"/>
      <c r="P223" s="43"/>
      <c r="Q223" s="43"/>
      <c r="R223" s="43"/>
      <c r="S223" s="43"/>
      <c r="T223" s="43"/>
    </row>
    <row r="224" spans="1:20" s="50" customFormat="1" ht="20" customHeight="1">
      <c r="A224" s="12"/>
      <c r="B224" s="12" t="s">
        <v>200</v>
      </c>
      <c r="C224" s="5">
        <f>(หลังริม!C224*2)+(หลังกลาง!C224*4)</f>
        <v>0</v>
      </c>
      <c r="D224" s="12"/>
      <c r="E224" s="100"/>
      <c r="F224" s="14">
        <f>SUM(F219:F223)</f>
        <v>11778</v>
      </c>
      <c r="G224" s="14"/>
      <c r="H224" s="14">
        <f t="shared" ref="H224:I224" si="72">SUM(H219:H223)</f>
        <v>0</v>
      </c>
      <c r="I224" s="14">
        <f t="shared" si="72"/>
        <v>11778</v>
      </c>
      <c r="J224" s="13"/>
      <c r="K224" s="151">
        <f>H224+F224</f>
        <v>11778</v>
      </c>
    </row>
    <row r="225" spans="1:20" s="40" customFormat="1" ht="20" customHeight="1">
      <c r="A225" s="198"/>
      <c r="B225" s="3" t="s">
        <v>201</v>
      </c>
      <c r="C225" s="5">
        <f>(หลังริม!C225*2)+(หลังกลาง!C225*4)</f>
        <v>0</v>
      </c>
      <c r="D225" s="6"/>
      <c r="E225" s="48"/>
      <c r="F225" s="4"/>
      <c r="G225" s="160"/>
      <c r="H225" s="150"/>
      <c r="I225" s="4"/>
      <c r="J225" s="4"/>
      <c r="K225" s="43"/>
      <c r="L225" s="43"/>
      <c r="M225" s="43"/>
      <c r="N225" s="43"/>
      <c r="O225" s="43"/>
      <c r="P225" s="43"/>
      <c r="Q225" s="43"/>
      <c r="R225" s="43"/>
      <c r="S225" s="43"/>
      <c r="T225" s="43"/>
    </row>
    <row r="226" spans="1:20" s="40" customFormat="1" ht="20" customHeight="1">
      <c r="A226" s="198"/>
      <c r="B226" s="4" t="s">
        <v>232</v>
      </c>
      <c r="C226" s="5">
        <f>(หลังริม!C226*2)+(หลังกลาง!C226*4)</f>
        <v>18</v>
      </c>
      <c r="D226" s="6" t="s">
        <v>141</v>
      </c>
      <c r="E226" s="5">
        <v>0</v>
      </c>
      <c r="F226" s="5">
        <f>E226*C226</f>
        <v>0</v>
      </c>
      <c r="G226" s="20">
        <v>0</v>
      </c>
      <c r="H226" s="5">
        <f>G226*C226</f>
        <v>0</v>
      </c>
      <c r="I226" s="7">
        <f>H226+F226</f>
        <v>0</v>
      </c>
      <c r="J226" s="4"/>
      <c r="K226" s="43"/>
      <c r="L226" s="43"/>
      <c r="M226" s="43"/>
      <c r="N226" s="43"/>
      <c r="O226" s="43"/>
      <c r="P226" s="43"/>
      <c r="Q226" s="43"/>
      <c r="R226" s="43"/>
      <c r="S226" s="43"/>
      <c r="T226" s="43"/>
    </row>
    <row r="227" spans="1:20" s="40" customFormat="1" ht="20" customHeight="1">
      <c r="A227" s="198"/>
      <c r="B227" s="4" t="s">
        <v>233</v>
      </c>
      <c r="C227" s="5">
        <f>(หลังริม!C227*2)+(หลังกลาง!C227*4)</f>
        <v>18</v>
      </c>
      <c r="D227" s="6" t="s">
        <v>141</v>
      </c>
      <c r="E227" s="5">
        <v>0</v>
      </c>
      <c r="F227" s="5">
        <f t="shared" ref="F227:F231" si="73">E227*C227</f>
        <v>0</v>
      </c>
      <c r="G227" s="20">
        <v>0</v>
      </c>
      <c r="H227" s="5">
        <f t="shared" ref="H227:H231" si="74">G227*C227</f>
        <v>0</v>
      </c>
      <c r="I227" s="7">
        <f t="shared" ref="I227:I231" si="75">H227+F227</f>
        <v>0</v>
      </c>
      <c r="J227" s="4"/>
      <c r="K227" s="43"/>
      <c r="L227" s="43"/>
      <c r="M227" s="43"/>
      <c r="N227" s="43"/>
      <c r="O227" s="43"/>
      <c r="P227" s="43"/>
      <c r="Q227" s="43"/>
      <c r="R227" s="43"/>
      <c r="S227" s="43"/>
      <c r="T227" s="43"/>
    </row>
    <row r="228" spans="1:20" s="40" customFormat="1" ht="20" customHeight="1">
      <c r="A228" s="198"/>
      <c r="B228" s="4" t="s">
        <v>234</v>
      </c>
      <c r="C228" s="5">
        <f>(หลังริม!C228*2)+(หลังกลาง!C228*4)</f>
        <v>12</v>
      </c>
      <c r="D228" s="6" t="s">
        <v>141</v>
      </c>
      <c r="E228" s="5">
        <v>0</v>
      </c>
      <c r="F228" s="5">
        <f t="shared" si="73"/>
        <v>0</v>
      </c>
      <c r="G228" s="20">
        <v>0</v>
      </c>
      <c r="H228" s="5">
        <f t="shared" si="74"/>
        <v>0</v>
      </c>
      <c r="I228" s="7">
        <f t="shared" si="75"/>
        <v>0</v>
      </c>
      <c r="J228" s="4"/>
      <c r="K228" s="43"/>
      <c r="L228" s="43"/>
      <c r="M228" s="43"/>
      <c r="N228" s="43"/>
      <c r="O228" s="43"/>
      <c r="P228" s="43"/>
      <c r="Q228" s="43"/>
      <c r="R228" s="43"/>
      <c r="S228" s="43"/>
      <c r="T228" s="43"/>
    </row>
    <row r="229" spans="1:20" s="40" customFormat="1" ht="20" customHeight="1">
      <c r="A229" s="6"/>
      <c r="B229" s="4" t="s">
        <v>194</v>
      </c>
      <c r="C229" s="5">
        <f>(หลังริม!C229*2)+(หลังกลาง!C229*4)</f>
        <v>66</v>
      </c>
      <c r="D229" s="6" t="s">
        <v>141</v>
      </c>
      <c r="E229" s="5">
        <v>0</v>
      </c>
      <c r="F229" s="5">
        <f t="shared" si="73"/>
        <v>0</v>
      </c>
      <c r="G229" s="20">
        <v>0</v>
      </c>
      <c r="H229" s="5">
        <f t="shared" si="74"/>
        <v>0</v>
      </c>
      <c r="I229" s="7">
        <f t="shared" si="75"/>
        <v>0</v>
      </c>
      <c r="J229" s="4"/>
      <c r="K229" s="43"/>
      <c r="L229" s="43"/>
      <c r="M229" s="43"/>
      <c r="N229" s="43"/>
      <c r="O229" s="43"/>
      <c r="P229" s="43"/>
      <c r="Q229" s="43"/>
      <c r="R229" s="43"/>
      <c r="S229" s="43"/>
      <c r="T229" s="43"/>
    </row>
    <row r="230" spans="1:20" s="40" customFormat="1" ht="20" customHeight="1">
      <c r="A230" s="6"/>
      <c r="B230" s="4" t="s">
        <v>195</v>
      </c>
      <c r="C230" s="5">
        <f>(หลังริม!C230*2)+(หลังกลาง!C230*4)</f>
        <v>18</v>
      </c>
      <c r="D230" s="6" t="s">
        <v>141</v>
      </c>
      <c r="E230" s="5">
        <v>0</v>
      </c>
      <c r="F230" s="5">
        <f t="shared" si="73"/>
        <v>0</v>
      </c>
      <c r="G230" s="20">
        <v>0</v>
      </c>
      <c r="H230" s="5">
        <f t="shared" si="74"/>
        <v>0</v>
      </c>
      <c r="I230" s="7">
        <f t="shared" si="75"/>
        <v>0</v>
      </c>
      <c r="J230" s="4"/>
      <c r="K230" s="43"/>
      <c r="L230" s="43"/>
      <c r="M230" s="43"/>
      <c r="N230" s="43"/>
      <c r="O230" s="43"/>
      <c r="P230" s="43"/>
      <c r="Q230" s="43"/>
      <c r="R230" s="43"/>
      <c r="S230" s="43"/>
      <c r="T230" s="43"/>
    </row>
    <row r="231" spans="1:20" s="40" customFormat="1" ht="20" customHeight="1">
      <c r="A231" s="6"/>
      <c r="B231" s="4" t="s">
        <v>196</v>
      </c>
      <c r="C231" s="5">
        <f>(หลังริม!C231*2)+(หลังกลาง!C231*4)</f>
        <v>6</v>
      </c>
      <c r="D231" s="6" t="s">
        <v>141</v>
      </c>
      <c r="E231" s="5">
        <v>0</v>
      </c>
      <c r="F231" s="5">
        <f t="shared" si="73"/>
        <v>0</v>
      </c>
      <c r="G231" s="20">
        <v>0</v>
      </c>
      <c r="H231" s="5">
        <f t="shared" si="74"/>
        <v>0</v>
      </c>
      <c r="I231" s="7">
        <f t="shared" si="75"/>
        <v>0</v>
      </c>
      <c r="J231" s="4"/>
      <c r="K231" s="43"/>
      <c r="L231" s="43"/>
      <c r="M231" s="43"/>
      <c r="N231" s="43"/>
      <c r="O231" s="43"/>
      <c r="P231" s="43"/>
      <c r="Q231" s="43"/>
      <c r="R231" s="43"/>
      <c r="S231" s="43"/>
      <c r="T231" s="43"/>
    </row>
    <row r="232" spans="1:20" s="50" customFormat="1" ht="20" customHeight="1">
      <c r="A232" s="12"/>
      <c r="B232" s="12" t="s">
        <v>202</v>
      </c>
      <c r="C232" s="5">
        <f>(หลังริม!C232*2)+(หลังกลาง!C232*4)</f>
        <v>0</v>
      </c>
      <c r="D232" s="12"/>
      <c r="E232" s="100"/>
      <c r="F232" s="14">
        <f>SUM(F226:F231)</f>
        <v>0</v>
      </c>
      <c r="G232" s="14"/>
      <c r="H232" s="14">
        <f t="shared" ref="H232:I232" si="76">SUM(H226:H231)</f>
        <v>0</v>
      </c>
      <c r="I232" s="14">
        <f t="shared" si="76"/>
        <v>0</v>
      </c>
      <c r="J232" s="13"/>
      <c r="K232" s="151">
        <f>H232+F232</f>
        <v>0</v>
      </c>
    </row>
    <row r="233" spans="1:20" s="40" customFormat="1" ht="20" customHeight="1">
      <c r="A233" s="198"/>
      <c r="B233" s="3" t="s">
        <v>203</v>
      </c>
      <c r="C233" s="5">
        <f>(หลังริม!C233*2)+(หลังกลาง!C233*4)</f>
        <v>0</v>
      </c>
      <c r="D233" s="6"/>
      <c r="E233" s="48"/>
      <c r="F233" s="4"/>
      <c r="G233" s="4"/>
      <c r="H233" s="4"/>
      <c r="I233" s="4"/>
      <c r="J233" s="4"/>
      <c r="K233" s="43"/>
      <c r="L233" s="43"/>
      <c r="M233" s="43"/>
      <c r="N233" s="43"/>
      <c r="O233" s="43"/>
      <c r="P233" s="43"/>
      <c r="Q233" s="43"/>
      <c r="R233" s="43"/>
      <c r="S233" s="43"/>
      <c r="T233" s="43"/>
    </row>
    <row r="234" spans="1:20" s="40" customFormat="1" ht="20" customHeight="1">
      <c r="A234" s="198"/>
      <c r="B234" s="4" t="s">
        <v>231</v>
      </c>
      <c r="C234" s="5">
        <f>(หลังริม!C234*2)+(หลังกลาง!C234*4)</f>
        <v>6</v>
      </c>
      <c r="D234" s="6" t="s">
        <v>136</v>
      </c>
      <c r="E234" s="5">
        <v>0</v>
      </c>
      <c r="F234" s="5">
        <f>E234*C234</f>
        <v>0</v>
      </c>
      <c r="G234" s="20">
        <v>0</v>
      </c>
      <c r="H234" s="5">
        <f t="shared" ref="H234" si="77">G234*C234</f>
        <v>0</v>
      </c>
      <c r="I234" s="7">
        <f t="shared" ref="I234" si="78">H234+F234</f>
        <v>0</v>
      </c>
      <c r="J234" s="4"/>
      <c r="K234" s="43"/>
      <c r="L234" s="43"/>
      <c r="M234" s="43"/>
      <c r="N234" s="43"/>
      <c r="O234" s="43"/>
      <c r="P234" s="43"/>
      <c r="Q234" s="43"/>
      <c r="R234" s="43"/>
      <c r="S234" s="43"/>
      <c r="T234" s="43"/>
    </row>
    <row r="235" spans="1:20" s="50" customFormat="1" ht="20" customHeight="1">
      <c r="A235" s="12"/>
      <c r="B235" s="12" t="s">
        <v>204</v>
      </c>
      <c r="C235" s="5">
        <f>(หลังริม!C235*2)+(หลังกลาง!C235*4)</f>
        <v>0</v>
      </c>
      <c r="D235" s="12"/>
      <c r="E235" s="100"/>
      <c r="F235" s="14">
        <f>SUM(F234)</f>
        <v>0</v>
      </c>
      <c r="G235" s="14"/>
      <c r="H235" s="14">
        <f t="shared" ref="H235:I235" si="79">SUM(H234)</f>
        <v>0</v>
      </c>
      <c r="I235" s="14">
        <f t="shared" si="79"/>
        <v>0</v>
      </c>
      <c r="J235" s="13"/>
      <c r="K235" s="151">
        <f>H235+F235</f>
        <v>0</v>
      </c>
    </row>
    <row r="236" spans="1:20" s="40" customFormat="1" ht="20" customHeight="1">
      <c r="A236" s="198"/>
      <c r="B236" s="3" t="s">
        <v>205</v>
      </c>
      <c r="C236" s="5">
        <f>(หลังริม!C236*2)+(หลังกลาง!C236*4)</f>
        <v>0</v>
      </c>
      <c r="D236" s="6"/>
      <c r="E236" s="48"/>
      <c r="F236" s="4"/>
      <c r="G236" s="150"/>
      <c r="H236" s="150"/>
      <c r="I236" s="161"/>
      <c r="J236" s="4"/>
      <c r="K236" s="43"/>
      <c r="L236" s="43"/>
      <c r="M236" s="43"/>
      <c r="N236" s="43"/>
      <c r="O236" s="43"/>
      <c r="P236" s="43"/>
      <c r="Q236" s="43"/>
      <c r="R236" s="43"/>
      <c r="S236" s="43"/>
      <c r="T236" s="43"/>
    </row>
    <row r="237" spans="1:20" s="40" customFormat="1" ht="20" customHeight="1">
      <c r="A237" s="198"/>
      <c r="B237" s="4" t="s">
        <v>197</v>
      </c>
      <c r="C237" s="5">
        <f>(หลังริม!C237*2)+(หลังกลาง!C237*4)</f>
        <v>6</v>
      </c>
      <c r="D237" s="6" t="s">
        <v>141</v>
      </c>
      <c r="E237" s="5">
        <v>0</v>
      </c>
      <c r="F237" s="5">
        <f>E237*C237</f>
        <v>0</v>
      </c>
      <c r="G237" s="20">
        <v>0</v>
      </c>
      <c r="H237" s="5">
        <f>G237*C237</f>
        <v>0</v>
      </c>
      <c r="I237" s="7">
        <f>H237+F237</f>
        <v>0</v>
      </c>
      <c r="J237" s="4"/>
      <c r="K237" s="43"/>
      <c r="L237" s="43"/>
      <c r="M237" s="43"/>
      <c r="N237" s="43"/>
      <c r="O237" s="43"/>
      <c r="P237" s="43"/>
      <c r="Q237" s="43"/>
      <c r="R237" s="43"/>
      <c r="S237" s="43"/>
      <c r="T237" s="43"/>
    </row>
    <row r="238" spans="1:20" s="40" customFormat="1" ht="20" customHeight="1">
      <c r="A238" s="198"/>
      <c r="B238" s="4" t="s">
        <v>198</v>
      </c>
      <c r="C238" s="5">
        <f>(หลังริม!C238*2)+(หลังกลาง!C238*4)</f>
        <v>6</v>
      </c>
      <c r="D238" s="6" t="s">
        <v>141</v>
      </c>
      <c r="E238" s="5">
        <v>0</v>
      </c>
      <c r="F238" s="5">
        <f t="shared" ref="F238:F239" si="80">E238*C238</f>
        <v>0</v>
      </c>
      <c r="G238" s="20">
        <v>0</v>
      </c>
      <c r="H238" s="5">
        <f t="shared" ref="H238:H239" si="81">G238*C238</f>
        <v>0</v>
      </c>
      <c r="I238" s="7">
        <f t="shared" ref="I238:I239" si="82">H238+F238</f>
        <v>0</v>
      </c>
      <c r="J238" s="4"/>
      <c r="K238" s="43"/>
      <c r="L238" s="43"/>
      <c r="M238" s="43"/>
      <c r="N238" s="43"/>
      <c r="O238" s="43"/>
      <c r="P238" s="43"/>
      <c r="Q238" s="43"/>
      <c r="R238" s="43"/>
      <c r="S238" s="43"/>
      <c r="T238" s="43"/>
    </row>
    <row r="239" spans="1:20" s="43" customFormat="1" ht="20" customHeight="1">
      <c r="A239" s="6"/>
      <c r="B239" s="15" t="s">
        <v>271</v>
      </c>
      <c r="C239" s="5">
        <f>(หลังริม!C239*2)+(หลังกลาง!C239*4)</f>
        <v>6</v>
      </c>
      <c r="D239" s="6" t="s">
        <v>264</v>
      </c>
      <c r="E239" s="5">
        <v>0</v>
      </c>
      <c r="F239" s="5">
        <f t="shared" si="80"/>
        <v>0</v>
      </c>
      <c r="G239" s="70">
        <v>29850</v>
      </c>
      <c r="H239" s="5">
        <f t="shared" si="81"/>
        <v>179100</v>
      </c>
      <c r="I239" s="7">
        <f t="shared" si="82"/>
        <v>179100</v>
      </c>
      <c r="J239" s="4"/>
      <c r="K239" s="73"/>
    </row>
    <row r="240" spans="1:20" s="50" customFormat="1" ht="20" customHeight="1">
      <c r="A240" s="12"/>
      <c r="B240" s="12" t="s">
        <v>206</v>
      </c>
      <c r="C240" s="5">
        <f>(หลังริม!C240*2)+(หลังกลาง!C240*4)</f>
        <v>0</v>
      </c>
      <c r="D240" s="12"/>
      <c r="E240" s="100"/>
      <c r="F240" s="14">
        <f>SUM(F237:F239)</f>
        <v>0</v>
      </c>
      <c r="G240" s="14"/>
      <c r="H240" s="14">
        <f t="shared" ref="H240:I240" si="83">SUM(H237:H239)</f>
        <v>179100</v>
      </c>
      <c r="I240" s="14">
        <f t="shared" si="83"/>
        <v>179100</v>
      </c>
      <c r="J240" s="13"/>
      <c r="K240" s="151">
        <f>H240+F240</f>
        <v>179100</v>
      </c>
    </row>
    <row r="241" spans="1:20" s="167" customFormat="1" ht="20" customHeight="1">
      <c r="A241" s="207">
        <v>3</v>
      </c>
      <c r="B241" s="102" t="s">
        <v>199</v>
      </c>
      <c r="C241" s="5">
        <f>(หลังริม!C241*2)+(หลังกลาง!C241*4)</f>
        <v>0</v>
      </c>
      <c r="D241" s="163" t="s">
        <v>11</v>
      </c>
      <c r="E241" s="164"/>
      <c r="F241" s="103">
        <f>F224+F232+F235+F240</f>
        <v>11778</v>
      </c>
      <c r="G241" s="103"/>
      <c r="H241" s="103">
        <f t="shared" ref="H241:I241" si="84">H224+H232+H235+H240</f>
        <v>179100</v>
      </c>
      <c r="I241" s="103">
        <f t="shared" si="84"/>
        <v>190878</v>
      </c>
      <c r="J241" s="165"/>
      <c r="K241" s="151">
        <f>H241+F241</f>
        <v>190878</v>
      </c>
      <c r="L241" s="166"/>
      <c r="M241" s="166"/>
      <c r="N241" s="166"/>
      <c r="O241" s="166"/>
      <c r="P241" s="166"/>
      <c r="Q241" s="166"/>
      <c r="R241" s="166"/>
      <c r="S241" s="166"/>
      <c r="T241" s="166"/>
    </row>
    <row r="242" spans="1:20" s="159" customFormat="1" ht="20" customHeight="1">
      <c r="A242" s="212"/>
      <c r="B242" s="87"/>
      <c r="C242" s="5">
        <f>(หลังริม!C242*2)+(หลังกลาง!C242*4)</f>
        <v>0</v>
      </c>
      <c r="D242" s="155"/>
      <c r="E242" s="156"/>
      <c r="F242" s="88"/>
      <c r="G242" s="156"/>
      <c r="H242" s="88"/>
      <c r="I242" s="153"/>
      <c r="J242" s="157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</row>
    <row r="243" spans="1:20" s="171" customFormat="1" ht="20" customHeight="1">
      <c r="A243" s="208">
        <v>4</v>
      </c>
      <c r="B243" s="107" t="s">
        <v>278</v>
      </c>
      <c r="C243" s="5">
        <f>(หลังริม!C243*2)+(หลังกลาง!C243*4)</f>
        <v>0</v>
      </c>
      <c r="D243" s="194"/>
      <c r="E243" s="169"/>
      <c r="F243" s="168"/>
      <c r="G243" s="168"/>
      <c r="H243" s="168"/>
      <c r="I243" s="168"/>
      <c r="J243" s="168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</row>
    <row r="244" spans="1:20" s="40" customFormat="1" ht="20" customHeight="1">
      <c r="A244" s="198"/>
      <c r="B244" s="4" t="s">
        <v>235</v>
      </c>
      <c r="C244" s="5">
        <f>(หลังริม!C244*2)+(หลังกลาง!C244*4)</f>
        <v>6</v>
      </c>
      <c r="D244" s="6" t="s">
        <v>53</v>
      </c>
      <c r="E244" s="11">
        <v>1105</v>
      </c>
      <c r="F244" s="5">
        <f>E244*C244</f>
        <v>6630</v>
      </c>
      <c r="G244" s="20">
        <v>0</v>
      </c>
      <c r="H244" s="5">
        <f t="shared" ref="H244:H265" si="85">G244*C244</f>
        <v>0</v>
      </c>
      <c r="I244" s="7">
        <f>H244+F244</f>
        <v>6630</v>
      </c>
      <c r="J244" s="24"/>
    </row>
    <row r="245" spans="1:20" s="40" customFormat="1" ht="20" customHeight="1">
      <c r="A245" s="6"/>
      <c r="B245" s="4" t="s">
        <v>236</v>
      </c>
      <c r="C245" s="5">
        <f>(หลังริม!C245*2)+(หลังกลาง!C245*4)</f>
        <v>11</v>
      </c>
      <c r="D245" s="6" t="s">
        <v>53</v>
      </c>
      <c r="E245" s="11">
        <v>810</v>
      </c>
      <c r="F245" s="5">
        <f t="shared" ref="F245:F265" si="86">E245*C245</f>
        <v>8910</v>
      </c>
      <c r="G245" s="20">
        <v>0</v>
      </c>
      <c r="H245" s="5">
        <f t="shared" si="85"/>
        <v>0</v>
      </c>
      <c r="I245" s="7">
        <f t="shared" ref="I245:I265" si="87">H245+F245</f>
        <v>8910</v>
      </c>
      <c r="J245" s="24"/>
    </row>
    <row r="246" spans="1:20" s="40" customFormat="1" ht="20" customHeight="1">
      <c r="A246" s="6"/>
      <c r="B246" s="4" t="s">
        <v>238</v>
      </c>
      <c r="C246" s="5">
        <f>(หลังริม!C246*2)+(หลังกลาง!C246*4)</f>
        <v>12</v>
      </c>
      <c r="D246" s="6" t="s">
        <v>53</v>
      </c>
      <c r="E246" s="11">
        <v>610</v>
      </c>
      <c r="F246" s="5">
        <f t="shared" si="86"/>
        <v>7320</v>
      </c>
      <c r="G246" s="20">
        <v>0</v>
      </c>
      <c r="H246" s="5">
        <f t="shared" si="85"/>
        <v>0</v>
      </c>
      <c r="I246" s="7">
        <f t="shared" si="87"/>
        <v>7320</v>
      </c>
      <c r="J246" s="24"/>
    </row>
    <row r="247" spans="1:20" s="40" customFormat="1" ht="20" customHeight="1">
      <c r="A247" s="6"/>
      <c r="B247" s="4" t="s">
        <v>237</v>
      </c>
      <c r="C247" s="5">
        <f>(หลังริม!C247*2)+(หลังกลาง!C247*4)</f>
        <v>36</v>
      </c>
      <c r="D247" s="6" t="s">
        <v>53</v>
      </c>
      <c r="E247" s="11">
        <v>395</v>
      </c>
      <c r="F247" s="5">
        <f t="shared" si="86"/>
        <v>14220</v>
      </c>
      <c r="G247" s="20">
        <v>0</v>
      </c>
      <c r="H247" s="5">
        <f t="shared" si="85"/>
        <v>0</v>
      </c>
      <c r="I247" s="7">
        <f t="shared" si="87"/>
        <v>14220</v>
      </c>
      <c r="J247" s="24"/>
    </row>
    <row r="248" spans="1:20" s="40" customFormat="1" ht="20" customHeight="1">
      <c r="A248" s="198"/>
      <c r="B248" s="4" t="s">
        <v>239</v>
      </c>
      <c r="C248" s="5">
        <f>(หลังริม!C248*2)+(หลังกลาง!C248*4)</f>
        <v>7</v>
      </c>
      <c r="D248" s="6" t="s">
        <v>60</v>
      </c>
      <c r="E248" s="11">
        <v>49</v>
      </c>
      <c r="F248" s="5">
        <f t="shared" si="86"/>
        <v>343</v>
      </c>
      <c r="G248" s="20">
        <v>0</v>
      </c>
      <c r="H248" s="5">
        <f t="shared" si="85"/>
        <v>0</v>
      </c>
      <c r="I248" s="7">
        <f t="shared" si="87"/>
        <v>343</v>
      </c>
      <c r="J248" s="24"/>
    </row>
    <row r="249" spans="1:20" s="40" customFormat="1" ht="20" customHeight="1">
      <c r="A249" s="198"/>
      <c r="B249" s="4" t="s">
        <v>240</v>
      </c>
      <c r="C249" s="5">
        <f>(หลังริม!C249*2)+(หลังกลาง!C249*4)</f>
        <v>7</v>
      </c>
      <c r="D249" s="6" t="s">
        <v>60</v>
      </c>
      <c r="E249" s="11">
        <v>39</v>
      </c>
      <c r="F249" s="5">
        <f t="shared" si="86"/>
        <v>273</v>
      </c>
      <c r="G249" s="20">
        <v>0</v>
      </c>
      <c r="H249" s="5">
        <f t="shared" si="85"/>
        <v>0</v>
      </c>
      <c r="I249" s="7">
        <f t="shared" si="87"/>
        <v>273</v>
      </c>
      <c r="J249" s="24"/>
    </row>
    <row r="250" spans="1:20" s="40" customFormat="1" ht="20" customHeight="1">
      <c r="A250" s="198"/>
      <c r="B250" s="4" t="s">
        <v>241</v>
      </c>
      <c r="C250" s="5">
        <f>(หลังริม!C250*2)+(หลังกลาง!C250*4)</f>
        <v>2</v>
      </c>
      <c r="D250" s="6" t="s">
        <v>53</v>
      </c>
      <c r="E250" s="11">
        <v>285</v>
      </c>
      <c r="F250" s="5">
        <f t="shared" si="86"/>
        <v>570</v>
      </c>
      <c r="G250" s="20">
        <v>0</v>
      </c>
      <c r="H250" s="5">
        <f t="shared" si="85"/>
        <v>0</v>
      </c>
      <c r="I250" s="7">
        <f t="shared" si="87"/>
        <v>570</v>
      </c>
      <c r="J250" s="24"/>
    </row>
    <row r="251" spans="1:20" s="40" customFormat="1" ht="20" customHeight="1">
      <c r="A251" s="198"/>
      <c r="B251" s="4" t="s">
        <v>222</v>
      </c>
      <c r="C251" s="5">
        <f>(หลังริม!C251*2)+(หลังกลาง!C251*4)</f>
        <v>13</v>
      </c>
      <c r="D251" s="6" t="s">
        <v>53</v>
      </c>
      <c r="E251" s="11">
        <v>250</v>
      </c>
      <c r="F251" s="5">
        <f t="shared" si="86"/>
        <v>3250</v>
      </c>
      <c r="G251" s="20">
        <v>0</v>
      </c>
      <c r="H251" s="5">
        <f t="shared" si="85"/>
        <v>0</v>
      </c>
      <c r="I251" s="7">
        <f t="shared" si="87"/>
        <v>3250</v>
      </c>
      <c r="J251" s="24"/>
    </row>
    <row r="252" spans="1:20" s="40" customFormat="1" ht="20" customHeight="1">
      <c r="A252" s="198"/>
      <c r="B252" s="4" t="s">
        <v>243</v>
      </c>
      <c r="C252" s="5">
        <f>(หลังริม!C252*2)+(หลังกลาง!C252*4)</f>
        <v>51</v>
      </c>
      <c r="D252" s="6" t="s">
        <v>123</v>
      </c>
      <c r="E252" s="11">
        <v>212</v>
      </c>
      <c r="F252" s="5">
        <f t="shared" si="86"/>
        <v>10812</v>
      </c>
      <c r="G252" s="20">
        <v>0</v>
      </c>
      <c r="H252" s="5">
        <f t="shared" si="85"/>
        <v>0</v>
      </c>
      <c r="I252" s="7">
        <f t="shared" si="87"/>
        <v>10812</v>
      </c>
      <c r="J252" s="24"/>
    </row>
    <row r="253" spans="1:20" s="40" customFormat="1" ht="20" customHeight="1">
      <c r="A253" s="198"/>
      <c r="B253" s="4" t="s">
        <v>244</v>
      </c>
      <c r="C253" s="5">
        <f>(หลังริม!C253*2)+(หลังกลาง!C253*4)</f>
        <v>200</v>
      </c>
      <c r="D253" s="6" t="s">
        <v>82</v>
      </c>
      <c r="E253" s="11">
        <v>2.7</v>
      </c>
      <c r="F253" s="5">
        <f t="shared" si="86"/>
        <v>540</v>
      </c>
      <c r="G253" s="20">
        <v>0</v>
      </c>
      <c r="H253" s="5">
        <f t="shared" si="85"/>
        <v>0</v>
      </c>
      <c r="I253" s="7">
        <f t="shared" si="87"/>
        <v>540</v>
      </c>
      <c r="J253" s="24"/>
    </row>
    <row r="254" spans="1:20" s="40" customFormat="1" ht="20" customHeight="1">
      <c r="A254" s="198"/>
      <c r="B254" s="4" t="s">
        <v>63</v>
      </c>
      <c r="C254" s="5">
        <f>(หลังริม!C254*2)+(หลังกลาง!C254*4)</f>
        <v>1</v>
      </c>
      <c r="D254" s="6" t="s">
        <v>64</v>
      </c>
      <c r="E254" s="11">
        <v>1500</v>
      </c>
      <c r="F254" s="5">
        <f t="shared" si="86"/>
        <v>1500</v>
      </c>
      <c r="G254" s="20">
        <v>0</v>
      </c>
      <c r="H254" s="5">
        <f t="shared" si="85"/>
        <v>0</v>
      </c>
      <c r="I254" s="7">
        <f t="shared" si="87"/>
        <v>1500</v>
      </c>
      <c r="J254" s="4"/>
    </row>
    <row r="255" spans="1:20" s="40" customFormat="1" ht="20" customHeight="1">
      <c r="A255" s="198"/>
      <c r="B255" s="4" t="s">
        <v>65</v>
      </c>
      <c r="C255" s="5">
        <f>(หลังริม!C255*2)+(หลังกลาง!C255*4)</f>
        <v>3</v>
      </c>
      <c r="D255" s="6" t="s">
        <v>66</v>
      </c>
      <c r="E255" s="11">
        <v>1189</v>
      </c>
      <c r="F255" s="5">
        <f t="shared" si="86"/>
        <v>3567</v>
      </c>
      <c r="G255" s="20">
        <v>0</v>
      </c>
      <c r="H255" s="5">
        <f t="shared" si="85"/>
        <v>0</v>
      </c>
      <c r="I255" s="7">
        <f t="shared" si="87"/>
        <v>3567</v>
      </c>
      <c r="J255" s="4"/>
    </row>
    <row r="256" spans="1:20" s="40" customFormat="1" ht="20" customHeight="1">
      <c r="A256" s="198"/>
      <c r="B256" s="4" t="s">
        <v>67</v>
      </c>
      <c r="C256" s="5">
        <f>(หลังริม!C256*2)+(หลังกลาง!C256*4)</f>
        <v>1</v>
      </c>
      <c r="D256" s="6" t="s">
        <v>66</v>
      </c>
      <c r="E256" s="11">
        <v>499</v>
      </c>
      <c r="F256" s="5">
        <f t="shared" si="86"/>
        <v>499</v>
      </c>
      <c r="G256" s="20">
        <v>0</v>
      </c>
      <c r="H256" s="5">
        <f t="shared" si="85"/>
        <v>0</v>
      </c>
      <c r="I256" s="7">
        <f t="shared" si="87"/>
        <v>499</v>
      </c>
      <c r="J256" s="4"/>
    </row>
    <row r="257" spans="1:20" s="40" customFormat="1" ht="20" customHeight="1">
      <c r="A257" s="198"/>
      <c r="B257" s="4" t="s">
        <v>68</v>
      </c>
      <c r="C257" s="5">
        <f>(หลังริม!C257*2)+(หลังกลาง!C257*4)</f>
        <v>6</v>
      </c>
      <c r="D257" s="6" t="s">
        <v>69</v>
      </c>
      <c r="E257" s="11">
        <v>98</v>
      </c>
      <c r="F257" s="5">
        <f t="shared" si="86"/>
        <v>588</v>
      </c>
      <c r="G257" s="20">
        <v>0</v>
      </c>
      <c r="H257" s="5">
        <f t="shared" si="85"/>
        <v>0</v>
      </c>
      <c r="I257" s="7">
        <f t="shared" si="87"/>
        <v>588</v>
      </c>
      <c r="J257" s="4"/>
    </row>
    <row r="258" spans="1:20" s="119" customFormat="1" ht="20" customHeight="1">
      <c r="A258" s="209"/>
      <c r="B258" s="114" t="s">
        <v>255</v>
      </c>
      <c r="C258" s="5">
        <f>(หลังริม!C258*2)+(หลังกลาง!C258*4)</f>
        <v>480</v>
      </c>
      <c r="D258" s="31" t="s">
        <v>263</v>
      </c>
      <c r="E258" s="5">
        <v>0</v>
      </c>
      <c r="F258" s="5">
        <f t="shared" si="86"/>
        <v>0</v>
      </c>
      <c r="G258" s="116">
        <v>23.291666666666668</v>
      </c>
      <c r="H258" s="5">
        <f t="shared" si="85"/>
        <v>11180</v>
      </c>
      <c r="I258" s="7">
        <f t="shared" si="87"/>
        <v>11180</v>
      </c>
      <c r="J258" s="117"/>
    </row>
    <row r="259" spans="1:20" s="119" customFormat="1" ht="20" customHeight="1">
      <c r="A259" s="31"/>
      <c r="B259" s="120" t="s">
        <v>256</v>
      </c>
      <c r="C259" s="5">
        <f>(หลังริม!C259*2)+(หลังกลาง!C259*4)</f>
        <v>1500</v>
      </c>
      <c r="D259" s="34" t="s">
        <v>123</v>
      </c>
      <c r="E259" s="5">
        <v>0</v>
      </c>
      <c r="F259" s="5">
        <f t="shared" si="86"/>
        <v>0</v>
      </c>
      <c r="G259" s="121">
        <v>6.4533333333333331</v>
      </c>
      <c r="H259" s="5">
        <f t="shared" si="85"/>
        <v>9680</v>
      </c>
      <c r="I259" s="7">
        <f t="shared" si="87"/>
        <v>9680</v>
      </c>
      <c r="J259" s="117"/>
    </row>
    <row r="260" spans="1:20" s="119" customFormat="1" ht="20" customHeight="1">
      <c r="A260" s="31"/>
      <c r="B260" s="122" t="s">
        <v>257</v>
      </c>
      <c r="C260" s="5">
        <f>(หลังริม!C260*2)+(หลังกลาง!C260*4)</f>
        <v>210</v>
      </c>
      <c r="D260" s="31" t="s">
        <v>123</v>
      </c>
      <c r="E260" s="5">
        <v>0</v>
      </c>
      <c r="F260" s="5">
        <f t="shared" si="86"/>
        <v>0</v>
      </c>
      <c r="G260" s="121">
        <v>17.5</v>
      </c>
      <c r="H260" s="5">
        <f t="shared" si="85"/>
        <v>3675</v>
      </c>
      <c r="I260" s="7">
        <f t="shared" si="87"/>
        <v>3675</v>
      </c>
      <c r="J260" s="117"/>
    </row>
    <row r="261" spans="1:20" s="119" customFormat="1" ht="20" customHeight="1">
      <c r="A261" s="31"/>
      <c r="B261" s="114" t="s">
        <v>258</v>
      </c>
      <c r="C261" s="5">
        <f>(หลังริม!C261*2)+(หลังกลาง!C261*4)</f>
        <v>3000</v>
      </c>
      <c r="D261" s="31" t="s">
        <v>21</v>
      </c>
      <c r="E261" s="5">
        <v>0</v>
      </c>
      <c r="F261" s="5">
        <f t="shared" si="86"/>
        <v>0</v>
      </c>
      <c r="G261" s="116">
        <v>1.3333333333333333</v>
      </c>
      <c r="H261" s="5">
        <f t="shared" si="85"/>
        <v>4000</v>
      </c>
      <c r="I261" s="7">
        <f t="shared" si="87"/>
        <v>4000</v>
      </c>
      <c r="J261" s="117"/>
    </row>
    <row r="262" spans="1:20" s="119" customFormat="1" ht="20" customHeight="1">
      <c r="A262" s="209"/>
      <c r="B262" s="120" t="s">
        <v>259</v>
      </c>
      <c r="C262" s="5">
        <f>(หลังริม!C262*2)+(หลังกลาง!C262*4)</f>
        <v>210</v>
      </c>
      <c r="D262" s="34" t="s">
        <v>263</v>
      </c>
      <c r="E262" s="5">
        <v>0</v>
      </c>
      <c r="F262" s="5">
        <f t="shared" si="86"/>
        <v>0</v>
      </c>
      <c r="G262" s="125">
        <v>18.900000000000002</v>
      </c>
      <c r="H262" s="5">
        <f t="shared" si="85"/>
        <v>3969.0000000000005</v>
      </c>
      <c r="I262" s="7">
        <f t="shared" si="87"/>
        <v>3969.0000000000005</v>
      </c>
      <c r="J262" s="117"/>
    </row>
    <row r="263" spans="1:20" s="119" customFormat="1" ht="20" customHeight="1">
      <c r="A263" s="209"/>
      <c r="B263" s="122" t="s">
        <v>260</v>
      </c>
      <c r="C263" s="5">
        <f>(หลังริม!C263*2)+(หลังกลาง!C263*4)</f>
        <v>150</v>
      </c>
      <c r="D263" s="31" t="s">
        <v>263</v>
      </c>
      <c r="E263" s="5">
        <v>0</v>
      </c>
      <c r="F263" s="5">
        <f t="shared" si="86"/>
        <v>0</v>
      </c>
      <c r="G263" s="125">
        <v>18.900000000000002</v>
      </c>
      <c r="H263" s="5">
        <f t="shared" si="85"/>
        <v>2835.0000000000005</v>
      </c>
      <c r="I263" s="7">
        <f t="shared" si="87"/>
        <v>2835.0000000000005</v>
      </c>
      <c r="J263" s="117"/>
    </row>
    <row r="264" spans="1:20" s="119" customFormat="1" ht="20" customHeight="1">
      <c r="A264" s="209"/>
      <c r="B264" s="122" t="s">
        <v>261</v>
      </c>
      <c r="C264" s="5">
        <f>(หลังริม!C264*2)+(หลังกลาง!C264*4)</f>
        <v>1800</v>
      </c>
      <c r="D264" s="192" t="s">
        <v>264</v>
      </c>
      <c r="E264" s="5">
        <v>0</v>
      </c>
      <c r="F264" s="5">
        <f t="shared" si="86"/>
        <v>0</v>
      </c>
      <c r="G264" s="121">
        <v>1</v>
      </c>
      <c r="H264" s="5">
        <f t="shared" si="85"/>
        <v>1800</v>
      </c>
      <c r="I264" s="7">
        <f t="shared" si="87"/>
        <v>1800</v>
      </c>
      <c r="J264" s="117"/>
    </row>
    <row r="265" spans="1:20" s="119" customFormat="1" ht="20" customHeight="1">
      <c r="A265" s="209"/>
      <c r="B265" s="114" t="s">
        <v>262</v>
      </c>
      <c r="C265" s="5">
        <f>(หลังริม!C265*2)+(หลังกลาง!C265*4)</f>
        <v>330</v>
      </c>
      <c r="D265" s="34" t="s">
        <v>123</v>
      </c>
      <c r="E265" s="5">
        <v>0</v>
      </c>
      <c r="F265" s="5">
        <f t="shared" si="86"/>
        <v>0</v>
      </c>
      <c r="G265" s="116">
        <v>6.47</v>
      </c>
      <c r="H265" s="5">
        <f t="shared" si="85"/>
        <v>2135.1</v>
      </c>
      <c r="I265" s="7">
        <f t="shared" si="87"/>
        <v>2135.1</v>
      </c>
      <c r="J265" s="117"/>
    </row>
    <row r="266" spans="1:20" s="177" customFormat="1" ht="20" customHeight="1">
      <c r="A266" s="213">
        <v>4</v>
      </c>
      <c r="B266" s="173" t="s">
        <v>221</v>
      </c>
      <c r="C266" s="172"/>
      <c r="D266" s="173" t="s">
        <v>11</v>
      </c>
      <c r="E266" s="174"/>
      <c r="F266" s="174">
        <f>SUM(F244:F265)</f>
        <v>59022</v>
      </c>
      <c r="G266" s="174"/>
      <c r="H266" s="174">
        <f t="shared" ref="H266:I266" si="88">SUM(H244:H265)</f>
        <v>39274.1</v>
      </c>
      <c r="I266" s="174">
        <f t="shared" si="88"/>
        <v>98296.1</v>
      </c>
      <c r="J266" s="175"/>
      <c r="K266" s="151">
        <f>H266+F266</f>
        <v>98296.1</v>
      </c>
      <c r="L266" s="176"/>
      <c r="M266" s="176"/>
      <c r="N266" s="176"/>
      <c r="O266" s="176"/>
      <c r="P266" s="176"/>
      <c r="Q266" s="176"/>
      <c r="R266" s="176"/>
      <c r="S266" s="176"/>
      <c r="T266" s="176"/>
    </row>
    <row r="267" spans="1:20" s="40" customFormat="1" ht="20" customHeight="1">
      <c r="A267" s="195"/>
      <c r="D267" s="195"/>
      <c r="E267" s="132"/>
    </row>
    <row r="268" spans="1:20" s="40" customFormat="1" ht="20" customHeight="1">
      <c r="A268" s="185"/>
      <c r="B268" s="43"/>
      <c r="C268" s="43"/>
      <c r="D268" s="185"/>
      <c r="E268" s="44"/>
      <c r="F268" s="43"/>
      <c r="G268" s="43"/>
      <c r="H268" s="43"/>
      <c r="I268" s="43"/>
      <c r="J268" s="43"/>
      <c r="K268" s="43"/>
    </row>
    <row r="269" spans="1:20" s="40" customFormat="1" ht="20" customHeight="1">
      <c r="A269" s="193">
        <f t="shared" ref="A269:I269" si="89">A66</f>
        <v>1</v>
      </c>
      <c r="B269" s="143" t="str">
        <f t="shared" si="89"/>
        <v>รวมค่างานโครงสร้างวิศวกรรมทั้งหมด</v>
      </c>
      <c r="C269" s="143">
        <f t="shared" si="89"/>
        <v>0</v>
      </c>
      <c r="D269" s="193" t="str">
        <f t="shared" si="89"/>
        <v>รวม</v>
      </c>
      <c r="E269" s="143">
        <f t="shared" si="89"/>
        <v>0</v>
      </c>
      <c r="F269" s="143">
        <f t="shared" si="89"/>
        <v>665483.3423603964</v>
      </c>
      <c r="G269" s="143">
        <f t="shared" si="89"/>
        <v>0</v>
      </c>
      <c r="H269" s="143">
        <f t="shared" si="89"/>
        <v>286120.05</v>
      </c>
      <c r="I269" s="143">
        <f t="shared" si="89"/>
        <v>951603.39236039645</v>
      </c>
      <c r="J269" s="143"/>
      <c r="K269" s="43"/>
    </row>
    <row r="270" spans="1:20" s="40" customFormat="1" ht="20" customHeight="1">
      <c r="A270" s="193">
        <f t="shared" ref="A270:I270" si="90">A215</f>
        <v>2</v>
      </c>
      <c r="B270" s="143" t="str">
        <f t="shared" si="90"/>
        <v>รวมค่างานสถาปัตยกรรมทั้งหมด</v>
      </c>
      <c r="C270" s="143">
        <f t="shared" si="90"/>
        <v>0</v>
      </c>
      <c r="D270" s="193" t="str">
        <f t="shared" si="90"/>
        <v>รวม</v>
      </c>
      <c r="E270" s="143">
        <f t="shared" si="90"/>
        <v>0</v>
      </c>
      <c r="F270" s="143">
        <f t="shared" si="90"/>
        <v>617579.74657206296</v>
      </c>
      <c r="G270" s="143">
        <f t="shared" si="90"/>
        <v>0</v>
      </c>
      <c r="H270" s="143">
        <f t="shared" si="90"/>
        <v>628975.1</v>
      </c>
      <c r="I270" s="143">
        <f t="shared" si="90"/>
        <v>1246554.8465720629</v>
      </c>
      <c r="J270" s="143"/>
      <c r="K270" s="43"/>
    </row>
    <row r="271" spans="1:20" s="40" customFormat="1" ht="20" customHeight="1">
      <c r="A271" s="193">
        <f t="shared" ref="A271:I271" si="91">A241</f>
        <v>3</v>
      </c>
      <c r="B271" s="143" t="str">
        <f t="shared" si="91"/>
        <v xml:space="preserve">รวมค่างานระบบไฟฟ้าและสื่อสารทั้งหมด </v>
      </c>
      <c r="C271" s="143">
        <f t="shared" si="91"/>
        <v>0</v>
      </c>
      <c r="D271" s="193" t="str">
        <f t="shared" si="91"/>
        <v>รวม</v>
      </c>
      <c r="E271" s="143">
        <f t="shared" si="91"/>
        <v>0</v>
      </c>
      <c r="F271" s="143">
        <f t="shared" si="91"/>
        <v>11778</v>
      </c>
      <c r="G271" s="143">
        <f t="shared" si="91"/>
        <v>0</v>
      </c>
      <c r="H271" s="143">
        <f t="shared" si="91"/>
        <v>179100</v>
      </c>
      <c r="I271" s="143">
        <f t="shared" si="91"/>
        <v>190878</v>
      </c>
      <c r="J271" s="143"/>
      <c r="K271" s="43"/>
    </row>
    <row r="272" spans="1:20" s="40" customFormat="1" ht="20" customHeight="1">
      <c r="A272" s="193">
        <f t="shared" ref="A272:I272" si="92">A266</f>
        <v>4</v>
      </c>
      <c r="B272" s="143" t="str">
        <f t="shared" si="92"/>
        <v xml:space="preserve">รวมค่างานต่อเติมหลังคาที่จอดรถหน้าทั้งหมด </v>
      </c>
      <c r="C272" s="143">
        <f t="shared" si="92"/>
        <v>0</v>
      </c>
      <c r="D272" s="193" t="str">
        <f t="shared" si="92"/>
        <v>รวม</v>
      </c>
      <c r="E272" s="143">
        <f t="shared" si="92"/>
        <v>0</v>
      </c>
      <c r="F272" s="143">
        <f t="shared" si="92"/>
        <v>59022</v>
      </c>
      <c r="G272" s="143">
        <f t="shared" si="92"/>
        <v>0</v>
      </c>
      <c r="H272" s="143">
        <f t="shared" si="92"/>
        <v>39274.1</v>
      </c>
      <c r="I272" s="143">
        <f t="shared" si="92"/>
        <v>98296.1</v>
      </c>
      <c r="J272" s="143"/>
      <c r="K272" s="43"/>
    </row>
    <row r="273" spans="1:11" s="179" customFormat="1" ht="20" customHeight="1">
      <c r="A273" s="232" t="s">
        <v>11</v>
      </c>
      <c r="B273" s="233"/>
      <c r="C273" s="234"/>
      <c r="D273" s="180"/>
      <c r="E273" s="181"/>
      <c r="F273" s="182">
        <f>SUM(F269:F272)</f>
        <v>1353863.0889324592</v>
      </c>
      <c r="G273" s="182"/>
      <c r="H273" s="182">
        <f t="shared" ref="H273" si="93">SUM(H269:H272)</f>
        <v>1133469.25</v>
      </c>
      <c r="I273" s="183">
        <f>SUM(I269:I272)</f>
        <v>2487332.3389324597</v>
      </c>
      <c r="J273" s="180"/>
      <c r="K273" s="178">
        <f>H273+F273</f>
        <v>2487332.3389324592</v>
      </c>
    </row>
  </sheetData>
  <mergeCells count="9">
    <mergeCell ref="A273:C273"/>
    <mergeCell ref="A1:J1"/>
    <mergeCell ref="A4:A5"/>
    <mergeCell ref="B4:B5"/>
    <mergeCell ref="C4:C5"/>
    <mergeCell ref="D4:D5"/>
    <mergeCell ref="E4:F4"/>
    <mergeCell ref="G4:H4"/>
    <mergeCell ref="J4:J5"/>
  </mergeCells>
  <pageMargins left="0.7" right="0.7" top="0.75" bottom="0.75" header="0.3" footer="0.3"/>
  <pageSetup paperSize="9" scale="5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EDE2-E3BF-4869-B7B8-6B6283D9A5E3}">
  <dimension ref="A1:T273"/>
  <sheetViews>
    <sheetView view="pageBreakPreview" topLeftCell="A234" zoomScale="60" zoomScaleNormal="100" workbookViewId="0">
      <selection activeCell="P270" sqref="P270"/>
    </sheetView>
  </sheetViews>
  <sheetFormatPr defaultRowHeight="14.25"/>
  <cols>
    <col min="1" max="1" width="6.59765625" customWidth="1"/>
    <col min="2" max="2" width="45.59765625" customWidth="1"/>
    <col min="3" max="4" width="8.59765625" customWidth="1"/>
    <col min="5" max="10" width="13.59765625" customWidth="1"/>
    <col min="11" max="11" width="11.33203125" customWidth="1"/>
  </cols>
  <sheetData>
    <row r="1" spans="1:11" ht="20" customHeight="1">
      <c r="A1" s="228" t="s">
        <v>285</v>
      </c>
      <c r="B1" s="228"/>
      <c r="C1" s="228"/>
      <c r="D1" s="228"/>
      <c r="E1" s="228"/>
      <c r="F1" s="228"/>
      <c r="G1" s="228"/>
      <c r="H1" s="228"/>
      <c r="I1" s="228"/>
      <c r="J1" s="228"/>
    </row>
    <row r="2" spans="1:11" ht="20" customHeight="1">
      <c r="A2" s="196"/>
      <c r="B2" s="41"/>
      <c r="C2" s="41"/>
      <c r="D2" s="184"/>
      <c r="E2" s="42"/>
      <c r="F2" s="41"/>
      <c r="G2" s="41"/>
      <c r="H2" s="41"/>
      <c r="I2" s="41"/>
      <c r="J2" s="41"/>
    </row>
    <row r="3" spans="1:11" ht="20" customHeight="1" thickBot="1">
      <c r="A3" s="185"/>
      <c r="B3" s="43"/>
      <c r="C3" s="43"/>
      <c r="D3" s="185"/>
      <c r="E3" s="44"/>
      <c r="F3" s="43"/>
      <c r="G3" s="43"/>
      <c r="H3" s="43"/>
      <c r="I3" s="43"/>
      <c r="J3" s="43"/>
    </row>
    <row r="4" spans="1:11" ht="20" customHeight="1" thickTop="1">
      <c r="A4" s="226" t="s">
        <v>0</v>
      </c>
      <c r="B4" s="226" t="s">
        <v>1</v>
      </c>
      <c r="C4" s="226" t="s">
        <v>2</v>
      </c>
      <c r="D4" s="226" t="s">
        <v>3</v>
      </c>
      <c r="E4" s="226" t="s">
        <v>4</v>
      </c>
      <c r="F4" s="226"/>
      <c r="G4" s="226" t="s">
        <v>5</v>
      </c>
      <c r="H4" s="226"/>
      <c r="I4" s="220" t="s">
        <v>6</v>
      </c>
      <c r="J4" s="226" t="s">
        <v>7</v>
      </c>
    </row>
    <row r="5" spans="1:11" ht="20" customHeight="1" thickBot="1">
      <c r="A5" s="227"/>
      <c r="B5" s="227"/>
      <c r="C5" s="227"/>
      <c r="D5" s="227"/>
      <c r="E5" s="221" t="s">
        <v>8</v>
      </c>
      <c r="F5" s="218" t="s">
        <v>9</v>
      </c>
      <c r="G5" s="218" t="s">
        <v>8</v>
      </c>
      <c r="H5" s="218" t="s">
        <v>9</v>
      </c>
      <c r="I5" s="222" t="s">
        <v>10</v>
      </c>
      <c r="J5" s="227"/>
    </row>
    <row r="6" spans="1:11" ht="20" customHeight="1" thickTop="1">
      <c r="A6" s="197">
        <v>1</v>
      </c>
      <c r="B6" s="1" t="s">
        <v>12</v>
      </c>
      <c r="C6" s="2"/>
      <c r="D6" s="186"/>
      <c r="E6" s="46"/>
      <c r="F6" s="2"/>
      <c r="G6" s="2"/>
      <c r="H6" s="2"/>
      <c r="I6" s="2"/>
      <c r="J6" s="2"/>
    </row>
    <row r="7" spans="1:11" ht="20" customHeight="1">
      <c r="A7" s="198"/>
      <c r="B7" s="3" t="s">
        <v>13</v>
      </c>
      <c r="C7" s="4"/>
      <c r="D7" s="6"/>
      <c r="E7" s="48"/>
      <c r="F7" s="4"/>
      <c r="G7" s="4"/>
      <c r="H7" s="4"/>
      <c r="I7" s="4"/>
      <c r="J7" s="4"/>
    </row>
    <row r="8" spans="1:11" ht="20" customHeight="1">
      <c r="A8" s="198"/>
      <c r="B8" s="4" t="s">
        <v>14</v>
      </c>
      <c r="C8" s="5">
        <f>(หลังริม!C8*2)+(หลังกลาง!C8*6)</f>
        <v>13.333333333333334</v>
      </c>
      <c r="D8" s="6" t="s">
        <v>15</v>
      </c>
      <c r="E8" s="11">
        <v>3500</v>
      </c>
      <c r="F8" s="5">
        <f>E8*C8</f>
        <v>46666.666666666672</v>
      </c>
      <c r="G8" s="5">
        <v>0</v>
      </c>
      <c r="H8" s="29">
        <f t="shared" ref="H8:H11" si="0">G8*E8</f>
        <v>0</v>
      </c>
      <c r="I8" s="49">
        <f t="shared" ref="I8:I11" si="1">H8+F8</f>
        <v>46666.666666666672</v>
      </c>
      <c r="J8" s="4"/>
    </row>
    <row r="9" spans="1:11" s="40" customFormat="1" ht="20" customHeight="1">
      <c r="A9" s="198"/>
      <c r="B9" s="4" t="s">
        <v>36</v>
      </c>
      <c r="C9" s="5">
        <f>(หลังริม!C9*2)+(หลังกลาง!C9*6)</f>
        <v>7.333333333333333</v>
      </c>
      <c r="D9" s="6" t="s">
        <v>16</v>
      </c>
      <c r="E9" s="11">
        <v>1500</v>
      </c>
      <c r="F9" s="5">
        <f t="shared" ref="F9:F11" si="2">E9*C9</f>
        <v>11000</v>
      </c>
      <c r="G9" s="5">
        <v>1</v>
      </c>
      <c r="H9" s="29">
        <f t="shared" si="0"/>
        <v>1500</v>
      </c>
      <c r="I9" s="49">
        <f t="shared" si="1"/>
        <v>12500</v>
      </c>
      <c r="J9" s="4"/>
    </row>
    <row r="10" spans="1:11" s="40" customFormat="1" ht="20" customHeight="1">
      <c r="A10" s="198"/>
      <c r="B10" s="4" t="s">
        <v>17</v>
      </c>
      <c r="C10" s="5">
        <f>(หลังริม!C10*2)+(หลังกลาง!C10*6)</f>
        <v>0</v>
      </c>
      <c r="D10" s="6" t="s">
        <v>16</v>
      </c>
      <c r="E10" s="11">
        <v>0</v>
      </c>
      <c r="F10" s="5">
        <f t="shared" si="2"/>
        <v>0</v>
      </c>
      <c r="G10" s="11">
        <v>2</v>
      </c>
      <c r="H10" s="29">
        <f t="shared" si="0"/>
        <v>0</v>
      </c>
      <c r="I10" s="49">
        <f t="shared" si="1"/>
        <v>0</v>
      </c>
      <c r="J10" s="4"/>
    </row>
    <row r="11" spans="1:11" s="40" customFormat="1" ht="20" customHeight="1">
      <c r="A11" s="198"/>
      <c r="B11" s="4" t="s">
        <v>18</v>
      </c>
      <c r="C11" s="5">
        <f>(หลังริม!C11*2)+(หลังกลาง!C11*6)</f>
        <v>53.333333333333336</v>
      </c>
      <c r="D11" s="6" t="s">
        <v>16</v>
      </c>
      <c r="E11" s="11">
        <v>100</v>
      </c>
      <c r="F11" s="5">
        <f t="shared" si="2"/>
        <v>5333.3333333333339</v>
      </c>
      <c r="G11" s="5">
        <v>3</v>
      </c>
      <c r="H11" s="29">
        <f t="shared" si="0"/>
        <v>300</v>
      </c>
      <c r="I11" s="49">
        <f t="shared" si="1"/>
        <v>5633.3333333333339</v>
      </c>
      <c r="J11" s="4"/>
    </row>
    <row r="12" spans="1:11" s="50" customFormat="1" ht="20" customHeight="1">
      <c r="A12" s="199"/>
      <c r="B12" s="12" t="s">
        <v>19</v>
      </c>
      <c r="C12" s="5">
        <f>(หลังริม!C12*2)+(หลังกลาง!C12*6)</f>
        <v>0</v>
      </c>
      <c r="D12" s="12"/>
      <c r="E12" s="100"/>
      <c r="F12" s="14">
        <f>SUM(F8:F11)</f>
        <v>63000.000000000007</v>
      </c>
      <c r="G12" s="14"/>
      <c r="H12" s="14">
        <f t="shared" ref="H12:I12" si="3">SUM(H8:H11)</f>
        <v>1800</v>
      </c>
      <c r="I12" s="14">
        <f t="shared" si="3"/>
        <v>64800.000000000007</v>
      </c>
      <c r="J12" s="13"/>
      <c r="K12" s="151">
        <f>H12+F12</f>
        <v>64800.000000000007</v>
      </c>
    </row>
    <row r="13" spans="1:11" s="40" customFormat="1" ht="20" customHeight="1">
      <c r="A13" s="198"/>
      <c r="B13" s="3" t="s">
        <v>20</v>
      </c>
      <c r="C13" s="5">
        <f>(หลังริม!C13*2)+(หลังกลาง!C13*6)</f>
        <v>0</v>
      </c>
      <c r="D13" s="6"/>
      <c r="E13" s="48"/>
      <c r="F13" s="4"/>
      <c r="G13" s="4"/>
      <c r="H13" s="4"/>
      <c r="I13" s="4"/>
      <c r="J13" s="4"/>
    </row>
    <row r="14" spans="1:11" s="40" customFormat="1" ht="20" customHeight="1">
      <c r="A14" s="198"/>
      <c r="B14" s="4" t="s">
        <v>110</v>
      </c>
      <c r="C14" s="5">
        <f>(หลังริม!C14*2)+(หลังกลาง!C14*6)</f>
        <v>70.666666666666671</v>
      </c>
      <c r="D14" s="6" t="s">
        <v>21</v>
      </c>
      <c r="E14" s="11">
        <v>2080</v>
      </c>
      <c r="F14" s="5">
        <f>E14*C14</f>
        <v>146986.66666666669</v>
      </c>
      <c r="G14" s="5">
        <v>750</v>
      </c>
      <c r="H14" s="5">
        <f>G14*C14</f>
        <v>53000</v>
      </c>
      <c r="I14" s="7">
        <f>H14+F14</f>
        <v>199986.66666666669</v>
      </c>
      <c r="J14" s="4"/>
    </row>
    <row r="15" spans="1:11" s="40" customFormat="1" ht="20" customHeight="1">
      <c r="A15" s="198"/>
      <c r="B15" s="4" t="s">
        <v>22</v>
      </c>
      <c r="C15" s="5">
        <f>(หลังริม!C15*2)+(หลังกลาง!C15*6)</f>
        <v>0</v>
      </c>
      <c r="D15" s="6" t="s">
        <v>21</v>
      </c>
      <c r="E15" s="11">
        <v>0</v>
      </c>
      <c r="F15" s="5">
        <f>E15*C15</f>
        <v>0</v>
      </c>
      <c r="G15" s="11">
        <v>0</v>
      </c>
      <c r="H15" s="5">
        <f>G15*C15</f>
        <v>0</v>
      </c>
      <c r="I15" s="7">
        <f>H15+F15</f>
        <v>0</v>
      </c>
      <c r="J15" s="4"/>
    </row>
    <row r="16" spans="1:11" s="50" customFormat="1" ht="20" customHeight="1">
      <c r="A16" s="199"/>
      <c r="B16" s="12" t="s">
        <v>23</v>
      </c>
      <c r="C16" s="5">
        <f>(หลังริม!C16*2)+(หลังกลาง!C16*6)</f>
        <v>0</v>
      </c>
      <c r="D16" s="12"/>
      <c r="E16" s="100"/>
      <c r="F16" s="14">
        <f>SUM(F14:F15)</f>
        <v>146986.66666666669</v>
      </c>
      <c r="G16" s="14"/>
      <c r="H16" s="14">
        <f t="shared" ref="H16:I16" si="4">SUM(H14:H15)</f>
        <v>53000</v>
      </c>
      <c r="I16" s="14">
        <f t="shared" si="4"/>
        <v>199986.66666666669</v>
      </c>
      <c r="J16" s="13"/>
      <c r="K16" s="151">
        <f>H16+F16</f>
        <v>199986.66666666669</v>
      </c>
    </row>
    <row r="17" spans="1:11" s="40" customFormat="1" ht="20" customHeight="1">
      <c r="A17" s="198"/>
      <c r="B17" s="3" t="s">
        <v>24</v>
      </c>
      <c r="C17" s="5">
        <f>(หลังริม!C17*2)+(หลังกลาง!C17*6)</f>
        <v>0</v>
      </c>
      <c r="D17" s="6"/>
      <c r="E17" s="48"/>
      <c r="F17" s="4"/>
      <c r="G17" s="4"/>
      <c r="H17" s="4"/>
      <c r="I17" s="4"/>
      <c r="J17" s="4"/>
    </row>
    <row r="18" spans="1:11" s="40" customFormat="1" ht="20" customHeight="1">
      <c r="A18" s="198"/>
      <c r="B18" s="4" t="s">
        <v>25</v>
      </c>
      <c r="C18" s="5">
        <f>(หลังริม!C18*2)+(หลังกลาง!C18*6)</f>
        <v>26.666666666666668</v>
      </c>
      <c r="D18" s="6" t="s">
        <v>60</v>
      </c>
      <c r="E18" s="11">
        <v>590</v>
      </c>
      <c r="F18" s="5">
        <f>E18*C18</f>
        <v>15733.333333333334</v>
      </c>
      <c r="G18" s="5">
        <v>0</v>
      </c>
      <c r="H18" s="29">
        <f>G18*E18</f>
        <v>0</v>
      </c>
      <c r="I18" s="49">
        <f>H18+F18</f>
        <v>15733.333333333334</v>
      </c>
      <c r="J18" s="4"/>
    </row>
    <row r="19" spans="1:11" s="40" customFormat="1" ht="20" customHeight="1">
      <c r="A19" s="198"/>
      <c r="B19" s="4" t="s">
        <v>27</v>
      </c>
      <c r="C19" s="5">
        <f>(หลังริม!C19*2)+(หลังกลาง!C19*6)</f>
        <v>0</v>
      </c>
      <c r="D19" s="6" t="s">
        <v>26</v>
      </c>
      <c r="E19" s="11">
        <v>0</v>
      </c>
      <c r="F19" s="5">
        <f t="shared" ref="F19:F22" si="5">E19*C19</f>
        <v>0</v>
      </c>
      <c r="G19" s="5">
        <v>0</v>
      </c>
      <c r="H19" s="29">
        <f t="shared" ref="H19:H22" si="6">G19*E19</f>
        <v>0</v>
      </c>
      <c r="I19" s="49">
        <f t="shared" ref="I19:I22" si="7">H19+F19</f>
        <v>0</v>
      </c>
      <c r="J19" s="4"/>
    </row>
    <row r="20" spans="1:11" s="40" customFormat="1" ht="20" customHeight="1">
      <c r="A20" s="6"/>
      <c r="B20" s="4" t="s">
        <v>28</v>
      </c>
      <c r="C20" s="5">
        <f>(หลังริม!C20*2)+(หลังกลาง!C20*6)</f>
        <v>266.66666666666669</v>
      </c>
      <c r="D20" s="6" t="s">
        <v>21</v>
      </c>
      <c r="E20" s="11">
        <v>25</v>
      </c>
      <c r="F20" s="5">
        <f t="shared" si="5"/>
        <v>6666.666666666667</v>
      </c>
      <c r="G20" s="5">
        <v>0</v>
      </c>
      <c r="H20" s="29">
        <f t="shared" si="6"/>
        <v>0</v>
      </c>
      <c r="I20" s="49">
        <f t="shared" si="7"/>
        <v>6666.666666666667</v>
      </c>
      <c r="J20" s="4"/>
    </row>
    <row r="21" spans="1:11" s="40" customFormat="1" ht="20" customHeight="1">
      <c r="A21" s="6"/>
      <c r="B21" s="4" t="s">
        <v>29</v>
      </c>
      <c r="C21" s="5">
        <f>(หลังริม!C21*2)+(หลังกลาง!C21*6)</f>
        <v>0</v>
      </c>
      <c r="D21" s="6" t="s">
        <v>30</v>
      </c>
      <c r="E21" s="11">
        <v>0</v>
      </c>
      <c r="F21" s="5">
        <f t="shared" si="5"/>
        <v>0</v>
      </c>
      <c r="G21" s="5">
        <v>0</v>
      </c>
      <c r="H21" s="29">
        <f t="shared" si="6"/>
        <v>0</v>
      </c>
      <c r="I21" s="49">
        <f t="shared" si="7"/>
        <v>0</v>
      </c>
      <c r="J21" s="4"/>
    </row>
    <row r="22" spans="1:11" s="40" customFormat="1" ht="20" customHeight="1">
      <c r="A22" s="198"/>
      <c r="B22" s="4" t="s">
        <v>31</v>
      </c>
      <c r="C22" s="5">
        <f>(หลังริม!C22*2)+(หลังกลาง!C22*6)</f>
        <v>0</v>
      </c>
      <c r="D22" s="6" t="s">
        <v>32</v>
      </c>
      <c r="E22" s="11">
        <v>0</v>
      </c>
      <c r="F22" s="5">
        <f t="shared" si="5"/>
        <v>0</v>
      </c>
      <c r="G22" s="5">
        <v>0</v>
      </c>
      <c r="H22" s="29">
        <f t="shared" si="6"/>
        <v>0</v>
      </c>
      <c r="I22" s="49">
        <f t="shared" si="7"/>
        <v>0</v>
      </c>
      <c r="J22" s="4"/>
    </row>
    <row r="23" spans="1:11" s="50" customFormat="1" ht="20" customHeight="1">
      <c r="A23" s="199"/>
      <c r="B23" s="12" t="s">
        <v>33</v>
      </c>
      <c r="C23" s="5">
        <f>(หลังริม!C23*2)+(หลังกลาง!C23*6)</f>
        <v>0</v>
      </c>
      <c r="D23" s="12"/>
      <c r="E23" s="100"/>
      <c r="F23" s="14">
        <f>SUM(F18:F22)</f>
        <v>22400</v>
      </c>
      <c r="G23" s="14"/>
      <c r="H23" s="14">
        <f t="shared" ref="H23:I23" si="8">SUM(H18:H22)</f>
        <v>0</v>
      </c>
      <c r="I23" s="14">
        <f t="shared" si="8"/>
        <v>22400</v>
      </c>
      <c r="J23" s="13"/>
      <c r="K23" s="151">
        <f>H23+F23</f>
        <v>22400</v>
      </c>
    </row>
    <row r="24" spans="1:11" s="40" customFormat="1" ht="20" customHeight="1">
      <c r="A24" s="198"/>
      <c r="B24" s="3" t="s">
        <v>34</v>
      </c>
      <c r="C24" s="5">
        <f>(หลังริม!C24*2)+(หลังกลาง!C24*6)</f>
        <v>0</v>
      </c>
      <c r="D24" s="6"/>
      <c r="E24" s="48"/>
      <c r="F24" s="4"/>
      <c r="G24" s="4"/>
      <c r="H24" s="4"/>
      <c r="I24" s="4"/>
      <c r="J24" s="4"/>
    </row>
    <row r="25" spans="1:11" s="40" customFormat="1" ht="20" customHeight="1">
      <c r="A25" s="198"/>
      <c r="B25" s="4" t="s">
        <v>35</v>
      </c>
      <c r="C25" s="5">
        <f>(หลังริม!C25*2)+(หลังกลาง!C25*6)</f>
        <v>20</v>
      </c>
      <c r="D25" s="6" t="s">
        <v>16</v>
      </c>
      <c r="E25" s="11">
        <v>1300</v>
      </c>
      <c r="F25" s="5">
        <f>E25*C25</f>
        <v>26000</v>
      </c>
      <c r="G25" s="5">
        <v>0</v>
      </c>
      <c r="H25" s="5">
        <f>G25*C25</f>
        <v>0</v>
      </c>
      <c r="I25" s="49">
        <f>H25+F25</f>
        <v>26000</v>
      </c>
      <c r="J25" s="4"/>
    </row>
    <row r="26" spans="1:11" s="40" customFormat="1" ht="20" customHeight="1">
      <c r="A26" s="198"/>
      <c r="B26" s="4" t="s">
        <v>36</v>
      </c>
      <c r="C26" s="5">
        <f>(หลังริม!C26*2)+(หลังกลาง!C26*6)</f>
        <v>73.333333333333329</v>
      </c>
      <c r="D26" s="6" t="s">
        <v>16</v>
      </c>
      <c r="E26" s="11">
        <v>1500</v>
      </c>
      <c r="F26" s="5">
        <f t="shared" ref="F26:F29" si="9">E26*C26</f>
        <v>110000</v>
      </c>
      <c r="G26" s="5">
        <v>0</v>
      </c>
      <c r="H26" s="5">
        <f t="shared" ref="H26:H29" si="10">G26*C26</f>
        <v>0</v>
      </c>
      <c r="I26" s="49">
        <f t="shared" ref="I26:I29" si="11">H26+F26</f>
        <v>110000</v>
      </c>
      <c r="J26" s="4"/>
    </row>
    <row r="27" spans="1:11" s="40" customFormat="1" ht="20" customHeight="1">
      <c r="A27" s="198"/>
      <c r="B27" s="4" t="s">
        <v>37</v>
      </c>
      <c r="C27" s="5">
        <f>(หลังริม!C27*2)+(หลังกลาง!C27*6)</f>
        <v>0</v>
      </c>
      <c r="D27" s="6" t="s">
        <v>16</v>
      </c>
      <c r="E27" s="11">
        <v>1600</v>
      </c>
      <c r="F27" s="5">
        <f t="shared" si="9"/>
        <v>0</v>
      </c>
      <c r="G27" s="5">
        <v>0</v>
      </c>
      <c r="H27" s="5">
        <f t="shared" si="10"/>
        <v>0</v>
      </c>
      <c r="I27" s="49">
        <f t="shared" si="11"/>
        <v>0</v>
      </c>
      <c r="J27" s="4"/>
    </row>
    <row r="28" spans="1:11" s="40" customFormat="1" ht="20" customHeight="1">
      <c r="A28" s="198"/>
      <c r="B28" s="4" t="s">
        <v>38</v>
      </c>
      <c r="C28" s="5">
        <f>(หลังริม!C28*2)+(หลังกลาง!C28*6)</f>
        <v>800</v>
      </c>
      <c r="D28" s="6" t="s">
        <v>32</v>
      </c>
      <c r="E28" s="11">
        <v>74.2</v>
      </c>
      <c r="F28" s="5">
        <f t="shared" si="9"/>
        <v>59360</v>
      </c>
      <c r="G28" s="5">
        <v>0</v>
      </c>
      <c r="H28" s="5">
        <f t="shared" si="10"/>
        <v>0</v>
      </c>
      <c r="I28" s="49">
        <f t="shared" si="11"/>
        <v>59360</v>
      </c>
      <c r="J28" s="4"/>
    </row>
    <row r="29" spans="1:11" s="40" customFormat="1" ht="20" customHeight="1">
      <c r="A29" s="198"/>
      <c r="B29" s="4" t="s">
        <v>286</v>
      </c>
      <c r="C29" s="5">
        <f>(หลังริม!C29*2)+(หลังกลาง!C29*6)</f>
        <v>800</v>
      </c>
      <c r="D29" s="6" t="s">
        <v>32</v>
      </c>
      <c r="E29" s="11">
        <v>0</v>
      </c>
      <c r="F29" s="5">
        <f t="shared" si="9"/>
        <v>0</v>
      </c>
      <c r="G29" s="223">
        <v>173.47</v>
      </c>
      <c r="H29" s="5">
        <f t="shared" si="10"/>
        <v>138776</v>
      </c>
      <c r="I29" s="49">
        <f t="shared" si="11"/>
        <v>138776</v>
      </c>
      <c r="J29" s="4"/>
    </row>
    <row r="30" spans="1:11" s="50" customFormat="1" ht="20" customHeight="1">
      <c r="A30" s="12"/>
      <c r="B30" s="12" t="s">
        <v>39</v>
      </c>
      <c r="C30" s="5">
        <f>(หลังริม!C30*2)+(หลังกลาง!C30*6)</f>
        <v>0</v>
      </c>
      <c r="D30" s="12"/>
      <c r="E30" s="100"/>
      <c r="F30" s="14">
        <f>SUM(F25:F29)</f>
        <v>195360</v>
      </c>
      <c r="G30" s="14"/>
      <c r="H30" s="14">
        <f t="shared" ref="H30:I30" si="12">SUM(H25:H29)</f>
        <v>138776</v>
      </c>
      <c r="I30" s="14">
        <f t="shared" si="12"/>
        <v>334136</v>
      </c>
      <c r="J30" s="13"/>
      <c r="K30" s="151">
        <f>H30+F30</f>
        <v>334136</v>
      </c>
    </row>
    <row r="31" spans="1:11" s="40" customFormat="1" ht="20" customHeight="1">
      <c r="A31" s="198"/>
      <c r="B31" s="3" t="s">
        <v>40</v>
      </c>
      <c r="C31" s="5">
        <f>(หลังริม!C31*2)+(หลังกลาง!C31*6)</f>
        <v>0</v>
      </c>
      <c r="D31" s="6"/>
      <c r="E31" s="48"/>
      <c r="F31" s="4"/>
      <c r="G31" s="8"/>
      <c r="H31" s="8"/>
      <c r="I31" s="8"/>
      <c r="J31" s="4"/>
    </row>
    <row r="32" spans="1:11" s="40" customFormat="1" ht="20" customHeight="1">
      <c r="A32" s="198"/>
      <c r="B32" s="4" t="s">
        <v>41</v>
      </c>
      <c r="C32" s="5">
        <f>(หลังริม!C32*2)+(หลังกลาง!C32*6)</f>
        <v>0.14800000000000002</v>
      </c>
      <c r="D32" s="6" t="s">
        <v>42</v>
      </c>
      <c r="E32" s="11">
        <v>64</v>
      </c>
      <c r="F32" s="5">
        <f>C32*1000/2.22*E32</f>
        <v>4266.666666666667</v>
      </c>
      <c r="G32" s="5">
        <v>0</v>
      </c>
      <c r="H32" s="5">
        <f>G32*C32</f>
        <v>0</v>
      </c>
      <c r="I32" s="49">
        <f>H32+F32</f>
        <v>4266.666666666667</v>
      </c>
      <c r="J32" s="4"/>
    </row>
    <row r="33" spans="1:11" s="40" customFormat="1" ht="20" customHeight="1">
      <c r="A33" s="198"/>
      <c r="B33" s="4" t="s">
        <v>43</v>
      </c>
      <c r="C33" s="5">
        <f>(หลังริม!C33*2)+(หลังกลาง!C33*6)</f>
        <v>0.43246666666666672</v>
      </c>
      <c r="D33" s="6" t="s">
        <v>42</v>
      </c>
      <c r="E33" s="11">
        <v>137</v>
      </c>
      <c r="F33" s="5">
        <f>C33*1000/4.99*E33</f>
        <v>11873.333333333334</v>
      </c>
      <c r="G33" s="5">
        <v>0</v>
      </c>
      <c r="H33" s="5">
        <f t="shared" ref="H33:H36" si="13">G33*C33</f>
        <v>0</v>
      </c>
      <c r="I33" s="49">
        <f t="shared" ref="I33:I36" si="14">H33+F33</f>
        <v>11873.333333333334</v>
      </c>
      <c r="J33" s="4"/>
    </row>
    <row r="34" spans="1:11" s="40" customFormat="1" ht="20" customHeight="1">
      <c r="A34" s="198"/>
      <c r="B34" s="4" t="s">
        <v>44</v>
      </c>
      <c r="C34" s="5">
        <f>(หลังริม!C34*2)+(หลังกลาง!C34*6)</f>
        <v>2.5456000000000003</v>
      </c>
      <c r="D34" s="6" t="s">
        <v>42</v>
      </c>
      <c r="E34" s="11">
        <v>240</v>
      </c>
      <c r="F34" s="5">
        <f>C34*1000/8.88*E34</f>
        <v>68800</v>
      </c>
      <c r="G34" s="5">
        <v>0</v>
      </c>
      <c r="H34" s="5">
        <f t="shared" si="13"/>
        <v>0</v>
      </c>
      <c r="I34" s="49">
        <f t="shared" si="14"/>
        <v>68800</v>
      </c>
      <c r="J34" s="4"/>
    </row>
    <row r="35" spans="1:11" s="40" customFormat="1" ht="20" customHeight="1">
      <c r="A35" s="198"/>
      <c r="B35" s="4" t="s">
        <v>45</v>
      </c>
      <c r="C35" s="5">
        <f>(หลังริม!C35*2)+(หลังกลาง!C35*6)</f>
        <v>0</v>
      </c>
      <c r="D35" s="6" t="s">
        <v>42</v>
      </c>
      <c r="E35" s="11">
        <v>425</v>
      </c>
      <c r="F35" s="5">
        <f>C35*1000/15.78*E35</f>
        <v>0</v>
      </c>
      <c r="G35" s="5">
        <v>0</v>
      </c>
      <c r="H35" s="5">
        <f t="shared" si="13"/>
        <v>0</v>
      </c>
      <c r="I35" s="49">
        <f t="shared" si="14"/>
        <v>0</v>
      </c>
      <c r="J35" s="4"/>
    </row>
    <row r="36" spans="1:11" s="40" customFormat="1" ht="20" customHeight="1">
      <c r="A36" s="198"/>
      <c r="B36" s="4" t="s">
        <v>46</v>
      </c>
      <c r="C36" s="5">
        <f>(หลังริม!C36*2)+(หลังกลาง!C36*6)</f>
        <v>0</v>
      </c>
      <c r="D36" s="6" t="s">
        <v>30</v>
      </c>
      <c r="E36" s="11">
        <v>0</v>
      </c>
      <c r="F36" s="5">
        <f t="shared" ref="F36" si="15">E36*C36</f>
        <v>0</v>
      </c>
      <c r="G36" s="5">
        <v>0</v>
      </c>
      <c r="H36" s="5">
        <f t="shared" si="13"/>
        <v>0</v>
      </c>
      <c r="I36" s="49">
        <f t="shared" si="14"/>
        <v>0</v>
      </c>
      <c r="J36" s="4"/>
    </row>
    <row r="37" spans="1:11" s="50" customFormat="1" ht="20" customHeight="1">
      <c r="A37" s="199"/>
      <c r="B37" s="12" t="s">
        <v>47</v>
      </c>
      <c r="C37" s="5">
        <f>(หลังริม!C37*2)+(หลังกลาง!C37*6)</f>
        <v>0</v>
      </c>
      <c r="D37" s="12"/>
      <c r="E37" s="21"/>
      <c r="F37" s="18">
        <f>SUM(F32:F36)</f>
        <v>84940</v>
      </c>
      <c r="G37" s="18"/>
      <c r="H37" s="18">
        <f t="shared" ref="H37:I37" si="16">SUM(H32:H36)</f>
        <v>0</v>
      </c>
      <c r="I37" s="18">
        <f t="shared" si="16"/>
        <v>84940</v>
      </c>
      <c r="J37" s="13"/>
      <c r="K37" s="151">
        <f>H37+F37</f>
        <v>84940</v>
      </c>
    </row>
    <row r="38" spans="1:11" s="40" customFormat="1" ht="20" customHeight="1">
      <c r="A38" s="198"/>
      <c r="B38" s="3" t="s">
        <v>48</v>
      </c>
      <c r="C38" s="5">
        <f>(หลังริม!C38*2)+(หลังกลาง!C38*6)</f>
        <v>0</v>
      </c>
      <c r="D38" s="6"/>
      <c r="E38" s="48"/>
      <c r="F38" s="4"/>
      <c r="G38" s="4"/>
      <c r="H38" s="4"/>
      <c r="I38" s="4"/>
      <c r="J38" s="4"/>
    </row>
    <row r="39" spans="1:11" s="40" customFormat="1" ht="20" customHeight="1">
      <c r="A39" s="198"/>
      <c r="B39" s="4" t="s">
        <v>43</v>
      </c>
      <c r="C39" s="5">
        <f>(หลังริม!C39*2)+(หลังกลาง!C39*6)</f>
        <v>0.39866666666666667</v>
      </c>
      <c r="D39" s="6" t="s">
        <v>42</v>
      </c>
      <c r="E39" s="11">
        <v>137</v>
      </c>
      <c r="F39" s="5">
        <f>C39*1000/4.99*E39</f>
        <v>10945.357381429525</v>
      </c>
      <c r="G39" s="20">
        <v>0</v>
      </c>
      <c r="H39" s="5">
        <f>G39*C39</f>
        <v>0</v>
      </c>
      <c r="I39" s="49">
        <f>H39+F39</f>
        <v>10945.357381429525</v>
      </c>
      <c r="J39" s="4"/>
    </row>
    <row r="40" spans="1:11" s="40" customFormat="1" ht="20" customHeight="1">
      <c r="A40" s="198"/>
      <c r="B40" s="4" t="s">
        <v>44</v>
      </c>
      <c r="C40" s="5">
        <f>(หลังริม!C40*2)+(หลังกลาง!C40*6)</f>
        <v>0.70666666666666667</v>
      </c>
      <c r="D40" s="6" t="s">
        <v>42</v>
      </c>
      <c r="E40" s="11">
        <v>240</v>
      </c>
      <c r="F40" s="5">
        <f>C40*1000/8.88*E40</f>
        <v>19099.099099099098</v>
      </c>
      <c r="G40" s="20">
        <v>0</v>
      </c>
      <c r="H40" s="5">
        <f t="shared" ref="H40:H43" si="17">G40*C40</f>
        <v>0</v>
      </c>
      <c r="I40" s="49">
        <f>H40+F40</f>
        <v>19099.099099099098</v>
      </c>
      <c r="J40" s="4"/>
    </row>
    <row r="41" spans="1:11" s="40" customFormat="1" ht="20" customHeight="1">
      <c r="A41" s="6"/>
      <c r="B41" s="4" t="s">
        <v>111</v>
      </c>
      <c r="C41" s="5">
        <f>(หลังริม!C41*2)+(หลังกลาง!C41*6)</f>
        <v>78.666666666666671</v>
      </c>
      <c r="D41" s="6" t="s">
        <v>16</v>
      </c>
      <c r="E41" s="11">
        <v>1600</v>
      </c>
      <c r="F41" s="5">
        <f>E41*C41</f>
        <v>125866.66666666667</v>
      </c>
      <c r="G41" s="20">
        <v>0</v>
      </c>
      <c r="H41" s="5">
        <f t="shared" si="17"/>
        <v>0</v>
      </c>
      <c r="I41" s="49">
        <f t="shared" ref="I41:I43" si="18">H41+F41</f>
        <v>125866.66666666667</v>
      </c>
      <c r="J41" s="4"/>
    </row>
    <row r="42" spans="1:11" s="40" customFormat="1" ht="20" customHeight="1">
      <c r="A42" s="6"/>
      <c r="B42" s="4" t="s">
        <v>49</v>
      </c>
      <c r="C42" s="5">
        <f>(หลังริม!C42*2)+(หลังกลาง!C42*6)</f>
        <v>800</v>
      </c>
      <c r="D42" s="6" t="s">
        <v>32</v>
      </c>
      <c r="E42" s="11">
        <v>74.2</v>
      </c>
      <c r="F42" s="5">
        <f>E42*C42</f>
        <v>59360</v>
      </c>
      <c r="G42" s="20">
        <v>0</v>
      </c>
      <c r="H42" s="5">
        <f t="shared" si="17"/>
        <v>0</v>
      </c>
      <c r="I42" s="49">
        <f t="shared" si="18"/>
        <v>59360</v>
      </c>
      <c r="J42" s="4"/>
    </row>
    <row r="43" spans="1:11" s="40" customFormat="1" ht="20" customHeight="1">
      <c r="A43" s="198"/>
      <c r="B43" s="4" t="s">
        <v>287</v>
      </c>
      <c r="C43" s="5">
        <f>(หลังริม!C43*2)+(หลังกลาง!C43*6)</f>
        <v>800</v>
      </c>
      <c r="D43" s="6" t="s">
        <v>32</v>
      </c>
      <c r="E43" s="11">
        <v>0</v>
      </c>
      <c r="F43" s="5">
        <v>0</v>
      </c>
      <c r="G43" s="20">
        <v>115</v>
      </c>
      <c r="H43" s="5">
        <f t="shared" si="17"/>
        <v>92000</v>
      </c>
      <c r="I43" s="49">
        <f t="shared" si="18"/>
        <v>92000</v>
      </c>
      <c r="J43" s="4"/>
    </row>
    <row r="44" spans="1:11" s="50" customFormat="1" ht="20" customHeight="1" thickBot="1">
      <c r="A44" s="12"/>
      <c r="B44" s="12" t="s">
        <v>50</v>
      </c>
      <c r="C44" s="5">
        <f>(หลังริม!C44*2)+(หลังกลาง!C44*6)</f>
        <v>0</v>
      </c>
      <c r="D44" s="12"/>
      <c r="E44" s="21"/>
      <c r="F44" s="18">
        <f>SUM(F39:F43)</f>
        <v>215271.12314719529</v>
      </c>
      <c r="G44" s="18"/>
      <c r="H44" s="18">
        <f t="shared" ref="H44:I44" si="19">SUM(H39:H43)</f>
        <v>92000</v>
      </c>
      <c r="I44" s="18">
        <f t="shared" si="19"/>
        <v>307271.12314719532</v>
      </c>
      <c r="J44" s="13"/>
      <c r="K44" s="151">
        <f>H44+F44</f>
        <v>307271.12314719532</v>
      </c>
    </row>
    <row r="45" spans="1:11" s="40" customFormat="1" ht="20" customHeight="1" thickTop="1">
      <c r="A45" s="200"/>
      <c r="B45" s="22" t="s">
        <v>51</v>
      </c>
      <c r="C45" s="5">
        <f>(หลังริม!C45*2)+(หลังกลาง!C45*6)</f>
        <v>0</v>
      </c>
      <c r="D45" s="187"/>
      <c r="E45" s="51"/>
      <c r="F45" s="23"/>
      <c r="G45" s="23"/>
      <c r="H45" s="23"/>
      <c r="I45" s="23"/>
      <c r="J45" s="23"/>
    </row>
    <row r="46" spans="1:11" s="40" customFormat="1" ht="20" customHeight="1">
      <c r="A46" s="198"/>
      <c r="B46" s="4" t="s">
        <v>52</v>
      </c>
      <c r="C46" s="5">
        <f>(หลังริม!C46*2)+(หลังกลาง!C46*6)</f>
        <v>16</v>
      </c>
      <c r="D46" s="6" t="s">
        <v>53</v>
      </c>
      <c r="E46" s="11">
        <v>225</v>
      </c>
      <c r="F46" s="5">
        <f>E46*C46</f>
        <v>3600</v>
      </c>
      <c r="G46" s="20">
        <v>0</v>
      </c>
      <c r="H46" s="5">
        <f>G46*C46</f>
        <v>0</v>
      </c>
      <c r="I46" s="49">
        <f>H46+F46</f>
        <v>3600</v>
      </c>
      <c r="J46" s="24"/>
    </row>
    <row r="47" spans="1:11" s="40" customFormat="1" ht="20" customHeight="1">
      <c r="A47" s="198"/>
      <c r="B47" s="4" t="s">
        <v>54</v>
      </c>
      <c r="C47" s="5">
        <f>(หลังริม!C47*2)+(หลังกลาง!C47*6)</f>
        <v>97.333333333333329</v>
      </c>
      <c r="D47" s="6" t="s">
        <v>53</v>
      </c>
      <c r="E47" s="11">
        <v>500</v>
      </c>
      <c r="F47" s="5">
        <f t="shared" ref="F47:F64" si="20">E47*C47</f>
        <v>48666.666666666664</v>
      </c>
      <c r="G47" s="20">
        <v>0</v>
      </c>
      <c r="H47" s="5">
        <f t="shared" ref="H47:H64" si="21">G47*C47</f>
        <v>0</v>
      </c>
      <c r="I47" s="49">
        <f t="shared" ref="I47:I64" si="22">H47+F47</f>
        <v>48666.666666666664</v>
      </c>
      <c r="J47" s="24"/>
    </row>
    <row r="48" spans="1:11" s="40" customFormat="1" ht="20" customHeight="1">
      <c r="A48" s="6"/>
      <c r="B48" s="4" t="s">
        <v>112</v>
      </c>
      <c r="C48" s="5">
        <f>(หลังริม!C48*2)+(หลังกลาง!C48*6)</f>
        <v>61.333333333333336</v>
      </c>
      <c r="D48" s="6" t="s">
        <v>53</v>
      </c>
      <c r="E48" s="11">
        <v>650</v>
      </c>
      <c r="F48" s="5">
        <f t="shared" si="20"/>
        <v>39866.666666666672</v>
      </c>
      <c r="G48" s="20">
        <v>0</v>
      </c>
      <c r="H48" s="5">
        <f t="shared" si="21"/>
        <v>0</v>
      </c>
      <c r="I48" s="49">
        <f t="shared" si="22"/>
        <v>39866.666666666672</v>
      </c>
      <c r="J48" s="24"/>
    </row>
    <row r="49" spans="1:10" s="40" customFormat="1" ht="20" customHeight="1">
      <c r="A49" s="198"/>
      <c r="B49" s="4" t="s">
        <v>55</v>
      </c>
      <c r="C49" s="5">
        <f>(หลังริม!C49*2)+(หลังกลาง!C49*6)</f>
        <v>37.333333333333336</v>
      </c>
      <c r="D49" s="6" t="s">
        <v>53</v>
      </c>
      <c r="E49" s="11">
        <v>740</v>
      </c>
      <c r="F49" s="5">
        <f t="shared" si="20"/>
        <v>27626.666666666668</v>
      </c>
      <c r="G49" s="20">
        <v>0</v>
      </c>
      <c r="H49" s="5">
        <f t="shared" si="21"/>
        <v>0</v>
      </c>
      <c r="I49" s="49">
        <f t="shared" si="22"/>
        <v>27626.666666666668</v>
      </c>
      <c r="J49" s="24"/>
    </row>
    <row r="50" spans="1:10" s="40" customFormat="1" ht="20" customHeight="1">
      <c r="A50" s="198"/>
      <c r="B50" s="4" t="s">
        <v>56</v>
      </c>
      <c r="C50" s="5">
        <f>(หลังริม!C50*2)+(หลังกลาง!C50*6)</f>
        <v>2.6666666666666665</v>
      </c>
      <c r="D50" s="6" t="s">
        <v>53</v>
      </c>
      <c r="E50" s="11">
        <v>1900</v>
      </c>
      <c r="F50" s="5">
        <f t="shared" si="20"/>
        <v>5066.6666666666661</v>
      </c>
      <c r="G50" s="20">
        <v>0</v>
      </c>
      <c r="H50" s="5">
        <f t="shared" si="21"/>
        <v>0</v>
      </c>
      <c r="I50" s="49">
        <f t="shared" si="22"/>
        <v>5066.6666666666661</v>
      </c>
      <c r="J50" s="24"/>
    </row>
    <row r="51" spans="1:10" s="40" customFormat="1" ht="20" customHeight="1">
      <c r="A51" s="198"/>
      <c r="B51" s="4" t="s">
        <v>57</v>
      </c>
      <c r="C51" s="5">
        <f>(หลังริม!C51*2)+(หลังกลาง!C51*6)</f>
        <v>1.3333333333333333</v>
      </c>
      <c r="D51" s="6" t="s">
        <v>53</v>
      </c>
      <c r="E51" s="11">
        <v>905</v>
      </c>
      <c r="F51" s="5">
        <f t="shared" si="20"/>
        <v>1206.6666666666665</v>
      </c>
      <c r="G51" s="20">
        <v>0</v>
      </c>
      <c r="H51" s="5">
        <f t="shared" si="21"/>
        <v>0</v>
      </c>
      <c r="I51" s="49">
        <f t="shared" si="22"/>
        <v>1206.6666666666665</v>
      </c>
      <c r="J51" s="24"/>
    </row>
    <row r="52" spans="1:10" s="40" customFormat="1" ht="20" customHeight="1">
      <c r="A52" s="198"/>
      <c r="B52" s="4" t="s">
        <v>58</v>
      </c>
      <c r="C52" s="5">
        <f>(หลังริม!C52*2)+(หลังกลาง!C52*6)</f>
        <v>10.666666666666666</v>
      </c>
      <c r="D52" s="6" t="s">
        <v>53</v>
      </c>
      <c r="E52" s="11">
        <v>1040</v>
      </c>
      <c r="F52" s="5">
        <f t="shared" si="20"/>
        <v>11093.333333333332</v>
      </c>
      <c r="G52" s="20">
        <v>0</v>
      </c>
      <c r="H52" s="5">
        <f t="shared" si="21"/>
        <v>0</v>
      </c>
      <c r="I52" s="49">
        <f t="shared" si="22"/>
        <v>11093.333333333332</v>
      </c>
      <c r="J52" s="24"/>
    </row>
    <row r="53" spans="1:10" s="40" customFormat="1" ht="20" customHeight="1">
      <c r="A53" s="198"/>
      <c r="B53" s="4" t="s">
        <v>59</v>
      </c>
      <c r="C53" s="5">
        <f>(หลังริม!C53*2)+(หลังกลาง!C53*6)</f>
        <v>8</v>
      </c>
      <c r="D53" s="6" t="s">
        <v>60</v>
      </c>
      <c r="E53" s="11">
        <v>109</v>
      </c>
      <c r="F53" s="5">
        <f t="shared" si="20"/>
        <v>872</v>
      </c>
      <c r="G53" s="20">
        <v>0</v>
      </c>
      <c r="H53" s="5">
        <f t="shared" si="21"/>
        <v>0</v>
      </c>
      <c r="I53" s="49">
        <f t="shared" si="22"/>
        <v>872</v>
      </c>
      <c r="J53" s="24"/>
    </row>
    <row r="54" spans="1:10" s="40" customFormat="1" ht="20" customHeight="1">
      <c r="A54" s="6"/>
      <c r="B54" s="4" t="s">
        <v>61</v>
      </c>
      <c r="C54" s="5">
        <f>(หลังริม!C54*2)+(หลังกลาง!C54*6)</f>
        <v>18.666666666666668</v>
      </c>
      <c r="D54" s="6" t="s">
        <v>60</v>
      </c>
      <c r="E54" s="11">
        <v>53</v>
      </c>
      <c r="F54" s="5">
        <f t="shared" si="20"/>
        <v>989.33333333333337</v>
      </c>
      <c r="G54" s="20">
        <v>0</v>
      </c>
      <c r="H54" s="5">
        <f t="shared" si="21"/>
        <v>0</v>
      </c>
      <c r="I54" s="49">
        <f t="shared" si="22"/>
        <v>989.33333333333337</v>
      </c>
      <c r="J54" s="24"/>
    </row>
    <row r="55" spans="1:10" s="40" customFormat="1" ht="20" customHeight="1">
      <c r="A55" s="6"/>
      <c r="B55" s="4" t="s">
        <v>62</v>
      </c>
      <c r="C55" s="5">
        <f>(หลังริม!C55*2)+(หลังกลาง!C55*6)</f>
        <v>1.3333333333333333</v>
      </c>
      <c r="D55" s="6" t="s">
        <v>60</v>
      </c>
      <c r="E55" s="11">
        <v>670</v>
      </c>
      <c r="F55" s="5">
        <f t="shared" si="20"/>
        <v>893.33333333333326</v>
      </c>
      <c r="G55" s="20">
        <v>0</v>
      </c>
      <c r="H55" s="5">
        <f t="shared" si="21"/>
        <v>0</v>
      </c>
      <c r="I55" s="49">
        <f t="shared" si="22"/>
        <v>893.33333333333326</v>
      </c>
      <c r="J55" s="24"/>
    </row>
    <row r="56" spans="1:10" s="40" customFormat="1" ht="20" customHeight="1">
      <c r="A56" s="198"/>
      <c r="B56" s="4" t="s">
        <v>63</v>
      </c>
      <c r="C56" s="5">
        <f>(หลังริม!C56*2)+(หลังกลาง!C56*6)</f>
        <v>1.3333333333333333</v>
      </c>
      <c r="D56" s="6" t="s">
        <v>64</v>
      </c>
      <c r="E56" s="11">
        <v>1500</v>
      </c>
      <c r="F56" s="5">
        <f t="shared" si="20"/>
        <v>2000</v>
      </c>
      <c r="G56" s="20">
        <v>0</v>
      </c>
      <c r="H56" s="5">
        <f t="shared" si="21"/>
        <v>0</v>
      </c>
      <c r="I56" s="49">
        <f t="shared" si="22"/>
        <v>2000</v>
      </c>
      <c r="J56" s="4"/>
    </row>
    <row r="57" spans="1:10" s="40" customFormat="1" ht="20" customHeight="1">
      <c r="A57" s="198"/>
      <c r="B57" s="4" t="s">
        <v>65</v>
      </c>
      <c r="C57" s="5">
        <f>(หลังริม!C57*2)+(หลังกลาง!C57*6)</f>
        <v>8</v>
      </c>
      <c r="D57" s="6" t="s">
        <v>66</v>
      </c>
      <c r="E57" s="11">
        <v>1189</v>
      </c>
      <c r="F57" s="5">
        <f t="shared" si="20"/>
        <v>9512</v>
      </c>
      <c r="G57" s="20">
        <v>0</v>
      </c>
      <c r="H57" s="5">
        <f t="shared" si="21"/>
        <v>0</v>
      </c>
      <c r="I57" s="49">
        <f t="shared" si="22"/>
        <v>9512</v>
      </c>
      <c r="J57" s="4"/>
    </row>
    <row r="58" spans="1:10" s="40" customFormat="1" ht="20" customHeight="1">
      <c r="A58" s="198"/>
      <c r="B58" s="4" t="s">
        <v>67</v>
      </c>
      <c r="C58" s="5">
        <f>(หลังริม!C58*2)+(หลังกลาง!C58*6)</f>
        <v>13.333333333333334</v>
      </c>
      <c r="D58" s="6" t="s">
        <v>66</v>
      </c>
      <c r="E58" s="11">
        <v>499</v>
      </c>
      <c r="F58" s="5">
        <f t="shared" si="20"/>
        <v>6653.3333333333339</v>
      </c>
      <c r="G58" s="20">
        <v>0</v>
      </c>
      <c r="H58" s="5">
        <f t="shared" si="21"/>
        <v>0</v>
      </c>
      <c r="I58" s="49">
        <f t="shared" si="22"/>
        <v>6653.3333333333339</v>
      </c>
      <c r="J58" s="4"/>
    </row>
    <row r="59" spans="1:10" s="40" customFormat="1" ht="20" customHeight="1">
      <c r="A59" s="198"/>
      <c r="B59" s="4" t="s">
        <v>68</v>
      </c>
      <c r="C59" s="5">
        <f>(หลังริม!C59*2)+(หลังกลาง!C59*6)</f>
        <v>13.333333333333334</v>
      </c>
      <c r="D59" s="16" t="s">
        <v>69</v>
      </c>
      <c r="E59" s="11">
        <v>98</v>
      </c>
      <c r="F59" s="5">
        <f t="shared" si="20"/>
        <v>1306.6666666666667</v>
      </c>
      <c r="G59" s="20">
        <v>0</v>
      </c>
      <c r="H59" s="5">
        <f t="shared" si="21"/>
        <v>0</v>
      </c>
      <c r="I59" s="49">
        <f t="shared" si="22"/>
        <v>1306.6666666666667</v>
      </c>
      <c r="J59" s="4"/>
    </row>
    <row r="60" spans="1:10" s="40" customFormat="1" ht="20" customHeight="1">
      <c r="A60" s="198"/>
      <c r="B60" s="39" t="s">
        <v>255</v>
      </c>
      <c r="C60" s="5">
        <f>(หลังริม!C60*2)+(หลังกลาง!C60*6)</f>
        <v>595.24</v>
      </c>
      <c r="D60" s="27" t="s">
        <v>263</v>
      </c>
      <c r="E60" s="28">
        <v>0</v>
      </c>
      <c r="F60" s="5">
        <f t="shared" si="20"/>
        <v>0</v>
      </c>
      <c r="G60" s="11">
        <v>135</v>
      </c>
      <c r="H60" s="5">
        <f t="shared" si="21"/>
        <v>80357.399999999994</v>
      </c>
      <c r="I60" s="49">
        <f t="shared" si="22"/>
        <v>80357.399999999994</v>
      </c>
      <c r="J60" s="24"/>
    </row>
    <row r="61" spans="1:10" s="40" customFormat="1" ht="20" customHeight="1">
      <c r="A61" s="198"/>
      <c r="B61" s="4" t="s">
        <v>266</v>
      </c>
      <c r="C61" s="5">
        <f>(หลังริม!C61*2)+(หลังกลาง!C61*6)</f>
        <v>2</v>
      </c>
      <c r="D61" s="31" t="s">
        <v>264</v>
      </c>
      <c r="E61" s="28">
        <v>0</v>
      </c>
      <c r="F61" s="5">
        <f t="shared" si="20"/>
        <v>0</v>
      </c>
      <c r="G61" s="32">
        <v>1000</v>
      </c>
      <c r="H61" s="5">
        <f t="shared" si="21"/>
        <v>2000</v>
      </c>
      <c r="I61" s="49">
        <f t="shared" si="22"/>
        <v>2000</v>
      </c>
      <c r="J61" s="24"/>
    </row>
    <row r="62" spans="1:10" s="40" customFormat="1" ht="20" customHeight="1">
      <c r="A62" s="198"/>
      <c r="B62" s="4" t="s">
        <v>258</v>
      </c>
      <c r="C62" s="5">
        <f>(หลังริม!C62*2)+(หลังกลาง!C62*6)</f>
        <v>14.666666666666666</v>
      </c>
      <c r="D62" s="31" t="s">
        <v>21</v>
      </c>
      <c r="E62" s="28">
        <v>0</v>
      </c>
      <c r="F62" s="5">
        <f t="shared" si="20"/>
        <v>0</v>
      </c>
      <c r="G62" s="33">
        <v>300</v>
      </c>
      <c r="H62" s="5">
        <f t="shared" si="21"/>
        <v>4400</v>
      </c>
      <c r="I62" s="49">
        <f t="shared" si="22"/>
        <v>4400</v>
      </c>
      <c r="J62" s="24"/>
    </row>
    <row r="63" spans="1:10" s="40" customFormat="1" ht="20" customHeight="1">
      <c r="A63" s="6"/>
      <c r="B63" s="4" t="s">
        <v>267</v>
      </c>
      <c r="C63" s="5">
        <f>(หลังริม!C63*2)+(หลังกลาง!C63*6)</f>
        <v>10.666666666666666</v>
      </c>
      <c r="D63" s="31" t="s">
        <v>21</v>
      </c>
      <c r="E63" s="28">
        <v>0</v>
      </c>
      <c r="F63" s="5">
        <f t="shared" si="20"/>
        <v>0</v>
      </c>
      <c r="G63" s="11">
        <v>500</v>
      </c>
      <c r="H63" s="5">
        <f t="shared" si="21"/>
        <v>5333.333333333333</v>
      </c>
      <c r="I63" s="49">
        <f t="shared" si="22"/>
        <v>5333.333333333333</v>
      </c>
      <c r="J63" s="24"/>
    </row>
    <row r="64" spans="1:10" s="40" customFormat="1" ht="20" customHeight="1">
      <c r="A64" s="6"/>
      <c r="B64" s="39" t="s">
        <v>268</v>
      </c>
      <c r="C64" s="5">
        <f>(หลังริม!C64*2)+(หลังกลาง!C64*6)</f>
        <v>32</v>
      </c>
      <c r="D64" s="34" t="s">
        <v>123</v>
      </c>
      <c r="E64" s="28">
        <v>0</v>
      </c>
      <c r="F64" s="5">
        <f t="shared" si="20"/>
        <v>0</v>
      </c>
      <c r="G64" s="11">
        <v>80</v>
      </c>
      <c r="H64" s="5">
        <f t="shared" si="21"/>
        <v>2560</v>
      </c>
      <c r="I64" s="49">
        <f t="shared" si="22"/>
        <v>2560</v>
      </c>
      <c r="J64" s="24"/>
    </row>
    <row r="65" spans="1:11" s="50" customFormat="1" ht="20" customHeight="1">
      <c r="A65" s="199"/>
      <c r="B65" s="12" t="s">
        <v>70</v>
      </c>
      <c r="C65" s="5">
        <f>(หลังริม!C65*2)+(หลังกลาง!C65*6)</f>
        <v>0</v>
      </c>
      <c r="D65" s="12"/>
      <c r="E65" s="100"/>
      <c r="F65" s="14">
        <f>SUM(F46:F64)</f>
        <v>159353.33333333337</v>
      </c>
      <c r="G65" s="14"/>
      <c r="H65" s="14">
        <f t="shared" ref="H65:I65" si="23">SUM(H46:H64)</f>
        <v>94650.733333333323</v>
      </c>
      <c r="I65" s="14">
        <f t="shared" si="23"/>
        <v>254004.06666666671</v>
      </c>
      <c r="J65" s="13"/>
      <c r="K65" s="151">
        <f>H65+F65</f>
        <v>254004.06666666671</v>
      </c>
    </row>
    <row r="66" spans="1:11" s="152" customFormat="1" ht="20" customHeight="1">
      <c r="A66" s="211">
        <v>1</v>
      </c>
      <c r="B66" s="36" t="s">
        <v>71</v>
      </c>
      <c r="C66" s="5">
        <f>(หลังริม!C66*2)+(หลังกลาง!C66*6)</f>
        <v>0</v>
      </c>
      <c r="D66" s="36" t="s">
        <v>11</v>
      </c>
      <c r="E66" s="37"/>
      <c r="F66" s="37">
        <f>F12+F16+F23+F30+F37+F44+F65</f>
        <v>887311.12314719532</v>
      </c>
      <c r="G66" s="37"/>
      <c r="H66" s="37">
        <f t="shared" ref="H66:I66" si="24">H12+H16+H23+H30+H37+H44+H65</f>
        <v>380226.73333333334</v>
      </c>
      <c r="I66" s="37">
        <f t="shared" si="24"/>
        <v>1267537.8564805288</v>
      </c>
      <c r="J66" s="38"/>
      <c r="K66" s="151">
        <f>H66+F66</f>
        <v>1267537.8564805286</v>
      </c>
    </row>
    <row r="67" spans="1:11" s="91" customFormat="1" ht="20" customHeight="1" thickBot="1">
      <c r="A67" s="205"/>
      <c r="B67" s="87"/>
      <c r="C67" s="5">
        <f>(หลังริม!C67*2)+(หลังกลาง!C67*6)</f>
        <v>0</v>
      </c>
      <c r="D67" s="87"/>
      <c r="E67" s="88"/>
      <c r="F67" s="88"/>
      <c r="G67" s="88"/>
      <c r="H67" s="88"/>
      <c r="I67" s="153"/>
      <c r="J67" s="89"/>
    </row>
    <row r="68" spans="1:11" s="69" customFormat="1" ht="20" customHeight="1" thickTop="1">
      <c r="A68" s="203">
        <v>2</v>
      </c>
      <c r="B68" s="66" t="s">
        <v>72</v>
      </c>
      <c r="C68" s="5">
        <f>(หลังริม!C68*2)+(หลังกลาง!C68*6)</f>
        <v>0</v>
      </c>
      <c r="D68" s="188"/>
      <c r="E68" s="68"/>
      <c r="F68" s="67"/>
      <c r="G68" s="67"/>
      <c r="H68" s="67"/>
      <c r="I68" s="67"/>
      <c r="J68" s="67"/>
    </row>
    <row r="69" spans="1:11" s="40" customFormat="1" ht="20" customHeight="1">
      <c r="A69" s="198"/>
      <c r="B69" s="3" t="s">
        <v>73</v>
      </c>
      <c r="C69" s="5">
        <f>(หลังริม!C69*2)+(หลังกลาง!C69*6)</f>
        <v>0</v>
      </c>
      <c r="D69" s="6"/>
      <c r="E69" s="48"/>
      <c r="F69" s="4"/>
      <c r="G69" s="4"/>
      <c r="H69" s="4"/>
      <c r="I69" s="4"/>
      <c r="J69" s="4"/>
    </row>
    <row r="70" spans="1:11" s="40" customFormat="1" ht="20" customHeight="1">
      <c r="A70" s="198"/>
      <c r="B70" s="4" t="s">
        <v>74</v>
      </c>
      <c r="C70" s="5">
        <f>(หลังริม!C70*2)+(หลังกลาง!C70*6)</f>
        <v>40</v>
      </c>
      <c r="D70" s="6" t="s">
        <v>53</v>
      </c>
      <c r="E70" s="11">
        <v>1090</v>
      </c>
      <c r="F70" s="5">
        <f>E70*C70</f>
        <v>43600</v>
      </c>
      <c r="G70" s="20">
        <v>0</v>
      </c>
      <c r="H70" s="5">
        <f>G70*C70</f>
        <v>0</v>
      </c>
      <c r="I70" s="49">
        <f>H70+F70</f>
        <v>43600</v>
      </c>
      <c r="J70" s="4"/>
    </row>
    <row r="71" spans="1:11" s="40" customFormat="1" ht="20" customHeight="1">
      <c r="A71" s="198"/>
      <c r="B71" s="4" t="s">
        <v>75</v>
      </c>
      <c r="C71" s="5">
        <f>(หลังริม!C71*2)+(หลังกลาง!C71*6)</f>
        <v>16</v>
      </c>
      <c r="D71" s="6" t="s">
        <v>53</v>
      </c>
      <c r="E71" s="11">
        <v>510</v>
      </c>
      <c r="F71" s="5">
        <f t="shared" ref="F71:F95" si="25">E71*C71</f>
        <v>8160</v>
      </c>
      <c r="G71" s="20">
        <v>0</v>
      </c>
      <c r="H71" s="5">
        <f t="shared" ref="H71:H95" si="26">G71*C71</f>
        <v>0</v>
      </c>
      <c r="I71" s="49">
        <f t="shared" ref="I71:I95" si="27">H71+F71</f>
        <v>8160</v>
      </c>
      <c r="J71" s="4"/>
    </row>
    <row r="72" spans="1:11" s="40" customFormat="1" ht="20" customHeight="1">
      <c r="A72" s="6"/>
      <c r="B72" s="4" t="s">
        <v>76</v>
      </c>
      <c r="C72" s="5">
        <f>(หลังริม!C72*2)+(หลังกลาง!C72*6)</f>
        <v>8</v>
      </c>
      <c r="D72" s="6" t="s">
        <v>53</v>
      </c>
      <c r="E72" s="11">
        <v>234</v>
      </c>
      <c r="F72" s="5">
        <f t="shared" si="25"/>
        <v>1872</v>
      </c>
      <c r="G72" s="20">
        <v>0</v>
      </c>
      <c r="H72" s="5">
        <f t="shared" si="26"/>
        <v>0</v>
      </c>
      <c r="I72" s="49">
        <f t="shared" si="27"/>
        <v>1872</v>
      </c>
      <c r="J72" s="4"/>
    </row>
    <row r="73" spans="1:11" s="40" customFormat="1" ht="20" customHeight="1">
      <c r="A73" s="198"/>
      <c r="B73" s="4" t="s">
        <v>77</v>
      </c>
      <c r="C73" s="5">
        <f>(หลังริม!C73*2)+(หลังกลาง!C73*6)</f>
        <v>16</v>
      </c>
      <c r="D73" s="6" t="s">
        <v>53</v>
      </c>
      <c r="E73" s="11">
        <v>144</v>
      </c>
      <c r="F73" s="5">
        <f t="shared" si="25"/>
        <v>2304</v>
      </c>
      <c r="G73" s="20">
        <v>0</v>
      </c>
      <c r="H73" s="5">
        <f t="shared" si="26"/>
        <v>0</v>
      </c>
      <c r="I73" s="49">
        <f t="shared" si="27"/>
        <v>2304</v>
      </c>
      <c r="J73" s="4"/>
    </row>
    <row r="74" spans="1:11" s="40" customFormat="1" ht="20" customHeight="1">
      <c r="A74" s="198"/>
      <c r="B74" s="4" t="s">
        <v>78</v>
      </c>
      <c r="C74" s="5">
        <f>(หลังริม!C74*2)+(หลังกลาง!C74*6)</f>
        <v>8</v>
      </c>
      <c r="D74" s="6" t="s">
        <v>53</v>
      </c>
      <c r="E74" s="11">
        <v>53</v>
      </c>
      <c r="F74" s="5">
        <f t="shared" si="25"/>
        <v>424</v>
      </c>
      <c r="G74" s="20">
        <v>0</v>
      </c>
      <c r="H74" s="5">
        <f t="shared" si="26"/>
        <v>0</v>
      </c>
      <c r="I74" s="49">
        <f t="shared" si="27"/>
        <v>424</v>
      </c>
      <c r="J74" s="4"/>
    </row>
    <row r="75" spans="1:11" s="40" customFormat="1" ht="20" customHeight="1">
      <c r="A75" s="6"/>
      <c r="B75" s="4" t="s">
        <v>79</v>
      </c>
      <c r="C75" s="5">
        <f>(หลังริม!C75*2)+(หลังกลาง!C75*6)</f>
        <v>8</v>
      </c>
      <c r="D75" s="6" t="s">
        <v>53</v>
      </c>
      <c r="E75" s="11">
        <v>48</v>
      </c>
      <c r="F75" s="5">
        <f t="shared" si="25"/>
        <v>384</v>
      </c>
      <c r="G75" s="20">
        <v>0</v>
      </c>
      <c r="H75" s="5">
        <f t="shared" si="26"/>
        <v>0</v>
      </c>
      <c r="I75" s="49">
        <f t="shared" si="27"/>
        <v>384</v>
      </c>
      <c r="J75" s="4"/>
    </row>
    <row r="76" spans="1:11" s="40" customFormat="1" ht="20" customHeight="1">
      <c r="A76" s="6"/>
      <c r="B76" s="4" t="s">
        <v>80</v>
      </c>
      <c r="C76" s="5">
        <f>(หลังริม!C76*2)+(หลังกลาง!C76*6)</f>
        <v>8</v>
      </c>
      <c r="D76" s="6" t="s">
        <v>53</v>
      </c>
      <c r="E76" s="11">
        <v>64</v>
      </c>
      <c r="F76" s="5">
        <f t="shared" si="25"/>
        <v>512</v>
      </c>
      <c r="G76" s="20">
        <v>0</v>
      </c>
      <c r="H76" s="5">
        <f t="shared" si="26"/>
        <v>0</v>
      </c>
      <c r="I76" s="49">
        <f t="shared" si="27"/>
        <v>512</v>
      </c>
      <c r="J76" s="4"/>
    </row>
    <row r="77" spans="1:11" s="40" customFormat="1" ht="20" customHeight="1">
      <c r="A77" s="198"/>
      <c r="B77" s="4" t="s">
        <v>81</v>
      </c>
      <c r="C77" s="5">
        <f>(หลังริม!C77*2)+(หลังกลาง!C77*6)</f>
        <v>8</v>
      </c>
      <c r="D77" s="6" t="s">
        <v>82</v>
      </c>
      <c r="E77" s="11">
        <v>84.6</v>
      </c>
      <c r="F77" s="5">
        <f t="shared" si="25"/>
        <v>676.8</v>
      </c>
      <c r="G77" s="20">
        <v>0</v>
      </c>
      <c r="H77" s="5">
        <f t="shared" si="26"/>
        <v>0</v>
      </c>
      <c r="I77" s="49">
        <f t="shared" si="27"/>
        <v>676.8</v>
      </c>
      <c r="J77" s="4"/>
    </row>
    <row r="78" spans="1:11" s="40" customFormat="1" ht="20" customHeight="1">
      <c r="A78" s="198"/>
      <c r="B78" s="4" t="s">
        <v>83</v>
      </c>
      <c r="C78" s="5">
        <f>(หลังริม!C78*2)+(หลังกลาง!C78*6)</f>
        <v>24</v>
      </c>
      <c r="D78" s="6" t="s">
        <v>82</v>
      </c>
      <c r="E78" s="11">
        <v>84.6</v>
      </c>
      <c r="F78" s="5">
        <f t="shared" si="25"/>
        <v>2030.3999999999999</v>
      </c>
      <c r="G78" s="20">
        <v>0</v>
      </c>
      <c r="H78" s="5">
        <f t="shared" si="26"/>
        <v>0</v>
      </c>
      <c r="I78" s="49">
        <f t="shared" si="27"/>
        <v>2030.3999999999999</v>
      </c>
      <c r="J78" s="4"/>
    </row>
    <row r="79" spans="1:11" s="40" customFormat="1" ht="20" customHeight="1">
      <c r="A79" s="198"/>
      <c r="B79" s="4" t="s">
        <v>84</v>
      </c>
      <c r="C79" s="5">
        <f>(หลังริม!C79*2)+(หลังกลาง!C79*6)</f>
        <v>32</v>
      </c>
      <c r="D79" s="6" t="s">
        <v>82</v>
      </c>
      <c r="E79" s="11">
        <v>22.8</v>
      </c>
      <c r="F79" s="5">
        <f t="shared" si="25"/>
        <v>729.6</v>
      </c>
      <c r="G79" s="20">
        <v>0</v>
      </c>
      <c r="H79" s="5">
        <f t="shared" si="26"/>
        <v>0</v>
      </c>
      <c r="I79" s="49">
        <f t="shared" si="27"/>
        <v>729.6</v>
      </c>
      <c r="J79" s="4"/>
    </row>
    <row r="80" spans="1:11" s="40" customFormat="1" ht="20" customHeight="1">
      <c r="A80" s="198"/>
      <c r="B80" s="4" t="s">
        <v>85</v>
      </c>
      <c r="C80" s="5">
        <f>(หลังริม!C80*2)+(หลังกลาง!C80*6)</f>
        <v>16</v>
      </c>
      <c r="D80" s="6" t="s">
        <v>82</v>
      </c>
      <c r="E80" s="11">
        <v>31.3</v>
      </c>
      <c r="F80" s="5">
        <f t="shared" si="25"/>
        <v>500.8</v>
      </c>
      <c r="G80" s="20">
        <v>0</v>
      </c>
      <c r="H80" s="5">
        <f t="shared" si="26"/>
        <v>0</v>
      </c>
      <c r="I80" s="49">
        <f t="shared" si="27"/>
        <v>500.8</v>
      </c>
      <c r="J80" s="4"/>
    </row>
    <row r="81" spans="1:11" s="40" customFormat="1" ht="20" customHeight="1">
      <c r="A81" s="198"/>
      <c r="B81" s="4" t="s">
        <v>86</v>
      </c>
      <c r="C81" s="5">
        <f>(หลังริม!C81*2)+(หลังกลาง!C81*6)</f>
        <v>32</v>
      </c>
      <c r="D81" s="6" t="s">
        <v>82</v>
      </c>
      <c r="E81" s="11">
        <v>13.9</v>
      </c>
      <c r="F81" s="5">
        <f t="shared" si="25"/>
        <v>444.8</v>
      </c>
      <c r="G81" s="20">
        <v>0</v>
      </c>
      <c r="H81" s="5">
        <f t="shared" si="26"/>
        <v>0</v>
      </c>
      <c r="I81" s="49">
        <f t="shared" si="27"/>
        <v>444.8</v>
      </c>
      <c r="J81" s="4"/>
    </row>
    <row r="82" spans="1:11" s="40" customFormat="1" ht="20" customHeight="1">
      <c r="A82" s="198"/>
      <c r="B82" s="4" t="s">
        <v>87</v>
      </c>
      <c r="C82" s="5">
        <f>(หลังริม!C82*2)+(หลังกลาง!C82*6)</f>
        <v>8</v>
      </c>
      <c r="D82" s="6" t="s">
        <v>82</v>
      </c>
      <c r="E82" s="11">
        <v>8.0500000000000007</v>
      </c>
      <c r="F82" s="5">
        <f t="shared" si="25"/>
        <v>64.400000000000006</v>
      </c>
      <c r="G82" s="20">
        <v>0</v>
      </c>
      <c r="H82" s="5">
        <f t="shared" si="26"/>
        <v>0</v>
      </c>
      <c r="I82" s="49">
        <f t="shared" si="27"/>
        <v>64.400000000000006</v>
      </c>
      <c r="J82" s="4"/>
    </row>
    <row r="83" spans="1:11" s="40" customFormat="1" ht="20" customHeight="1">
      <c r="A83" s="198"/>
      <c r="B83" s="4" t="s">
        <v>88</v>
      </c>
      <c r="C83" s="5">
        <f>(หลังริม!C83*2)+(หลังกลาง!C83*6)</f>
        <v>16</v>
      </c>
      <c r="D83" s="6" t="s">
        <v>82</v>
      </c>
      <c r="E83" s="11">
        <v>18.600000000000001</v>
      </c>
      <c r="F83" s="5">
        <f t="shared" si="25"/>
        <v>297.60000000000002</v>
      </c>
      <c r="G83" s="20">
        <v>0</v>
      </c>
      <c r="H83" s="5">
        <f t="shared" si="26"/>
        <v>0</v>
      </c>
      <c r="I83" s="49">
        <f t="shared" si="27"/>
        <v>297.60000000000002</v>
      </c>
      <c r="J83" s="4"/>
    </row>
    <row r="84" spans="1:11" s="40" customFormat="1" ht="20" customHeight="1">
      <c r="A84" s="198"/>
      <c r="B84" s="4" t="s">
        <v>89</v>
      </c>
      <c r="C84" s="5">
        <f>(หลังริม!C84*2)+(หลังกลาง!C84*6)</f>
        <v>8</v>
      </c>
      <c r="D84" s="6" t="s">
        <v>82</v>
      </c>
      <c r="E84" s="11">
        <v>13.8</v>
      </c>
      <c r="F84" s="5">
        <f t="shared" si="25"/>
        <v>110.4</v>
      </c>
      <c r="G84" s="20">
        <v>0</v>
      </c>
      <c r="H84" s="5">
        <f t="shared" si="26"/>
        <v>0</v>
      </c>
      <c r="I84" s="49">
        <f t="shared" si="27"/>
        <v>110.4</v>
      </c>
      <c r="J84" s="4"/>
    </row>
    <row r="85" spans="1:11" s="40" customFormat="1" ht="20" customHeight="1">
      <c r="A85" s="198"/>
      <c r="B85" s="4" t="s">
        <v>90</v>
      </c>
      <c r="C85" s="5">
        <f>(หลังริม!C85*2)+(หลังกลาง!C85*6)</f>
        <v>8</v>
      </c>
      <c r="D85" s="6" t="s">
        <v>82</v>
      </c>
      <c r="E85" s="11">
        <v>15</v>
      </c>
      <c r="F85" s="5">
        <f t="shared" si="25"/>
        <v>120</v>
      </c>
      <c r="G85" s="20">
        <v>0</v>
      </c>
      <c r="H85" s="5">
        <f t="shared" si="26"/>
        <v>0</v>
      </c>
      <c r="I85" s="49">
        <f t="shared" si="27"/>
        <v>120</v>
      </c>
      <c r="J85" s="4"/>
    </row>
    <row r="86" spans="1:11" s="40" customFormat="1" ht="20" customHeight="1">
      <c r="A86" s="198"/>
      <c r="B86" s="4" t="s">
        <v>91</v>
      </c>
      <c r="C86" s="5">
        <f>(หลังริม!C86*2)+(หลังกลาง!C86*6)</f>
        <v>8</v>
      </c>
      <c r="D86" s="6" t="s">
        <v>82</v>
      </c>
      <c r="E86" s="11">
        <v>13</v>
      </c>
      <c r="F86" s="5">
        <f t="shared" si="25"/>
        <v>104</v>
      </c>
      <c r="G86" s="20">
        <v>0</v>
      </c>
      <c r="H86" s="5">
        <f t="shared" si="26"/>
        <v>0</v>
      </c>
      <c r="I86" s="49">
        <f t="shared" si="27"/>
        <v>104</v>
      </c>
      <c r="J86" s="4"/>
    </row>
    <row r="87" spans="1:11" s="40" customFormat="1" ht="20" customHeight="1">
      <c r="A87" s="198"/>
      <c r="B87" s="4" t="s">
        <v>92</v>
      </c>
      <c r="C87" s="5">
        <f>(หลังริม!C87*2)+(หลังกลาง!C87*6)</f>
        <v>8</v>
      </c>
      <c r="D87" s="6" t="s">
        <v>82</v>
      </c>
      <c r="E87" s="11">
        <v>12</v>
      </c>
      <c r="F87" s="5">
        <f t="shared" si="25"/>
        <v>96</v>
      </c>
      <c r="G87" s="20">
        <v>0</v>
      </c>
      <c r="H87" s="5">
        <f t="shared" si="26"/>
        <v>0</v>
      </c>
      <c r="I87" s="49">
        <f t="shared" si="27"/>
        <v>96</v>
      </c>
      <c r="J87" s="4"/>
    </row>
    <row r="88" spans="1:11" s="40" customFormat="1" ht="20" customHeight="1">
      <c r="A88" s="198"/>
      <c r="B88" s="4" t="s">
        <v>93</v>
      </c>
      <c r="C88" s="5">
        <f>(หลังริม!C88*2)+(หลังกลาง!C88*6)</f>
        <v>8</v>
      </c>
      <c r="D88" s="6" t="s">
        <v>82</v>
      </c>
      <c r="E88" s="11">
        <v>4.7</v>
      </c>
      <c r="F88" s="5">
        <f t="shared" si="25"/>
        <v>37.6</v>
      </c>
      <c r="G88" s="20">
        <v>0</v>
      </c>
      <c r="H88" s="5">
        <f t="shared" si="26"/>
        <v>0</v>
      </c>
      <c r="I88" s="49">
        <f t="shared" si="27"/>
        <v>37.6</v>
      </c>
      <c r="J88" s="4"/>
    </row>
    <row r="89" spans="1:11" s="40" customFormat="1" ht="20" customHeight="1">
      <c r="A89" s="6"/>
      <c r="B89" s="4" t="s">
        <v>94</v>
      </c>
      <c r="C89" s="5">
        <f>(หลังริม!C89*2)+(หลังกลาง!C89*6)</f>
        <v>10</v>
      </c>
      <c r="D89" s="6" t="s">
        <v>95</v>
      </c>
      <c r="E89" s="11">
        <v>434</v>
      </c>
      <c r="F89" s="5">
        <f t="shared" si="25"/>
        <v>4340</v>
      </c>
      <c r="G89" s="20">
        <v>0</v>
      </c>
      <c r="H89" s="5">
        <f t="shared" si="26"/>
        <v>0</v>
      </c>
      <c r="I89" s="49">
        <f t="shared" si="27"/>
        <v>4340</v>
      </c>
      <c r="J89" s="4"/>
    </row>
    <row r="90" spans="1:11" s="40" customFormat="1" ht="20" customHeight="1">
      <c r="A90" s="6"/>
      <c r="B90" s="4" t="s">
        <v>96</v>
      </c>
      <c r="C90" s="5">
        <f>(หลังริม!C90*2)+(หลังกลาง!C90*6)</f>
        <v>8</v>
      </c>
      <c r="D90" s="6" t="s">
        <v>66</v>
      </c>
      <c r="E90" s="11">
        <v>3600</v>
      </c>
      <c r="F90" s="5">
        <f t="shared" si="25"/>
        <v>28800</v>
      </c>
      <c r="G90" s="20">
        <v>0</v>
      </c>
      <c r="H90" s="5">
        <f t="shared" si="26"/>
        <v>0</v>
      </c>
      <c r="I90" s="49">
        <f t="shared" si="27"/>
        <v>28800</v>
      </c>
      <c r="J90" s="4"/>
    </row>
    <row r="91" spans="1:11" s="40" customFormat="1" ht="20" customHeight="1">
      <c r="A91" s="198"/>
      <c r="B91" s="3" t="s">
        <v>280</v>
      </c>
      <c r="C91" s="5">
        <f>(หลังริม!C91*2)+(หลังกลาง!C91*6)</f>
        <v>2.6666666666666665</v>
      </c>
      <c r="D91" s="6" t="s">
        <v>97</v>
      </c>
      <c r="E91" s="11">
        <v>600</v>
      </c>
      <c r="F91" s="5">
        <f t="shared" si="25"/>
        <v>1600</v>
      </c>
      <c r="G91" s="20">
        <v>0</v>
      </c>
      <c r="H91" s="5">
        <f t="shared" si="26"/>
        <v>0</v>
      </c>
      <c r="I91" s="49">
        <f t="shared" si="27"/>
        <v>1600</v>
      </c>
      <c r="J91" s="4"/>
    </row>
    <row r="92" spans="1:11" s="40" customFormat="1" ht="20" customHeight="1">
      <c r="A92" s="198"/>
      <c r="B92" s="4" t="s">
        <v>113</v>
      </c>
      <c r="C92" s="5">
        <f>(หลังริม!C92*2)+(หลังกลาง!C92*6)</f>
        <v>8</v>
      </c>
      <c r="D92" s="6" t="s">
        <v>66</v>
      </c>
      <c r="E92" s="11">
        <v>1100</v>
      </c>
      <c r="F92" s="5">
        <f t="shared" si="25"/>
        <v>8800</v>
      </c>
      <c r="G92" s="20">
        <v>0</v>
      </c>
      <c r="H92" s="5">
        <f t="shared" si="26"/>
        <v>0</v>
      </c>
      <c r="I92" s="49">
        <f t="shared" si="27"/>
        <v>8800</v>
      </c>
      <c r="J92" s="4"/>
    </row>
    <row r="93" spans="1:11" s="40" customFormat="1" ht="20" customHeight="1">
      <c r="A93" s="198"/>
      <c r="B93" s="4" t="s">
        <v>98</v>
      </c>
      <c r="C93" s="5">
        <f>(หลังริม!C93*2)+(หลังกลาง!C93*6)</f>
        <v>4.666666666666667</v>
      </c>
      <c r="D93" s="6" t="s">
        <v>97</v>
      </c>
      <c r="E93" s="11">
        <v>160</v>
      </c>
      <c r="F93" s="5">
        <f t="shared" si="25"/>
        <v>746.66666666666674</v>
      </c>
      <c r="G93" s="20">
        <v>0</v>
      </c>
      <c r="H93" s="5">
        <f t="shared" si="26"/>
        <v>0</v>
      </c>
      <c r="I93" s="49">
        <f t="shared" si="27"/>
        <v>746.66666666666674</v>
      </c>
      <c r="J93" s="4"/>
    </row>
    <row r="94" spans="1:11" s="40" customFormat="1" ht="20" customHeight="1">
      <c r="A94" s="6"/>
      <c r="B94" s="4" t="s">
        <v>99</v>
      </c>
      <c r="C94" s="5">
        <f>(หลังริม!C94*2)+(หลังกลาง!C94*6)</f>
        <v>16</v>
      </c>
      <c r="D94" s="6" t="s">
        <v>100</v>
      </c>
      <c r="E94" s="11">
        <v>108</v>
      </c>
      <c r="F94" s="5">
        <f t="shared" si="25"/>
        <v>1728</v>
      </c>
      <c r="G94" s="20">
        <v>0</v>
      </c>
      <c r="H94" s="5">
        <f t="shared" si="26"/>
        <v>0</v>
      </c>
      <c r="I94" s="49">
        <f t="shared" si="27"/>
        <v>1728</v>
      </c>
      <c r="J94" s="4"/>
    </row>
    <row r="95" spans="1:11" s="40" customFormat="1" ht="20" customHeight="1">
      <c r="A95" s="6"/>
      <c r="B95" s="4" t="s">
        <v>101</v>
      </c>
      <c r="C95" s="5">
        <f>(หลังริม!C95*2)+(หลังกลาง!C95*6)</f>
        <v>16</v>
      </c>
      <c r="D95" s="6" t="s">
        <v>102</v>
      </c>
      <c r="E95" s="11">
        <v>42</v>
      </c>
      <c r="F95" s="5">
        <f t="shared" si="25"/>
        <v>672</v>
      </c>
      <c r="G95" s="20">
        <v>0</v>
      </c>
      <c r="H95" s="5">
        <f t="shared" si="26"/>
        <v>0</v>
      </c>
      <c r="I95" s="49">
        <f t="shared" si="27"/>
        <v>672</v>
      </c>
      <c r="J95" s="4"/>
    </row>
    <row r="96" spans="1:11" s="50" customFormat="1" ht="20" customHeight="1">
      <c r="A96" s="199"/>
      <c r="B96" s="12" t="s">
        <v>103</v>
      </c>
      <c r="C96" s="5">
        <f>(หลังริม!C96*2)+(หลังกลาง!C96*6)</f>
        <v>0</v>
      </c>
      <c r="D96" s="12"/>
      <c r="E96" s="21"/>
      <c r="F96" s="18">
        <f>SUM(F70:F95)</f>
        <v>109155.06666666668</v>
      </c>
      <c r="G96" s="18"/>
      <c r="H96" s="18">
        <f t="shared" ref="H96:I96" si="28">SUM(H70:H95)</f>
        <v>0</v>
      </c>
      <c r="I96" s="18">
        <f t="shared" si="28"/>
        <v>109155.06666666668</v>
      </c>
      <c r="J96" s="13"/>
      <c r="K96" s="151">
        <f>H96+F96</f>
        <v>109155.06666666668</v>
      </c>
    </row>
    <row r="97" spans="1:11" s="40" customFormat="1" ht="20" customHeight="1">
      <c r="A97" s="6"/>
      <c r="B97" s="3" t="s">
        <v>114</v>
      </c>
      <c r="C97" s="5">
        <f>(หลังริม!C97*2)+(หลังกลาง!C97*6)</f>
        <v>0</v>
      </c>
      <c r="D97" s="6"/>
      <c r="E97" s="11"/>
      <c r="F97" s="5"/>
      <c r="G97" s="10"/>
      <c r="H97" s="5"/>
      <c r="I97" s="7"/>
      <c r="J97" s="4"/>
    </row>
    <row r="98" spans="1:11" s="40" customFormat="1" ht="20" customHeight="1">
      <c r="A98" s="198"/>
      <c r="B98" s="4" t="s">
        <v>104</v>
      </c>
      <c r="C98" s="5">
        <f>(หลังริม!C98*2)+(หลังกลาง!C98*6)</f>
        <v>8</v>
      </c>
      <c r="D98" s="6" t="s">
        <v>105</v>
      </c>
      <c r="E98" s="11">
        <v>109</v>
      </c>
      <c r="F98" s="5">
        <f>E98*C98</f>
        <v>872</v>
      </c>
      <c r="G98" s="20">
        <v>6000</v>
      </c>
      <c r="H98" s="5">
        <f t="shared" ref="H98:H99" si="29">G98*C98</f>
        <v>48000</v>
      </c>
      <c r="I98" s="49">
        <f t="shared" ref="I98:I99" si="30">H98+F98</f>
        <v>48872</v>
      </c>
      <c r="J98" s="4"/>
    </row>
    <row r="99" spans="1:11" s="40" customFormat="1" ht="20" customHeight="1">
      <c r="A99" s="198"/>
      <c r="B99" s="4" t="s">
        <v>106</v>
      </c>
      <c r="C99" s="5">
        <f>(หลังริม!C99*2)+(หลังกลาง!C99*6)</f>
        <v>26.666666666666668</v>
      </c>
      <c r="D99" s="6" t="s">
        <v>105</v>
      </c>
      <c r="E99" s="11">
        <v>75</v>
      </c>
      <c r="F99" s="5">
        <f>E99*C99</f>
        <v>2000</v>
      </c>
      <c r="G99" s="20">
        <v>0</v>
      </c>
      <c r="H99" s="5">
        <f t="shared" si="29"/>
        <v>0</v>
      </c>
      <c r="I99" s="49">
        <f t="shared" si="30"/>
        <v>2000</v>
      </c>
      <c r="J99" s="4"/>
    </row>
    <row r="100" spans="1:11" s="50" customFormat="1" ht="20" customHeight="1">
      <c r="A100" s="12"/>
      <c r="B100" s="12" t="s">
        <v>115</v>
      </c>
      <c r="C100" s="5">
        <f>(หลังริม!C100*2)+(หลังกลาง!C100*6)</f>
        <v>0</v>
      </c>
      <c r="D100" s="12"/>
      <c r="E100" s="100"/>
      <c r="F100" s="14">
        <f>SUM(F98:F99)</f>
        <v>2872</v>
      </c>
      <c r="G100" s="14"/>
      <c r="H100" s="14">
        <f t="shared" ref="H100:I100" si="31">SUM(H98:H99)</f>
        <v>48000</v>
      </c>
      <c r="I100" s="14">
        <f t="shared" si="31"/>
        <v>50872</v>
      </c>
      <c r="J100" s="13"/>
      <c r="K100" s="151">
        <f>H100+F100</f>
        <v>50872</v>
      </c>
    </row>
    <row r="101" spans="1:11" s="40" customFormat="1" ht="20" customHeight="1">
      <c r="A101" s="198"/>
      <c r="B101" s="3" t="s">
        <v>210</v>
      </c>
      <c r="C101" s="5">
        <f>(หลังริม!C101*2)+(หลังกลาง!C101*6)</f>
        <v>0</v>
      </c>
      <c r="D101" s="6"/>
      <c r="E101" s="48"/>
      <c r="F101" s="4"/>
      <c r="G101" s="4"/>
      <c r="H101" s="4"/>
      <c r="I101" s="4"/>
      <c r="J101" s="4"/>
    </row>
    <row r="102" spans="1:11" s="40" customFormat="1" ht="20" customHeight="1">
      <c r="A102" s="198"/>
      <c r="B102" s="4" t="s">
        <v>211</v>
      </c>
      <c r="C102" s="5">
        <f>(หลังริม!C102*2)+(หลังกลาง!C102*6)</f>
        <v>700</v>
      </c>
      <c r="D102" s="6" t="s">
        <v>246</v>
      </c>
      <c r="E102" s="11">
        <v>5.5</v>
      </c>
      <c r="F102" s="5">
        <f>E102*C102</f>
        <v>3850</v>
      </c>
      <c r="G102" s="20">
        <v>0</v>
      </c>
      <c r="H102" s="5">
        <f t="shared" ref="H102:H109" si="32">G102*C102</f>
        <v>0</v>
      </c>
      <c r="I102" s="49">
        <f>H102+F102</f>
        <v>3850</v>
      </c>
      <c r="J102" s="4"/>
    </row>
    <row r="103" spans="1:11" s="40" customFormat="1" ht="20" customHeight="1">
      <c r="A103" s="198"/>
      <c r="B103" s="4" t="s">
        <v>212</v>
      </c>
      <c r="C103" s="5">
        <f>(หลังริม!C103*2)+(หลังกลาง!C103*6)</f>
        <v>2.6666666666666665</v>
      </c>
      <c r="D103" s="6" t="s">
        <v>214</v>
      </c>
      <c r="E103" s="11">
        <v>500</v>
      </c>
      <c r="F103" s="5">
        <f t="shared" ref="F103:F110" si="33">E103*C103</f>
        <v>1333.3333333333333</v>
      </c>
      <c r="G103" s="20">
        <v>0</v>
      </c>
      <c r="H103" s="5">
        <f t="shared" si="32"/>
        <v>0</v>
      </c>
      <c r="I103" s="49">
        <f t="shared" ref="I103:I110" si="34">H103+F103</f>
        <v>1333.3333333333333</v>
      </c>
      <c r="J103" s="4"/>
    </row>
    <row r="104" spans="1:11" s="40" customFormat="1" ht="20" customHeight="1">
      <c r="A104" s="198"/>
      <c r="B104" s="4" t="s">
        <v>213</v>
      </c>
      <c r="C104" s="5">
        <f>(หลังริม!C104*2)+(หลังกลาง!C104*6)</f>
        <v>2.6666666666666665</v>
      </c>
      <c r="D104" s="6" t="s">
        <v>214</v>
      </c>
      <c r="E104" s="11">
        <v>400</v>
      </c>
      <c r="F104" s="5">
        <f t="shared" si="33"/>
        <v>1066.6666666666665</v>
      </c>
      <c r="G104" s="20">
        <v>0</v>
      </c>
      <c r="H104" s="5">
        <f t="shared" si="32"/>
        <v>0</v>
      </c>
      <c r="I104" s="49">
        <f t="shared" si="34"/>
        <v>1066.6666666666665</v>
      </c>
      <c r="J104" s="4"/>
    </row>
    <row r="105" spans="1:11" s="40" customFormat="1" ht="20" customHeight="1">
      <c r="A105" s="198"/>
      <c r="B105" s="4" t="s">
        <v>107</v>
      </c>
      <c r="C105" s="5">
        <f>(หลังริม!C105*2)+(หลังกลาง!C105*6)</f>
        <v>26.666666666666668</v>
      </c>
      <c r="D105" s="6" t="s">
        <v>105</v>
      </c>
      <c r="E105" s="11">
        <v>92</v>
      </c>
      <c r="F105" s="5">
        <f t="shared" si="33"/>
        <v>2453.3333333333335</v>
      </c>
      <c r="G105" s="20">
        <v>0</v>
      </c>
      <c r="H105" s="5">
        <f t="shared" si="32"/>
        <v>0</v>
      </c>
      <c r="I105" s="49">
        <f t="shared" si="34"/>
        <v>2453.3333333333335</v>
      </c>
      <c r="J105" s="4"/>
    </row>
    <row r="106" spans="1:11" s="40" customFormat="1" ht="20" customHeight="1">
      <c r="A106" s="198"/>
      <c r="B106" s="4" t="s">
        <v>108</v>
      </c>
      <c r="C106" s="5">
        <f>(หลังริม!C106*2)+(หลังกลาง!C106*6)</f>
        <v>80</v>
      </c>
      <c r="D106" s="6" t="s">
        <v>105</v>
      </c>
      <c r="E106" s="11">
        <v>61</v>
      </c>
      <c r="F106" s="5">
        <f t="shared" si="33"/>
        <v>4880</v>
      </c>
      <c r="G106" s="20">
        <v>0</v>
      </c>
      <c r="H106" s="5">
        <f t="shared" si="32"/>
        <v>0</v>
      </c>
      <c r="I106" s="49">
        <f t="shared" si="34"/>
        <v>4880</v>
      </c>
      <c r="J106" s="4"/>
    </row>
    <row r="107" spans="1:11" s="40" customFormat="1" ht="20" customHeight="1">
      <c r="A107" s="198"/>
      <c r="B107" s="4" t="s">
        <v>245</v>
      </c>
      <c r="C107" s="5">
        <f>(หลังริม!C107*2)+(หลังกลาง!C107*6)</f>
        <v>13.333333333333334</v>
      </c>
      <c r="D107" s="6" t="s">
        <v>53</v>
      </c>
      <c r="E107" s="11">
        <v>110</v>
      </c>
      <c r="F107" s="5">
        <f t="shared" si="33"/>
        <v>1466.6666666666667</v>
      </c>
      <c r="G107" s="20">
        <v>0</v>
      </c>
      <c r="H107" s="5">
        <f t="shared" si="32"/>
        <v>0</v>
      </c>
      <c r="I107" s="49">
        <f t="shared" si="34"/>
        <v>1466.6666666666667</v>
      </c>
      <c r="J107" s="4"/>
    </row>
    <row r="108" spans="1:11" s="40" customFormat="1" ht="20" customHeight="1">
      <c r="A108" s="198"/>
      <c r="B108" s="4" t="s">
        <v>41</v>
      </c>
      <c r="C108" s="5">
        <f>(หลังริม!C108*2)+(หลังกลาง!C108*6)</f>
        <v>13.333333333333334</v>
      </c>
      <c r="D108" s="6" t="s">
        <v>53</v>
      </c>
      <c r="E108" s="11">
        <v>64</v>
      </c>
      <c r="F108" s="5">
        <f t="shared" si="33"/>
        <v>853.33333333333337</v>
      </c>
      <c r="G108" s="20">
        <v>0</v>
      </c>
      <c r="H108" s="5">
        <f t="shared" si="32"/>
        <v>0</v>
      </c>
      <c r="I108" s="49">
        <f t="shared" si="34"/>
        <v>853.33333333333337</v>
      </c>
      <c r="J108" s="4"/>
    </row>
    <row r="109" spans="1:11" s="40" customFormat="1" ht="20" customHeight="1">
      <c r="A109" s="198"/>
      <c r="B109" s="4" t="s">
        <v>215</v>
      </c>
      <c r="C109" s="5">
        <f>(หลังริม!C109*2)+(หลังกลาง!C109*6)</f>
        <v>1.3333333333333333</v>
      </c>
      <c r="D109" s="6" t="s">
        <v>97</v>
      </c>
      <c r="E109" s="11">
        <v>0</v>
      </c>
      <c r="F109" s="5">
        <f t="shared" si="33"/>
        <v>0</v>
      </c>
      <c r="G109" s="20">
        <v>0</v>
      </c>
      <c r="H109" s="5">
        <f t="shared" si="32"/>
        <v>0</v>
      </c>
      <c r="I109" s="49">
        <f t="shared" si="34"/>
        <v>0</v>
      </c>
      <c r="J109" s="4"/>
    </row>
    <row r="110" spans="1:11" s="43" customFormat="1" ht="20" customHeight="1">
      <c r="A110" s="6"/>
      <c r="B110" s="4" t="s">
        <v>281</v>
      </c>
      <c r="C110" s="5">
        <f>(หลังริม!C110*2)+(หลังกลาง!C110*6)</f>
        <v>8</v>
      </c>
      <c r="D110" s="6" t="s">
        <v>264</v>
      </c>
      <c r="E110" s="5">
        <v>0</v>
      </c>
      <c r="F110" s="5">
        <f t="shared" si="33"/>
        <v>0</v>
      </c>
      <c r="G110" s="70">
        <v>1012</v>
      </c>
      <c r="H110" s="5">
        <f>G110*C110</f>
        <v>8096</v>
      </c>
      <c r="I110" s="49">
        <f t="shared" si="34"/>
        <v>8096</v>
      </c>
      <c r="J110" s="4"/>
      <c r="K110" s="73"/>
    </row>
    <row r="111" spans="1:11" s="72" customFormat="1" ht="20" customHeight="1">
      <c r="A111" s="12"/>
      <c r="B111" s="12" t="s">
        <v>128</v>
      </c>
      <c r="C111" s="5">
        <f>(หลังริม!C111*2)+(หลังกลาง!C111*6)</f>
        <v>0</v>
      </c>
      <c r="D111" s="12"/>
      <c r="E111" s="99"/>
      <c r="F111" s="71">
        <f>SUM(F102:F110)</f>
        <v>15903.333333333334</v>
      </c>
      <c r="G111" s="71"/>
      <c r="H111" s="71">
        <f t="shared" ref="H111:I111" si="35">SUM(H102:H110)</f>
        <v>8096</v>
      </c>
      <c r="I111" s="71">
        <f t="shared" si="35"/>
        <v>23999.333333333336</v>
      </c>
      <c r="J111" s="12"/>
      <c r="K111" s="151">
        <f>H111+F111</f>
        <v>23999.333333333336</v>
      </c>
    </row>
    <row r="112" spans="1:11" s="40" customFormat="1" ht="20" customHeight="1">
      <c r="A112" s="198"/>
      <c r="B112" s="3" t="s">
        <v>216</v>
      </c>
      <c r="C112" s="5">
        <f>(หลังริม!C112*2)+(หลังกลาง!C112*6)</f>
        <v>0</v>
      </c>
      <c r="D112" s="6"/>
      <c r="E112" s="48"/>
      <c r="F112" s="4"/>
      <c r="G112" s="4"/>
      <c r="H112" s="4"/>
      <c r="I112" s="4"/>
      <c r="J112" s="4"/>
    </row>
    <row r="113" spans="1:20" s="40" customFormat="1" ht="20" customHeight="1">
      <c r="A113" s="198"/>
      <c r="B113" s="4" t="s">
        <v>217</v>
      </c>
      <c r="C113" s="5">
        <f>(หลังริม!C113*2)+(หลังกลาง!C113*6)</f>
        <v>192</v>
      </c>
      <c r="D113" s="6" t="s">
        <v>32</v>
      </c>
      <c r="E113" s="11">
        <v>45</v>
      </c>
      <c r="F113" s="5">
        <f>E113*C113</f>
        <v>8640</v>
      </c>
      <c r="G113" s="5">
        <v>80</v>
      </c>
      <c r="H113" s="5">
        <f>G113*C113</f>
        <v>15360</v>
      </c>
      <c r="I113" s="7">
        <f>F113+H113</f>
        <v>24000</v>
      </c>
      <c r="J113" s="4"/>
    </row>
    <row r="114" spans="1:20" s="40" customFormat="1" ht="20" customHeight="1">
      <c r="A114" s="198"/>
      <c r="B114" s="4" t="s">
        <v>36</v>
      </c>
      <c r="C114" s="5">
        <f>(หลังริม!C114*2)+(หลังกลาง!C114*6)</f>
        <v>22.666666666666668</v>
      </c>
      <c r="D114" s="6" t="s">
        <v>16</v>
      </c>
      <c r="E114" s="11">
        <v>1500</v>
      </c>
      <c r="F114" s="5">
        <f>E114*C114</f>
        <v>34000</v>
      </c>
      <c r="G114" s="20">
        <v>0</v>
      </c>
      <c r="H114" s="5">
        <f>G114*C114</f>
        <v>0</v>
      </c>
      <c r="I114" s="7">
        <f>F114+H114</f>
        <v>34000</v>
      </c>
      <c r="J114" s="4"/>
    </row>
    <row r="115" spans="1:20" s="72" customFormat="1" ht="20" customHeight="1">
      <c r="A115" s="12"/>
      <c r="B115" s="12" t="s">
        <v>134</v>
      </c>
      <c r="C115" s="5">
        <f>(หลังริม!C115*2)+(หลังกลาง!C115*6)</f>
        <v>0</v>
      </c>
      <c r="D115" s="12"/>
      <c r="E115" s="99"/>
      <c r="F115" s="71">
        <f>SUM(F113:F114)</f>
        <v>42640</v>
      </c>
      <c r="G115" s="71"/>
      <c r="H115" s="71">
        <f t="shared" ref="H115:I115" si="36">SUM(H113:H114)</f>
        <v>15360</v>
      </c>
      <c r="I115" s="71">
        <f t="shared" si="36"/>
        <v>58000</v>
      </c>
      <c r="J115" s="12"/>
      <c r="K115" s="151">
        <f>H115+F115</f>
        <v>58000</v>
      </c>
    </row>
    <row r="116" spans="1:20" s="40" customFormat="1" ht="20" customHeight="1">
      <c r="A116" s="198"/>
      <c r="B116" s="3" t="s">
        <v>247</v>
      </c>
      <c r="C116" s="5">
        <f>(หลังริม!C116*2)+(หลังกลาง!C116*6)</f>
        <v>0</v>
      </c>
      <c r="D116" s="6"/>
      <c r="E116" s="11"/>
      <c r="F116" s="5"/>
      <c r="G116" s="5"/>
      <c r="H116" s="5"/>
      <c r="I116" s="7"/>
      <c r="J116" s="4"/>
    </row>
    <row r="117" spans="1:20" s="40" customFormat="1" ht="20" customHeight="1">
      <c r="A117" s="198"/>
      <c r="B117" s="4" t="s">
        <v>43</v>
      </c>
      <c r="C117" s="5">
        <f>(หลังริม!C117*2)+(หลังกลาง!C117*6)</f>
        <v>6.6666666666666666E-2</v>
      </c>
      <c r="D117" s="6" t="s">
        <v>42</v>
      </c>
      <c r="E117" s="11">
        <v>137</v>
      </c>
      <c r="F117" s="5">
        <f>C117*1000/4.99*E117</f>
        <v>1830.3273213092853</v>
      </c>
      <c r="G117" s="20">
        <v>0</v>
      </c>
      <c r="H117" s="5">
        <f>G117*C117</f>
        <v>0</v>
      </c>
      <c r="I117" s="49">
        <f>H117+F117</f>
        <v>1830.3273213092853</v>
      </c>
      <c r="J117" s="4"/>
    </row>
    <row r="118" spans="1:20" s="40" customFormat="1" ht="20" customHeight="1">
      <c r="A118" s="198"/>
      <c r="B118" s="4" t="s">
        <v>44</v>
      </c>
      <c r="C118" s="5">
        <f>(หลังริม!C118*2)+(หลังกลาง!C118*6)</f>
        <v>5.3333333333333337E-2</v>
      </c>
      <c r="D118" s="6" t="s">
        <v>42</v>
      </c>
      <c r="E118" s="11">
        <v>240</v>
      </c>
      <c r="F118" s="5">
        <f>C118*1000/8.88*E118</f>
        <v>1441.4414414414414</v>
      </c>
      <c r="G118" s="20">
        <v>0</v>
      </c>
      <c r="H118" s="5">
        <f t="shared" ref="H118:H121" si="37">G118*C118</f>
        <v>0</v>
      </c>
      <c r="I118" s="49">
        <f t="shared" ref="I118:I121" si="38">H118+F118</f>
        <v>1441.4414414414414</v>
      </c>
      <c r="J118" s="4"/>
    </row>
    <row r="119" spans="1:20" s="40" customFormat="1" ht="20" customHeight="1">
      <c r="A119" s="6"/>
      <c r="B119" s="4" t="s">
        <v>111</v>
      </c>
      <c r="C119" s="5">
        <f>(หลังริม!C119*2)+(หลังกลาง!C119*6)</f>
        <v>17.333333333333332</v>
      </c>
      <c r="D119" s="6" t="s">
        <v>16</v>
      </c>
      <c r="E119" s="11">
        <v>1600</v>
      </c>
      <c r="F119" s="5">
        <f>E119*C119</f>
        <v>27733.333333333332</v>
      </c>
      <c r="G119" s="20">
        <v>0</v>
      </c>
      <c r="H119" s="5">
        <f t="shared" si="37"/>
        <v>0</v>
      </c>
      <c r="I119" s="49">
        <f t="shared" si="38"/>
        <v>27733.333333333332</v>
      </c>
      <c r="J119" s="4"/>
    </row>
    <row r="120" spans="1:20" s="40" customFormat="1" ht="20" customHeight="1">
      <c r="A120" s="6"/>
      <c r="B120" s="4" t="s">
        <v>49</v>
      </c>
      <c r="C120" s="5">
        <f>(หลังริม!C120*2)+(หลังกลาง!C120*6)</f>
        <v>173.33333333333334</v>
      </c>
      <c r="D120" s="6" t="s">
        <v>32</v>
      </c>
      <c r="E120" s="11">
        <v>74.2</v>
      </c>
      <c r="F120" s="5">
        <f>E120*C120</f>
        <v>12861.333333333334</v>
      </c>
      <c r="G120" s="20">
        <v>0</v>
      </c>
      <c r="H120" s="5">
        <f t="shared" si="37"/>
        <v>0</v>
      </c>
      <c r="I120" s="49">
        <f t="shared" si="38"/>
        <v>12861.333333333334</v>
      </c>
      <c r="J120" s="4"/>
    </row>
    <row r="121" spans="1:20" s="43" customFormat="1" ht="20" customHeight="1">
      <c r="A121" s="6"/>
      <c r="B121" s="4" t="s">
        <v>275</v>
      </c>
      <c r="C121" s="5">
        <f>(หลังริม!C121*2)+(หลังกลาง!C121*6)</f>
        <v>8</v>
      </c>
      <c r="D121" s="6" t="s">
        <v>264</v>
      </c>
      <c r="E121" s="5">
        <v>0</v>
      </c>
      <c r="F121" s="5">
        <f>E121*C121</f>
        <v>0</v>
      </c>
      <c r="G121" s="70">
        <v>2500</v>
      </c>
      <c r="H121" s="5">
        <f t="shared" si="37"/>
        <v>20000</v>
      </c>
      <c r="I121" s="49">
        <f t="shared" si="38"/>
        <v>20000</v>
      </c>
      <c r="J121" s="4"/>
      <c r="K121" s="73"/>
    </row>
    <row r="122" spans="1:20" s="72" customFormat="1" ht="20" customHeight="1">
      <c r="A122" s="12"/>
      <c r="B122" s="12" t="s">
        <v>162</v>
      </c>
      <c r="C122" s="5">
        <f>(หลังริม!C122*2)+(หลังกลาง!C122*6)</f>
        <v>0</v>
      </c>
      <c r="D122" s="12"/>
      <c r="E122" s="99"/>
      <c r="F122" s="71">
        <f>SUM(F117:F121)</f>
        <v>43866.43542941739</v>
      </c>
      <c r="G122" s="71"/>
      <c r="H122" s="71">
        <f t="shared" ref="H122:I122" si="39">SUM(H117:H121)</f>
        <v>20000</v>
      </c>
      <c r="I122" s="71">
        <f t="shared" si="39"/>
        <v>63866.43542941739</v>
      </c>
      <c r="J122" s="12"/>
      <c r="K122" s="151">
        <f>H122+F122</f>
        <v>63866.43542941739</v>
      </c>
    </row>
    <row r="123" spans="1:20" s="40" customFormat="1" ht="20" customHeight="1">
      <c r="A123" s="198"/>
      <c r="B123" s="3" t="s">
        <v>223</v>
      </c>
      <c r="C123" s="5">
        <f>(หลังริม!C123*2)+(หลังกลาง!C123*6)</f>
        <v>0</v>
      </c>
      <c r="D123" s="6"/>
      <c r="E123" s="48"/>
      <c r="F123" s="4"/>
      <c r="G123" s="4"/>
      <c r="H123" s="4"/>
      <c r="I123" s="4"/>
      <c r="J123" s="4"/>
      <c r="K123" s="43"/>
      <c r="L123" s="43"/>
      <c r="M123" s="43"/>
      <c r="N123" s="43"/>
      <c r="O123" s="43"/>
      <c r="P123" s="43"/>
      <c r="Q123" s="43"/>
      <c r="R123" s="43"/>
      <c r="S123" s="43"/>
      <c r="T123" s="43"/>
    </row>
    <row r="124" spans="1:20" s="40" customFormat="1" ht="20" customHeight="1">
      <c r="A124" s="198"/>
      <c r="B124" s="4" t="s">
        <v>117</v>
      </c>
      <c r="C124" s="5">
        <f>(หลังริม!C124*2)+(หลังกลาง!C124*6)</f>
        <v>832</v>
      </c>
      <c r="D124" s="6" t="s">
        <v>60</v>
      </c>
      <c r="E124" s="11">
        <v>67</v>
      </c>
      <c r="F124" s="5">
        <f>E124*C124</f>
        <v>55744</v>
      </c>
      <c r="G124" s="20">
        <v>0</v>
      </c>
      <c r="H124" s="5">
        <f>G124*C124</f>
        <v>0</v>
      </c>
      <c r="I124" s="49">
        <f>H124+F124</f>
        <v>55744</v>
      </c>
      <c r="J124" s="4"/>
      <c r="K124" s="43"/>
      <c r="L124" s="43"/>
      <c r="M124" s="43"/>
      <c r="N124" s="43"/>
      <c r="O124" s="43"/>
      <c r="P124" s="43"/>
      <c r="Q124" s="43"/>
      <c r="R124" s="43"/>
      <c r="S124" s="43"/>
      <c r="T124" s="43"/>
    </row>
    <row r="125" spans="1:20" s="40" customFormat="1" ht="20" customHeight="1">
      <c r="A125" s="198"/>
      <c r="B125" s="4" t="s">
        <v>118</v>
      </c>
      <c r="C125" s="5">
        <f>(หลังริม!C125*2)+(หลังกลาง!C125*6)</f>
        <v>208</v>
      </c>
      <c r="D125" s="6" t="s">
        <v>60</v>
      </c>
      <c r="E125" s="11">
        <v>82</v>
      </c>
      <c r="F125" s="5">
        <f t="shared" ref="F125:F136" si="40">E125*C125</f>
        <v>17056</v>
      </c>
      <c r="G125" s="20">
        <v>0</v>
      </c>
      <c r="H125" s="5">
        <f t="shared" ref="H125:H136" si="41">G125*C125</f>
        <v>0</v>
      </c>
      <c r="I125" s="49">
        <f t="shared" ref="I125:I136" si="42">H125+F125</f>
        <v>17056</v>
      </c>
      <c r="J125" s="4"/>
      <c r="K125" s="43"/>
      <c r="L125" s="43"/>
      <c r="M125" s="43"/>
      <c r="N125" s="43"/>
      <c r="O125" s="43"/>
      <c r="P125" s="43"/>
      <c r="Q125" s="43"/>
      <c r="R125" s="43"/>
      <c r="S125" s="43"/>
      <c r="T125" s="43"/>
    </row>
    <row r="126" spans="1:20" s="40" customFormat="1" ht="20" customHeight="1">
      <c r="A126" s="6"/>
      <c r="B126" s="4" t="s">
        <v>156</v>
      </c>
      <c r="C126" s="5">
        <f>(หลังริม!C126*2)+(หลังกลาง!C126*6)</f>
        <v>20</v>
      </c>
      <c r="D126" s="6" t="s">
        <v>125</v>
      </c>
      <c r="E126" s="11">
        <v>870</v>
      </c>
      <c r="F126" s="5">
        <f t="shared" si="40"/>
        <v>17400</v>
      </c>
      <c r="G126" s="20">
        <v>0</v>
      </c>
      <c r="H126" s="5">
        <f t="shared" si="41"/>
        <v>0</v>
      </c>
      <c r="I126" s="49">
        <f t="shared" si="42"/>
        <v>17400</v>
      </c>
      <c r="J126" s="4"/>
      <c r="K126" s="43"/>
      <c r="L126" s="43"/>
      <c r="M126" s="43"/>
      <c r="N126" s="43"/>
      <c r="O126" s="43"/>
      <c r="P126" s="43"/>
      <c r="Q126" s="43"/>
      <c r="R126" s="43"/>
      <c r="S126" s="43"/>
      <c r="T126" s="43"/>
    </row>
    <row r="127" spans="1:20" s="40" customFormat="1" ht="20" customHeight="1">
      <c r="A127" s="198"/>
      <c r="B127" s="4" t="s">
        <v>126</v>
      </c>
      <c r="C127" s="5">
        <f>(หลังริม!C127*2)+(หลังกลาง!C127*6)</f>
        <v>8</v>
      </c>
      <c r="D127" s="6" t="s">
        <v>60</v>
      </c>
      <c r="E127" s="11">
        <v>53</v>
      </c>
      <c r="F127" s="5">
        <f t="shared" si="40"/>
        <v>424</v>
      </c>
      <c r="G127" s="20">
        <v>0</v>
      </c>
      <c r="H127" s="5">
        <f t="shared" si="41"/>
        <v>0</v>
      </c>
      <c r="I127" s="49">
        <f t="shared" si="42"/>
        <v>424</v>
      </c>
      <c r="J127" s="4"/>
      <c r="K127" s="43"/>
      <c r="L127" s="43"/>
      <c r="M127" s="43"/>
      <c r="N127" s="43"/>
      <c r="O127" s="43"/>
      <c r="P127" s="43"/>
      <c r="Q127" s="43"/>
      <c r="R127" s="43"/>
      <c r="S127" s="43"/>
      <c r="T127" s="43"/>
    </row>
    <row r="128" spans="1:20" s="40" customFormat="1" ht="20" customHeight="1">
      <c r="A128" s="198"/>
      <c r="B128" s="4" t="s">
        <v>127</v>
      </c>
      <c r="C128" s="5">
        <f>(หลังริม!C128*2)+(หลังกลาง!C128*6)</f>
        <v>16</v>
      </c>
      <c r="D128" s="6" t="s">
        <v>60</v>
      </c>
      <c r="E128" s="11">
        <v>63</v>
      </c>
      <c r="F128" s="5">
        <f t="shared" si="40"/>
        <v>1008</v>
      </c>
      <c r="G128" s="20">
        <v>0</v>
      </c>
      <c r="H128" s="5">
        <f t="shared" si="41"/>
        <v>0</v>
      </c>
      <c r="I128" s="49">
        <f t="shared" si="42"/>
        <v>1008</v>
      </c>
      <c r="J128" s="4"/>
      <c r="K128" s="43"/>
      <c r="L128" s="43"/>
      <c r="M128" s="43"/>
      <c r="N128" s="43"/>
      <c r="O128" s="43"/>
      <c r="P128" s="43"/>
      <c r="Q128" s="43"/>
      <c r="R128" s="43"/>
      <c r="S128" s="43"/>
      <c r="T128" s="43"/>
    </row>
    <row r="129" spans="1:20" s="40" customFormat="1" ht="20" customHeight="1">
      <c r="A129" s="198"/>
      <c r="B129" s="4" t="s">
        <v>116</v>
      </c>
      <c r="C129" s="5">
        <f>(หลังริม!C129*2)+(หลังกลาง!C129*6)</f>
        <v>32</v>
      </c>
      <c r="D129" s="6" t="s">
        <v>60</v>
      </c>
      <c r="E129" s="11">
        <v>137</v>
      </c>
      <c r="F129" s="5">
        <f t="shared" si="40"/>
        <v>4384</v>
      </c>
      <c r="G129" s="20">
        <v>0</v>
      </c>
      <c r="H129" s="5">
        <f t="shared" si="41"/>
        <v>0</v>
      </c>
      <c r="I129" s="49">
        <f t="shared" si="42"/>
        <v>4384</v>
      </c>
      <c r="J129" s="4"/>
      <c r="K129" s="43"/>
      <c r="L129" s="43"/>
      <c r="M129" s="43"/>
      <c r="N129" s="43"/>
      <c r="O129" s="43"/>
      <c r="P129" s="43"/>
      <c r="Q129" s="43"/>
      <c r="R129" s="43"/>
      <c r="S129" s="43"/>
      <c r="T129" s="43"/>
    </row>
    <row r="130" spans="1:20" s="40" customFormat="1" ht="20" customHeight="1">
      <c r="A130" s="6"/>
      <c r="B130" s="4" t="s">
        <v>119</v>
      </c>
      <c r="C130" s="5">
        <f>(หลังริม!C130*2)+(หลังกลาง!C130*6)</f>
        <v>141.33333333333334</v>
      </c>
      <c r="D130" s="6" t="s">
        <v>60</v>
      </c>
      <c r="E130" s="11">
        <v>39</v>
      </c>
      <c r="F130" s="5">
        <f t="shared" si="40"/>
        <v>5512</v>
      </c>
      <c r="G130" s="20">
        <v>0</v>
      </c>
      <c r="H130" s="5">
        <f t="shared" si="41"/>
        <v>0</v>
      </c>
      <c r="I130" s="49">
        <f t="shared" si="42"/>
        <v>5512</v>
      </c>
      <c r="J130" s="4"/>
      <c r="K130" s="43"/>
      <c r="L130" s="43"/>
      <c r="M130" s="43"/>
      <c r="N130" s="43"/>
      <c r="O130" s="43"/>
      <c r="P130" s="43"/>
      <c r="Q130" s="43"/>
      <c r="R130" s="43"/>
      <c r="S130" s="43"/>
      <c r="T130" s="43"/>
    </row>
    <row r="131" spans="1:20" s="40" customFormat="1" ht="20" customHeight="1">
      <c r="A131" s="6"/>
      <c r="B131" s="4" t="s">
        <v>120</v>
      </c>
      <c r="C131" s="5">
        <f>(หลังริม!C131*2)+(หลังกลาง!C131*6)</f>
        <v>88</v>
      </c>
      <c r="D131" s="6" t="s">
        <v>60</v>
      </c>
      <c r="E131" s="11">
        <v>39</v>
      </c>
      <c r="F131" s="5">
        <f t="shared" si="40"/>
        <v>3432</v>
      </c>
      <c r="G131" s="20">
        <v>0</v>
      </c>
      <c r="H131" s="5">
        <f t="shared" si="41"/>
        <v>0</v>
      </c>
      <c r="I131" s="49">
        <f t="shared" si="42"/>
        <v>3432</v>
      </c>
      <c r="J131" s="4"/>
      <c r="K131" s="43"/>
      <c r="L131" s="43"/>
      <c r="M131" s="43"/>
      <c r="N131" s="43"/>
      <c r="O131" s="43"/>
      <c r="P131" s="43"/>
      <c r="Q131" s="43"/>
      <c r="R131" s="43"/>
      <c r="S131" s="43"/>
      <c r="T131" s="43"/>
    </row>
    <row r="132" spans="1:20" s="40" customFormat="1" ht="20" customHeight="1">
      <c r="A132" s="6"/>
      <c r="B132" s="4" t="s">
        <v>121</v>
      </c>
      <c r="C132" s="5">
        <f>(หลังริม!C132*2)+(หลังกลาง!C132*6)</f>
        <v>2</v>
      </c>
      <c r="D132" s="6" t="s">
        <v>60</v>
      </c>
      <c r="E132" s="11">
        <v>52</v>
      </c>
      <c r="F132" s="5">
        <f t="shared" si="40"/>
        <v>104</v>
      </c>
      <c r="G132" s="20">
        <v>0</v>
      </c>
      <c r="H132" s="5">
        <f t="shared" si="41"/>
        <v>0</v>
      </c>
      <c r="I132" s="49">
        <f t="shared" si="42"/>
        <v>104</v>
      </c>
      <c r="J132" s="4"/>
      <c r="K132" s="43"/>
      <c r="L132" s="43"/>
      <c r="M132" s="43"/>
      <c r="N132" s="43"/>
      <c r="O132" s="43"/>
      <c r="P132" s="43"/>
      <c r="Q132" s="43"/>
      <c r="R132" s="43"/>
      <c r="S132" s="43"/>
      <c r="T132" s="43"/>
    </row>
    <row r="133" spans="1:20" s="40" customFormat="1" ht="20" customHeight="1">
      <c r="A133" s="6"/>
      <c r="B133" s="4" t="s">
        <v>124</v>
      </c>
      <c r="C133" s="5">
        <f>(หลังริม!C133*2)+(หลังกลาง!C133*6)</f>
        <v>18.666666666666668</v>
      </c>
      <c r="D133" s="6" t="s">
        <v>125</v>
      </c>
      <c r="E133" s="11">
        <v>170</v>
      </c>
      <c r="F133" s="5">
        <f t="shared" si="40"/>
        <v>3173.3333333333335</v>
      </c>
      <c r="G133" s="20">
        <v>0</v>
      </c>
      <c r="H133" s="5">
        <f t="shared" si="41"/>
        <v>0</v>
      </c>
      <c r="I133" s="49">
        <f t="shared" si="42"/>
        <v>3173.3333333333335</v>
      </c>
      <c r="J133" s="4"/>
      <c r="K133" s="43"/>
      <c r="L133" s="43"/>
      <c r="M133" s="43"/>
      <c r="N133" s="43"/>
      <c r="O133" s="43"/>
      <c r="P133" s="43"/>
      <c r="Q133" s="43"/>
      <c r="R133" s="43"/>
      <c r="S133" s="43"/>
      <c r="T133" s="43"/>
    </row>
    <row r="134" spans="1:20" s="40" customFormat="1" ht="20" customHeight="1">
      <c r="A134" s="6"/>
      <c r="B134" s="4" t="s">
        <v>155</v>
      </c>
      <c r="C134" s="5">
        <f>(หลังริม!C134*2)+(หลังกลาง!C134*6)</f>
        <v>4</v>
      </c>
      <c r="D134" s="6" t="s">
        <v>97</v>
      </c>
      <c r="E134" s="11">
        <v>1359</v>
      </c>
      <c r="F134" s="5">
        <f t="shared" si="40"/>
        <v>5436</v>
      </c>
      <c r="G134" s="20">
        <v>0</v>
      </c>
      <c r="H134" s="5">
        <f t="shared" si="41"/>
        <v>0</v>
      </c>
      <c r="I134" s="49">
        <f t="shared" si="42"/>
        <v>5436</v>
      </c>
      <c r="J134" s="4"/>
      <c r="K134" s="43"/>
      <c r="L134" s="43"/>
      <c r="M134" s="43"/>
      <c r="N134" s="43"/>
      <c r="O134" s="43"/>
      <c r="P134" s="43"/>
      <c r="Q134" s="43"/>
      <c r="R134" s="43"/>
      <c r="S134" s="43"/>
      <c r="T134" s="43"/>
    </row>
    <row r="135" spans="1:20" s="40" customFormat="1" ht="20" customHeight="1">
      <c r="A135" s="6"/>
      <c r="B135" s="4" t="s">
        <v>122</v>
      </c>
      <c r="C135" s="5">
        <f>(หลังริม!C135*2)+(หลังกลาง!C135*6)</f>
        <v>19.2</v>
      </c>
      <c r="D135" s="6" t="s">
        <v>123</v>
      </c>
      <c r="E135" s="5">
        <v>0</v>
      </c>
      <c r="F135" s="5">
        <f t="shared" si="40"/>
        <v>0</v>
      </c>
      <c r="G135" s="5">
        <v>400</v>
      </c>
      <c r="H135" s="5">
        <f t="shared" si="41"/>
        <v>7680</v>
      </c>
      <c r="I135" s="49">
        <f t="shared" si="42"/>
        <v>7680</v>
      </c>
      <c r="J135" s="4"/>
      <c r="K135" s="43"/>
      <c r="L135" s="43"/>
      <c r="M135" s="43"/>
      <c r="N135" s="43"/>
      <c r="O135" s="43"/>
      <c r="P135" s="43"/>
      <c r="Q135" s="43"/>
      <c r="R135" s="43"/>
      <c r="S135" s="43"/>
      <c r="T135" s="43"/>
    </row>
    <row r="136" spans="1:20" s="43" customFormat="1" ht="20" customHeight="1">
      <c r="A136" s="6"/>
      <c r="B136" s="4" t="s">
        <v>274</v>
      </c>
      <c r="C136" s="5">
        <f>(หลังริม!C136*2)+(หลังกลาง!C136*6)</f>
        <v>121</v>
      </c>
      <c r="D136" s="6" t="s">
        <v>264</v>
      </c>
      <c r="E136" s="5">
        <v>0</v>
      </c>
      <c r="F136" s="5">
        <f t="shared" si="40"/>
        <v>0</v>
      </c>
      <c r="G136" s="70">
        <v>70</v>
      </c>
      <c r="H136" s="5">
        <f t="shared" si="41"/>
        <v>8470</v>
      </c>
      <c r="I136" s="49">
        <f t="shared" si="42"/>
        <v>8470</v>
      </c>
      <c r="J136" s="4"/>
      <c r="K136" s="73"/>
    </row>
    <row r="137" spans="1:20" s="50" customFormat="1" ht="20" customHeight="1">
      <c r="A137" s="12"/>
      <c r="B137" s="12" t="s">
        <v>218</v>
      </c>
      <c r="C137" s="5">
        <f>(หลังริม!C137*2)+(หลังกลาง!C137*6)</f>
        <v>0</v>
      </c>
      <c r="D137" s="12"/>
      <c r="E137" s="100"/>
      <c r="F137" s="14">
        <f>SUM(F124:F136)</f>
        <v>113673.33333333333</v>
      </c>
      <c r="G137" s="14"/>
      <c r="H137" s="14">
        <f t="shared" ref="H137:I137" si="43">SUM(H124:H136)</f>
        <v>16150</v>
      </c>
      <c r="I137" s="14">
        <f t="shared" si="43"/>
        <v>129823.33333333333</v>
      </c>
      <c r="J137" s="13"/>
      <c r="K137" s="151">
        <f>H137+F137</f>
        <v>129823.33333333333</v>
      </c>
    </row>
    <row r="138" spans="1:20" s="40" customFormat="1" ht="20" customHeight="1">
      <c r="A138" s="198"/>
      <c r="B138" s="3" t="s">
        <v>224</v>
      </c>
      <c r="C138" s="5">
        <f>(หลังริม!C138*2)+(หลังกลาง!C138*6)</f>
        <v>0</v>
      </c>
      <c r="D138" s="6"/>
      <c r="E138" s="48"/>
      <c r="F138" s="4"/>
      <c r="G138" s="4"/>
      <c r="H138" s="4"/>
      <c r="I138" s="4"/>
      <c r="J138" s="4"/>
      <c r="K138" s="43"/>
      <c r="L138" s="43"/>
      <c r="M138" s="43"/>
      <c r="N138" s="43"/>
      <c r="O138" s="43"/>
      <c r="P138" s="43"/>
      <c r="Q138" s="43"/>
      <c r="R138" s="43"/>
      <c r="S138" s="43"/>
      <c r="T138" s="43"/>
    </row>
    <row r="139" spans="1:20" s="40" customFormat="1" ht="20" customHeight="1">
      <c r="A139" s="198"/>
      <c r="B139" s="4" t="s">
        <v>130</v>
      </c>
      <c r="C139" s="5">
        <f>(หลังริม!C139*2)+(หลังกลาง!C139*6)</f>
        <v>56</v>
      </c>
      <c r="D139" s="6" t="s">
        <v>32</v>
      </c>
      <c r="E139" s="5">
        <v>0</v>
      </c>
      <c r="F139" s="5">
        <f>E139*C139</f>
        <v>0</v>
      </c>
      <c r="G139" s="5">
        <f>320</f>
        <v>320</v>
      </c>
      <c r="H139" s="20">
        <f>G139*C139</f>
        <v>17920</v>
      </c>
      <c r="I139" s="49">
        <f>H139+F139</f>
        <v>17920</v>
      </c>
      <c r="J139" s="24" t="s">
        <v>132</v>
      </c>
      <c r="K139" s="43"/>
      <c r="L139" s="43"/>
      <c r="M139" s="43"/>
      <c r="N139" s="43"/>
      <c r="O139" s="43"/>
      <c r="P139" s="43"/>
      <c r="Q139" s="43"/>
      <c r="R139" s="43"/>
      <c r="S139" s="43"/>
      <c r="T139" s="43"/>
    </row>
    <row r="140" spans="1:20" s="40" customFormat="1" ht="20" customHeight="1">
      <c r="A140" s="198"/>
      <c r="B140" s="4" t="s">
        <v>131</v>
      </c>
      <c r="C140" s="5">
        <f>(หลังริม!C140*2)+(หลังกลาง!C140*6)</f>
        <v>144</v>
      </c>
      <c r="D140" s="6" t="s">
        <v>32</v>
      </c>
      <c r="E140" s="5">
        <v>0</v>
      </c>
      <c r="F140" s="5">
        <f t="shared" ref="F140:F145" si="44">E140*C140</f>
        <v>0</v>
      </c>
      <c r="G140" s="5">
        <v>280</v>
      </c>
      <c r="H140" s="20">
        <f t="shared" ref="H140:H145" si="45">G140*C140</f>
        <v>40320</v>
      </c>
      <c r="I140" s="49">
        <f t="shared" ref="I140:I145" si="46">H140+F140</f>
        <v>40320</v>
      </c>
      <c r="J140" s="24" t="s">
        <v>133</v>
      </c>
      <c r="K140" s="43"/>
      <c r="L140" s="43"/>
      <c r="M140" s="43"/>
      <c r="N140" s="43"/>
      <c r="O140" s="43"/>
      <c r="P140" s="43"/>
      <c r="Q140" s="43"/>
      <c r="R140" s="43"/>
      <c r="S140" s="43"/>
      <c r="T140" s="43"/>
    </row>
    <row r="141" spans="1:20" s="40" customFormat="1" ht="20" customHeight="1">
      <c r="A141" s="198"/>
      <c r="B141" s="4" t="s">
        <v>129</v>
      </c>
      <c r="C141" s="5">
        <f>(หลังริม!C141*2)+(หลังกลาง!C141*6)</f>
        <v>240</v>
      </c>
      <c r="D141" s="6" t="s">
        <v>32</v>
      </c>
      <c r="E141" s="5">
        <v>0</v>
      </c>
      <c r="F141" s="5">
        <f t="shared" si="44"/>
        <v>0</v>
      </c>
      <c r="G141" s="5">
        <v>240</v>
      </c>
      <c r="H141" s="20">
        <f t="shared" si="45"/>
        <v>57600</v>
      </c>
      <c r="I141" s="49">
        <f t="shared" si="46"/>
        <v>57600</v>
      </c>
      <c r="J141" s="24" t="s">
        <v>133</v>
      </c>
      <c r="K141" s="43"/>
      <c r="L141" s="43"/>
      <c r="M141" s="43"/>
      <c r="N141" s="43"/>
      <c r="O141" s="43"/>
      <c r="P141" s="43"/>
      <c r="Q141" s="43"/>
      <c r="R141" s="43"/>
      <c r="S141" s="43"/>
      <c r="T141" s="43"/>
    </row>
    <row r="142" spans="1:20" s="40" customFormat="1" ht="20" customHeight="1">
      <c r="A142" s="198"/>
      <c r="B142" s="4" t="s">
        <v>135</v>
      </c>
      <c r="C142" s="5">
        <f>(หลังริม!C142*2)+(หลังกลาง!C142*6)</f>
        <v>460.8</v>
      </c>
      <c r="D142" s="6" t="s">
        <v>123</v>
      </c>
      <c r="E142" s="5">
        <v>0</v>
      </c>
      <c r="F142" s="5">
        <f t="shared" si="44"/>
        <v>0</v>
      </c>
      <c r="G142" s="5">
        <v>70</v>
      </c>
      <c r="H142" s="20">
        <f t="shared" si="45"/>
        <v>32256</v>
      </c>
      <c r="I142" s="49">
        <f t="shared" si="46"/>
        <v>32256</v>
      </c>
      <c r="J142" s="4"/>
      <c r="K142" s="43"/>
      <c r="L142" s="43"/>
      <c r="M142" s="43"/>
      <c r="N142" s="43"/>
      <c r="O142" s="43"/>
      <c r="P142" s="43"/>
      <c r="Q142" s="43"/>
      <c r="R142" s="43"/>
      <c r="S142" s="43"/>
      <c r="T142" s="43"/>
    </row>
    <row r="143" spans="1:20" s="40" customFormat="1" ht="20" customHeight="1">
      <c r="A143" s="198"/>
      <c r="B143" s="4" t="s">
        <v>137</v>
      </c>
      <c r="C143" s="5">
        <f>(หลังริม!C143*2)+(หลังกลาง!C143*6)</f>
        <v>8</v>
      </c>
      <c r="D143" s="6" t="s">
        <v>136</v>
      </c>
      <c r="E143" s="11">
        <v>8067</v>
      </c>
      <c r="F143" s="5">
        <f t="shared" si="44"/>
        <v>64536</v>
      </c>
      <c r="G143" s="5">
        <v>2000</v>
      </c>
      <c r="H143" s="20">
        <f t="shared" si="45"/>
        <v>16000</v>
      </c>
      <c r="I143" s="49">
        <f t="shared" si="46"/>
        <v>80536</v>
      </c>
      <c r="J143" s="4"/>
      <c r="K143" s="43"/>
      <c r="L143" s="43"/>
      <c r="M143" s="43"/>
      <c r="N143" s="43"/>
      <c r="O143" s="43"/>
      <c r="P143" s="43"/>
      <c r="Q143" s="43"/>
      <c r="R143" s="43"/>
      <c r="S143" s="43"/>
      <c r="T143" s="43"/>
    </row>
    <row r="144" spans="1:20" s="40" customFormat="1" ht="20" customHeight="1">
      <c r="A144" s="198"/>
      <c r="B144" s="4" t="s">
        <v>139</v>
      </c>
      <c r="C144" s="5">
        <f>(หลังริม!C144*2)+(หลังกลาง!C144*6)</f>
        <v>16</v>
      </c>
      <c r="D144" s="6" t="s">
        <v>32</v>
      </c>
      <c r="E144" s="5">
        <v>0</v>
      </c>
      <c r="F144" s="5">
        <f t="shared" si="44"/>
        <v>0</v>
      </c>
      <c r="G144" s="5">
        <v>280</v>
      </c>
      <c r="H144" s="20">
        <f t="shared" si="45"/>
        <v>4480</v>
      </c>
      <c r="I144" s="49">
        <f t="shared" si="46"/>
        <v>4480</v>
      </c>
      <c r="J144" s="4"/>
      <c r="K144" s="43"/>
      <c r="L144" s="43"/>
      <c r="M144" s="43"/>
      <c r="N144" s="43"/>
      <c r="O144" s="43"/>
      <c r="P144" s="43"/>
      <c r="Q144" s="43"/>
      <c r="R144" s="43"/>
      <c r="S144" s="43"/>
      <c r="T144" s="43"/>
    </row>
    <row r="145" spans="1:20" s="40" customFormat="1" ht="20" customHeight="1">
      <c r="A145" s="6"/>
      <c r="B145" s="4" t="s">
        <v>138</v>
      </c>
      <c r="C145" s="5">
        <f>(หลังริม!C145*2)+(หลังกลาง!C145*6)</f>
        <v>16</v>
      </c>
      <c r="D145" s="6" t="s">
        <v>32</v>
      </c>
      <c r="E145" s="5">
        <v>0</v>
      </c>
      <c r="F145" s="5">
        <f t="shared" si="44"/>
        <v>0</v>
      </c>
      <c r="G145" s="5">
        <v>965</v>
      </c>
      <c r="H145" s="20">
        <f t="shared" si="45"/>
        <v>15440</v>
      </c>
      <c r="I145" s="49">
        <f t="shared" si="46"/>
        <v>15440</v>
      </c>
      <c r="J145" s="4"/>
      <c r="K145" s="43"/>
      <c r="L145" s="43"/>
      <c r="M145" s="43"/>
      <c r="N145" s="43"/>
      <c r="O145" s="43"/>
      <c r="P145" s="43"/>
      <c r="Q145" s="43"/>
      <c r="R145" s="43"/>
      <c r="S145" s="43"/>
      <c r="T145" s="43"/>
    </row>
    <row r="146" spans="1:20" s="50" customFormat="1" ht="20" customHeight="1">
      <c r="A146" s="12"/>
      <c r="B146" s="12" t="s">
        <v>177</v>
      </c>
      <c r="C146" s="5">
        <f>(หลังริม!C146*2)+(หลังกลาง!C146*6)</f>
        <v>0</v>
      </c>
      <c r="D146" s="12"/>
      <c r="E146" s="100"/>
      <c r="F146" s="14">
        <f>SUM(F139:F145)</f>
        <v>64536</v>
      </c>
      <c r="G146" s="14"/>
      <c r="H146" s="14">
        <f t="shared" ref="H146:I146" si="47">SUM(H139:H145)</f>
        <v>184016</v>
      </c>
      <c r="I146" s="14">
        <f t="shared" si="47"/>
        <v>248552</v>
      </c>
      <c r="J146" s="13"/>
      <c r="K146" s="151">
        <f>H146+F146</f>
        <v>248552</v>
      </c>
    </row>
    <row r="147" spans="1:20" s="40" customFormat="1" ht="20" customHeight="1">
      <c r="A147" s="198"/>
      <c r="B147" s="3" t="s">
        <v>225</v>
      </c>
      <c r="C147" s="5">
        <f>(หลังริม!C147*2)+(หลังกลาง!C147*6)</f>
        <v>0</v>
      </c>
      <c r="D147" s="6"/>
      <c r="E147" s="48"/>
      <c r="F147" s="4"/>
      <c r="G147" s="4"/>
      <c r="H147" s="4"/>
      <c r="I147" s="4"/>
      <c r="J147" s="4"/>
      <c r="K147" s="43"/>
      <c r="L147" s="43"/>
      <c r="M147" s="43"/>
      <c r="N147" s="43"/>
      <c r="O147" s="43"/>
      <c r="P147" s="43"/>
      <c r="Q147" s="43"/>
      <c r="R147" s="43"/>
      <c r="S147" s="43"/>
      <c r="T147" s="43"/>
    </row>
    <row r="148" spans="1:20" s="40" customFormat="1" ht="20" customHeight="1">
      <c r="A148" s="198"/>
      <c r="B148" s="4" t="s">
        <v>140</v>
      </c>
      <c r="C148" s="5">
        <f>(หลังริม!C148*2)+(หลังกลาง!C148*6)</f>
        <v>8</v>
      </c>
      <c r="D148" s="6" t="s">
        <v>141</v>
      </c>
      <c r="E148" s="11">
        <v>1869</v>
      </c>
      <c r="F148" s="5">
        <f>E148*C148</f>
        <v>14952</v>
      </c>
      <c r="G148" s="20">
        <v>0</v>
      </c>
      <c r="H148" s="20">
        <f>G148*C148</f>
        <v>0</v>
      </c>
      <c r="I148" s="49">
        <f>H148+F148</f>
        <v>14952</v>
      </c>
      <c r="J148" s="4"/>
      <c r="K148" s="43"/>
      <c r="L148" s="43"/>
      <c r="M148" s="43"/>
      <c r="N148" s="43"/>
      <c r="O148" s="43"/>
      <c r="P148" s="43"/>
      <c r="Q148" s="43"/>
      <c r="R148" s="43"/>
      <c r="S148" s="43"/>
      <c r="T148" s="43"/>
    </row>
    <row r="149" spans="1:20" s="40" customFormat="1" ht="20" customHeight="1">
      <c r="A149" s="198"/>
      <c r="B149" s="4" t="s">
        <v>142</v>
      </c>
      <c r="C149" s="5">
        <f>(หลังริม!C149*2)+(หลังกลาง!C149*6)</f>
        <v>8</v>
      </c>
      <c r="D149" s="6" t="s">
        <v>141</v>
      </c>
      <c r="E149" s="11">
        <v>640</v>
      </c>
      <c r="F149" s="5">
        <f t="shared" ref="F149:F165" si="48">E149*C149</f>
        <v>5120</v>
      </c>
      <c r="G149" s="20">
        <v>0</v>
      </c>
      <c r="H149" s="20">
        <f t="shared" ref="H149:H165" si="49">G149*C149</f>
        <v>0</v>
      </c>
      <c r="I149" s="49">
        <f t="shared" ref="I149:I165" si="50">H149+F149</f>
        <v>5120</v>
      </c>
      <c r="J149" s="4"/>
      <c r="K149" s="43"/>
      <c r="L149" s="43"/>
      <c r="M149" s="43"/>
      <c r="N149" s="43"/>
      <c r="O149" s="43"/>
      <c r="P149" s="43"/>
      <c r="Q149" s="43"/>
      <c r="R149" s="43"/>
      <c r="S149" s="43"/>
      <c r="T149" s="43"/>
    </row>
    <row r="150" spans="1:20" s="40" customFormat="1" ht="20" customHeight="1">
      <c r="A150" s="198"/>
      <c r="B150" s="4" t="s">
        <v>158</v>
      </c>
      <c r="C150" s="5">
        <f>(หลังริม!C150*2)+(หลังกลาง!C150*6)</f>
        <v>8</v>
      </c>
      <c r="D150" s="6" t="s">
        <v>141</v>
      </c>
      <c r="E150" s="11">
        <v>664</v>
      </c>
      <c r="F150" s="5">
        <f t="shared" si="48"/>
        <v>5312</v>
      </c>
      <c r="G150" s="20">
        <v>0</v>
      </c>
      <c r="H150" s="20">
        <f t="shared" si="49"/>
        <v>0</v>
      </c>
      <c r="I150" s="49">
        <f t="shared" si="50"/>
        <v>5312</v>
      </c>
      <c r="J150" s="4"/>
      <c r="K150" s="43"/>
      <c r="L150" s="43"/>
      <c r="M150" s="43"/>
      <c r="N150" s="43"/>
      <c r="O150" s="43"/>
      <c r="P150" s="43"/>
      <c r="Q150" s="43"/>
      <c r="R150" s="43"/>
      <c r="S150" s="43"/>
      <c r="T150" s="43"/>
    </row>
    <row r="151" spans="1:20" s="40" customFormat="1" ht="20" customHeight="1">
      <c r="A151" s="198"/>
      <c r="B151" s="4" t="s">
        <v>157</v>
      </c>
      <c r="C151" s="5">
        <f>(หลังริม!C151*2)+(หลังกลาง!C151*6)</f>
        <v>8</v>
      </c>
      <c r="D151" s="6" t="s">
        <v>141</v>
      </c>
      <c r="E151" s="11">
        <v>159</v>
      </c>
      <c r="F151" s="5">
        <f t="shared" si="48"/>
        <v>1272</v>
      </c>
      <c r="G151" s="20">
        <v>0</v>
      </c>
      <c r="H151" s="20">
        <f t="shared" si="49"/>
        <v>0</v>
      </c>
      <c r="I151" s="49">
        <f t="shared" si="50"/>
        <v>1272</v>
      </c>
      <c r="J151" s="4"/>
      <c r="K151" s="43"/>
      <c r="L151" s="43"/>
      <c r="M151" s="43"/>
      <c r="N151" s="43"/>
      <c r="O151" s="43"/>
      <c r="P151" s="43"/>
      <c r="Q151" s="43"/>
      <c r="R151" s="43"/>
      <c r="S151" s="43"/>
      <c r="T151" s="43"/>
    </row>
    <row r="152" spans="1:20" s="40" customFormat="1" ht="20" customHeight="1">
      <c r="A152" s="198"/>
      <c r="B152" s="4" t="s">
        <v>159</v>
      </c>
      <c r="C152" s="5">
        <f>(หลังริม!C152*2)+(หลังกลาง!C152*6)</f>
        <v>8</v>
      </c>
      <c r="D152" s="6" t="s">
        <v>141</v>
      </c>
      <c r="E152" s="11">
        <v>425</v>
      </c>
      <c r="F152" s="5">
        <f t="shared" si="48"/>
        <v>3400</v>
      </c>
      <c r="G152" s="20">
        <v>0</v>
      </c>
      <c r="H152" s="20">
        <f t="shared" si="49"/>
        <v>0</v>
      </c>
      <c r="I152" s="49">
        <f t="shared" si="50"/>
        <v>3400</v>
      </c>
      <c r="J152" s="4"/>
      <c r="K152" s="43"/>
      <c r="L152" s="43"/>
      <c r="M152" s="43"/>
      <c r="N152" s="43"/>
      <c r="O152" s="43"/>
      <c r="P152" s="43"/>
      <c r="Q152" s="43"/>
      <c r="R152" s="43"/>
      <c r="S152" s="43"/>
      <c r="T152" s="43"/>
    </row>
    <row r="153" spans="1:20" s="40" customFormat="1" ht="20" customHeight="1">
      <c r="A153" s="198"/>
      <c r="B153" s="4" t="s">
        <v>143</v>
      </c>
      <c r="C153" s="5">
        <f>(หลังริม!C153*2)+(หลังกลาง!C153*6)</f>
        <v>8</v>
      </c>
      <c r="D153" s="6" t="s">
        <v>141</v>
      </c>
      <c r="E153" s="11">
        <v>183</v>
      </c>
      <c r="F153" s="5">
        <f t="shared" si="48"/>
        <v>1464</v>
      </c>
      <c r="G153" s="20">
        <v>0</v>
      </c>
      <c r="H153" s="20">
        <f t="shared" si="49"/>
        <v>0</v>
      </c>
      <c r="I153" s="49">
        <f t="shared" si="50"/>
        <v>1464</v>
      </c>
      <c r="J153" s="4"/>
      <c r="K153" s="43"/>
      <c r="L153" s="43"/>
      <c r="M153" s="43"/>
      <c r="N153" s="43"/>
      <c r="O153" s="43"/>
      <c r="P153" s="43"/>
      <c r="Q153" s="43"/>
      <c r="R153" s="43"/>
      <c r="S153" s="43"/>
      <c r="T153" s="43"/>
    </row>
    <row r="154" spans="1:20" s="40" customFormat="1" ht="20" customHeight="1">
      <c r="A154" s="198"/>
      <c r="B154" s="4" t="s">
        <v>144</v>
      </c>
      <c r="C154" s="5">
        <f>(หลังริม!C154*2)+(หลังกลาง!C154*6)</f>
        <v>8</v>
      </c>
      <c r="D154" s="6" t="s">
        <v>100</v>
      </c>
      <c r="E154" s="11">
        <v>151</v>
      </c>
      <c r="F154" s="5">
        <f t="shared" si="48"/>
        <v>1208</v>
      </c>
      <c r="G154" s="20">
        <v>0</v>
      </c>
      <c r="H154" s="20">
        <f t="shared" si="49"/>
        <v>0</v>
      </c>
      <c r="I154" s="49">
        <f t="shared" si="50"/>
        <v>1208</v>
      </c>
      <c r="J154" s="4"/>
      <c r="K154" s="43"/>
      <c r="L154" s="43"/>
      <c r="M154" s="43"/>
      <c r="N154" s="43"/>
      <c r="O154" s="43"/>
      <c r="P154" s="43"/>
      <c r="Q154" s="43"/>
      <c r="R154" s="43"/>
      <c r="S154" s="43"/>
      <c r="T154" s="43"/>
    </row>
    <row r="155" spans="1:20" s="40" customFormat="1" ht="20" customHeight="1">
      <c r="A155" s="198"/>
      <c r="B155" s="4" t="s">
        <v>145</v>
      </c>
      <c r="C155" s="5">
        <f>(หลังริม!C155*2)+(หลังกลาง!C155*6)</f>
        <v>8</v>
      </c>
      <c r="D155" s="6" t="s">
        <v>146</v>
      </c>
      <c r="E155" s="11"/>
      <c r="F155" s="5">
        <f t="shared" si="48"/>
        <v>0</v>
      </c>
      <c r="G155" s="20">
        <v>0</v>
      </c>
      <c r="H155" s="20">
        <f t="shared" si="49"/>
        <v>0</v>
      </c>
      <c r="I155" s="49">
        <f t="shared" si="50"/>
        <v>0</v>
      </c>
      <c r="J155" s="4"/>
      <c r="K155" s="43"/>
      <c r="L155" s="43"/>
      <c r="M155" s="43"/>
      <c r="N155" s="43"/>
      <c r="O155" s="43"/>
      <c r="P155" s="43"/>
      <c r="Q155" s="43"/>
      <c r="R155" s="43"/>
      <c r="S155" s="43"/>
      <c r="T155" s="43"/>
    </row>
    <row r="156" spans="1:20" s="40" customFormat="1" ht="20" customHeight="1">
      <c r="A156" s="198"/>
      <c r="B156" s="4" t="s">
        <v>160</v>
      </c>
      <c r="C156" s="5">
        <f>(หลังริม!C156*2)+(หลังกลาง!C156*6)</f>
        <v>8</v>
      </c>
      <c r="D156" s="6" t="s">
        <v>100</v>
      </c>
      <c r="E156" s="11">
        <v>77</v>
      </c>
      <c r="F156" s="5">
        <f t="shared" si="48"/>
        <v>616</v>
      </c>
      <c r="G156" s="20">
        <v>0</v>
      </c>
      <c r="H156" s="20">
        <f t="shared" si="49"/>
        <v>0</v>
      </c>
      <c r="I156" s="49">
        <f t="shared" si="50"/>
        <v>616</v>
      </c>
      <c r="J156" s="4"/>
      <c r="K156" s="43"/>
      <c r="L156" s="43"/>
      <c r="M156" s="43"/>
      <c r="N156" s="43"/>
      <c r="O156" s="43"/>
      <c r="P156" s="43"/>
      <c r="Q156" s="43"/>
      <c r="R156" s="43"/>
      <c r="S156" s="43"/>
      <c r="T156" s="43"/>
    </row>
    <row r="157" spans="1:20" s="40" customFormat="1" ht="20" customHeight="1">
      <c r="A157" s="198"/>
      <c r="B157" s="4" t="s">
        <v>147</v>
      </c>
      <c r="C157" s="5">
        <f>(หลังริม!C157*2)+(หลังกลาง!C157*6)</f>
        <v>8</v>
      </c>
      <c r="D157" s="6" t="s">
        <v>100</v>
      </c>
      <c r="E157" s="11">
        <v>234</v>
      </c>
      <c r="F157" s="5">
        <f t="shared" si="48"/>
        <v>1872</v>
      </c>
      <c r="G157" s="20">
        <v>0</v>
      </c>
      <c r="H157" s="20">
        <f t="shared" si="49"/>
        <v>0</v>
      </c>
      <c r="I157" s="49">
        <f t="shared" si="50"/>
        <v>1872</v>
      </c>
      <c r="J157" s="4"/>
      <c r="K157" s="43"/>
      <c r="L157" s="43"/>
      <c r="M157" s="43"/>
      <c r="N157" s="43"/>
      <c r="O157" s="43"/>
      <c r="P157" s="43"/>
      <c r="Q157" s="43"/>
      <c r="R157" s="43"/>
      <c r="S157" s="43"/>
      <c r="T157" s="43"/>
    </row>
    <row r="158" spans="1:20" s="40" customFormat="1" ht="20" customHeight="1">
      <c r="A158" s="198"/>
      <c r="B158" s="4" t="s">
        <v>161</v>
      </c>
      <c r="C158" s="5">
        <f>(หลังริม!C158*2)+(หลังกลาง!C158*6)</f>
        <v>8</v>
      </c>
      <c r="D158" s="6" t="s">
        <v>100</v>
      </c>
      <c r="E158" s="11">
        <v>151</v>
      </c>
      <c r="F158" s="5">
        <f t="shared" si="48"/>
        <v>1208</v>
      </c>
      <c r="G158" s="20">
        <v>0</v>
      </c>
      <c r="H158" s="20">
        <f t="shared" si="49"/>
        <v>0</v>
      </c>
      <c r="I158" s="49">
        <f t="shared" si="50"/>
        <v>1208</v>
      </c>
      <c r="J158" s="4"/>
      <c r="K158" s="43"/>
      <c r="L158" s="43"/>
      <c r="M158" s="43"/>
      <c r="N158" s="43"/>
      <c r="O158" s="43"/>
      <c r="P158" s="43"/>
      <c r="Q158" s="43"/>
      <c r="R158" s="43"/>
      <c r="S158" s="43"/>
      <c r="T158" s="43"/>
    </row>
    <row r="159" spans="1:20" s="40" customFormat="1" ht="20" customHeight="1">
      <c r="A159" s="198"/>
      <c r="B159" s="4" t="s">
        <v>148</v>
      </c>
      <c r="C159" s="5">
        <f>(หลังริม!C159*2)+(หลังกลาง!C159*6)</f>
        <v>8</v>
      </c>
      <c r="D159" s="6" t="s">
        <v>100</v>
      </c>
      <c r="E159" s="11">
        <v>584</v>
      </c>
      <c r="F159" s="5">
        <f t="shared" si="48"/>
        <v>4672</v>
      </c>
      <c r="G159" s="20">
        <v>0</v>
      </c>
      <c r="H159" s="20">
        <f t="shared" si="49"/>
        <v>0</v>
      </c>
      <c r="I159" s="49">
        <f t="shared" si="50"/>
        <v>4672</v>
      </c>
      <c r="J159" s="4"/>
      <c r="K159" s="43"/>
      <c r="L159" s="43"/>
      <c r="M159" s="43"/>
      <c r="N159" s="43"/>
      <c r="O159" s="43"/>
      <c r="P159" s="43"/>
      <c r="Q159" s="43"/>
      <c r="R159" s="43"/>
      <c r="S159" s="43"/>
      <c r="T159" s="43"/>
    </row>
    <row r="160" spans="1:20" s="43" customFormat="1" ht="20" customHeight="1">
      <c r="A160" s="198"/>
      <c r="B160" s="4" t="s">
        <v>149</v>
      </c>
      <c r="C160" s="5">
        <f>(หลังริม!C160*2)+(หลังกลาง!C160*6)</f>
        <v>16</v>
      </c>
      <c r="D160" s="6" t="s">
        <v>100</v>
      </c>
      <c r="E160" s="5">
        <v>140</v>
      </c>
      <c r="F160" s="5">
        <f t="shared" si="48"/>
        <v>2240</v>
      </c>
      <c r="G160" s="20">
        <v>0</v>
      </c>
      <c r="H160" s="20">
        <f t="shared" si="49"/>
        <v>0</v>
      </c>
      <c r="I160" s="49">
        <f t="shared" si="50"/>
        <v>2240</v>
      </c>
      <c r="J160" s="4"/>
      <c r="K160" s="73"/>
    </row>
    <row r="161" spans="1:20" s="43" customFormat="1" ht="20" customHeight="1">
      <c r="A161" s="198"/>
      <c r="B161" s="4" t="s">
        <v>150</v>
      </c>
      <c r="C161" s="5">
        <f>(หลังริม!C161*2)+(หลังกลาง!C161*6)</f>
        <v>8</v>
      </c>
      <c r="D161" s="6" t="s">
        <v>100</v>
      </c>
      <c r="E161" s="5">
        <v>45</v>
      </c>
      <c r="F161" s="5">
        <f t="shared" si="48"/>
        <v>360</v>
      </c>
      <c r="G161" s="5">
        <v>0</v>
      </c>
      <c r="H161" s="20">
        <f t="shared" si="49"/>
        <v>0</v>
      </c>
      <c r="I161" s="49">
        <f t="shared" si="50"/>
        <v>360</v>
      </c>
      <c r="J161" s="4"/>
      <c r="K161" s="73"/>
    </row>
    <row r="162" spans="1:20" s="43" customFormat="1" ht="20" customHeight="1">
      <c r="A162" s="198"/>
      <c r="B162" s="4" t="s">
        <v>151</v>
      </c>
      <c r="C162" s="5">
        <f>(หลังริม!C162*2)+(หลังกลาง!C162*6)</f>
        <v>8</v>
      </c>
      <c r="D162" s="6" t="s">
        <v>100</v>
      </c>
      <c r="E162" s="5">
        <v>215</v>
      </c>
      <c r="F162" s="5">
        <f t="shared" si="48"/>
        <v>1720</v>
      </c>
      <c r="G162" s="5">
        <v>0</v>
      </c>
      <c r="H162" s="20">
        <f t="shared" si="49"/>
        <v>0</v>
      </c>
      <c r="I162" s="49">
        <f t="shared" si="50"/>
        <v>1720</v>
      </c>
      <c r="J162" s="4"/>
      <c r="K162" s="73"/>
    </row>
    <row r="163" spans="1:20" s="43" customFormat="1" ht="20" customHeight="1">
      <c r="A163" s="198"/>
      <c r="B163" s="4" t="s">
        <v>152</v>
      </c>
      <c r="C163" s="5">
        <f>(หลังริม!C163*2)+(หลังกลาง!C163*6)</f>
        <v>8</v>
      </c>
      <c r="D163" s="6" t="s">
        <v>100</v>
      </c>
      <c r="E163" s="5">
        <v>0</v>
      </c>
      <c r="F163" s="5">
        <f t="shared" si="48"/>
        <v>0</v>
      </c>
      <c r="G163" s="5">
        <v>0</v>
      </c>
      <c r="H163" s="20">
        <f t="shared" si="49"/>
        <v>0</v>
      </c>
      <c r="I163" s="49">
        <f t="shared" si="50"/>
        <v>0</v>
      </c>
      <c r="J163" s="4"/>
      <c r="K163" s="73"/>
    </row>
    <row r="164" spans="1:20" s="43" customFormat="1" ht="20" customHeight="1">
      <c r="A164" s="6"/>
      <c r="B164" s="4" t="s">
        <v>153</v>
      </c>
      <c r="C164" s="5">
        <f>(หลังริม!C164*2)+(หลังกลาง!C164*6)</f>
        <v>16</v>
      </c>
      <c r="D164" s="6" t="s">
        <v>100</v>
      </c>
      <c r="E164" s="4">
        <v>110</v>
      </c>
      <c r="F164" s="5">
        <f t="shared" si="48"/>
        <v>1760</v>
      </c>
      <c r="G164" s="5">
        <v>0</v>
      </c>
      <c r="H164" s="20">
        <f t="shared" si="49"/>
        <v>0</v>
      </c>
      <c r="I164" s="49">
        <f t="shared" si="50"/>
        <v>1760</v>
      </c>
      <c r="J164" s="4"/>
      <c r="K164" s="73"/>
    </row>
    <row r="165" spans="1:20" s="43" customFormat="1" ht="20" customHeight="1">
      <c r="A165" s="6"/>
      <c r="B165" s="4" t="s">
        <v>273</v>
      </c>
      <c r="C165" s="5">
        <f>(หลังริม!C165*2)+(หลังกลาง!C165*6)</f>
        <v>8</v>
      </c>
      <c r="D165" s="6" t="s">
        <v>264</v>
      </c>
      <c r="E165" s="5">
        <v>0</v>
      </c>
      <c r="F165" s="5">
        <f t="shared" si="48"/>
        <v>0</v>
      </c>
      <c r="G165" s="70">
        <v>810</v>
      </c>
      <c r="H165" s="20">
        <f t="shared" si="49"/>
        <v>6480</v>
      </c>
      <c r="I165" s="49">
        <f t="shared" si="50"/>
        <v>6480</v>
      </c>
      <c r="J165" s="4"/>
      <c r="K165" s="73"/>
    </row>
    <row r="166" spans="1:20" s="50" customFormat="1" ht="20" customHeight="1">
      <c r="A166" s="12"/>
      <c r="B166" s="12" t="s">
        <v>154</v>
      </c>
      <c r="C166" s="5">
        <f>(หลังริม!C166*2)+(หลังกลาง!C166*6)</f>
        <v>0</v>
      </c>
      <c r="D166" s="12"/>
      <c r="E166" s="100"/>
      <c r="F166" s="14">
        <f>SUM(F148:F165)</f>
        <v>47176</v>
      </c>
      <c r="G166" s="14"/>
      <c r="H166" s="14">
        <f t="shared" ref="H166:I166" si="51">SUM(H148:H165)</f>
        <v>6480</v>
      </c>
      <c r="I166" s="14">
        <f t="shared" si="51"/>
        <v>53656</v>
      </c>
      <c r="J166" s="13"/>
      <c r="K166" s="151">
        <f>H166+F166</f>
        <v>53656</v>
      </c>
    </row>
    <row r="167" spans="1:20" s="40" customFormat="1" ht="20" customHeight="1">
      <c r="A167" s="198"/>
      <c r="B167" s="3" t="s">
        <v>226</v>
      </c>
      <c r="C167" s="5">
        <f>(หลังริม!C167*2)+(หลังกลาง!C167*6)</f>
        <v>0</v>
      </c>
      <c r="D167" s="6"/>
      <c r="E167" s="48"/>
      <c r="F167" s="4"/>
      <c r="G167" s="4"/>
      <c r="H167" s="4"/>
      <c r="I167" s="4"/>
      <c r="J167" s="4"/>
      <c r="K167" s="43"/>
      <c r="L167" s="43"/>
      <c r="M167" s="43"/>
      <c r="N167" s="43"/>
      <c r="O167" s="43"/>
      <c r="P167" s="43"/>
      <c r="Q167" s="43"/>
      <c r="R167" s="43"/>
      <c r="S167" s="43"/>
      <c r="T167" s="43"/>
    </row>
    <row r="168" spans="1:20" s="40" customFormat="1" ht="20" customHeight="1">
      <c r="A168" s="198"/>
      <c r="B168" s="4" t="s">
        <v>163</v>
      </c>
      <c r="C168" s="5">
        <f>(หลังริม!C168*2)+(หลังกลาง!C168*6)</f>
        <v>8</v>
      </c>
      <c r="D168" s="6" t="s">
        <v>141</v>
      </c>
      <c r="E168" s="11">
        <v>0</v>
      </c>
      <c r="F168" s="5">
        <f>E168*C168</f>
        <v>0</v>
      </c>
      <c r="G168" s="5">
        <v>8000</v>
      </c>
      <c r="H168" s="5">
        <f>G168*C168</f>
        <v>64000</v>
      </c>
      <c r="I168" s="49">
        <f>H168+F168</f>
        <v>64000</v>
      </c>
      <c r="J168" s="24" t="s">
        <v>172</v>
      </c>
      <c r="K168" s="43"/>
      <c r="L168" s="43"/>
      <c r="M168" s="43"/>
      <c r="N168" s="43"/>
      <c r="O168" s="43"/>
      <c r="P168" s="43"/>
      <c r="Q168" s="43"/>
      <c r="R168" s="43"/>
      <c r="S168" s="43"/>
      <c r="T168" s="43"/>
    </row>
    <row r="169" spans="1:20" s="40" customFormat="1" ht="20" customHeight="1">
      <c r="A169" s="198"/>
      <c r="B169" s="4" t="s">
        <v>164</v>
      </c>
      <c r="C169" s="5">
        <f>(หลังริม!C169*2)+(หลังกลาง!C169*6)</f>
        <v>8</v>
      </c>
      <c r="D169" s="6" t="s">
        <v>141</v>
      </c>
      <c r="E169" s="11">
        <v>2670</v>
      </c>
      <c r="F169" s="5">
        <f t="shared" ref="F169:F176" si="52">E169*C169</f>
        <v>21360</v>
      </c>
      <c r="G169" s="5">
        <v>400</v>
      </c>
      <c r="H169" s="5">
        <f t="shared" ref="H169:H176" si="53">G169*C169</f>
        <v>3200</v>
      </c>
      <c r="I169" s="49">
        <f t="shared" ref="I169:I176" si="54">H169+F169</f>
        <v>24560</v>
      </c>
      <c r="J169" s="4"/>
      <c r="K169" s="43"/>
      <c r="L169" s="43"/>
      <c r="M169" s="43"/>
      <c r="N169" s="43"/>
      <c r="O169" s="43"/>
      <c r="P169" s="43"/>
      <c r="Q169" s="43"/>
      <c r="R169" s="43"/>
      <c r="S169" s="43"/>
      <c r="T169" s="43"/>
    </row>
    <row r="170" spans="1:20" s="40" customFormat="1" ht="20" customHeight="1">
      <c r="A170" s="198"/>
      <c r="B170" s="4" t="s">
        <v>165</v>
      </c>
      <c r="C170" s="5">
        <f>(หลังริม!C170*2)+(หลังกลาง!C170*6)</f>
        <v>8</v>
      </c>
      <c r="D170" s="6" t="s">
        <v>141</v>
      </c>
      <c r="E170" s="11">
        <v>2670</v>
      </c>
      <c r="F170" s="5">
        <f t="shared" si="52"/>
        <v>21360</v>
      </c>
      <c r="G170" s="5">
        <v>400</v>
      </c>
      <c r="H170" s="5">
        <f t="shared" si="53"/>
        <v>3200</v>
      </c>
      <c r="I170" s="49">
        <f t="shared" si="54"/>
        <v>24560</v>
      </c>
      <c r="J170" s="4"/>
      <c r="K170" s="43"/>
      <c r="L170" s="43"/>
      <c r="M170" s="43"/>
      <c r="N170" s="43"/>
      <c r="O170" s="43"/>
      <c r="P170" s="43"/>
      <c r="Q170" s="43"/>
      <c r="R170" s="43"/>
      <c r="S170" s="43"/>
      <c r="T170" s="43"/>
    </row>
    <row r="171" spans="1:20" s="40" customFormat="1" ht="20" customHeight="1">
      <c r="A171" s="198"/>
      <c r="B171" s="4" t="s">
        <v>166</v>
      </c>
      <c r="C171" s="5">
        <f>(หลังริม!C171*2)+(หลังกลาง!C171*6)</f>
        <v>16</v>
      </c>
      <c r="D171" s="6" t="s">
        <v>141</v>
      </c>
      <c r="E171" s="11">
        <v>1458</v>
      </c>
      <c r="F171" s="5">
        <f t="shared" si="52"/>
        <v>23328</v>
      </c>
      <c r="G171" s="5">
        <v>400</v>
      </c>
      <c r="H171" s="5">
        <f t="shared" si="53"/>
        <v>6400</v>
      </c>
      <c r="I171" s="49">
        <f t="shared" si="54"/>
        <v>29728</v>
      </c>
      <c r="J171" s="4"/>
      <c r="K171" s="43"/>
      <c r="L171" s="43"/>
      <c r="M171" s="43"/>
      <c r="N171" s="43"/>
      <c r="O171" s="43"/>
      <c r="P171" s="43"/>
      <c r="Q171" s="43"/>
      <c r="R171" s="43"/>
      <c r="S171" s="43"/>
      <c r="T171" s="43"/>
    </row>
    <row r="172" spans="1:20" s="40" customFormat="1" ht="20" customHeight="1">
      <c r="A172" s="198"/>
      <c r="B172" s="4" t="s">
        <v>169</v>
      </c>
      <c r="C172" s="5">
        <f>(หลังริม!C172*2)+(หลังกลาง!C172*6)</f>
        <v>2</v>
      </c>
      <c r="D172" s="6" t="s">
        <v>141</v>
      </c>
      <c r="E172" s="11">
        <v>0</v>
      </c>
      <c r="F172" s="5">
        <f t="shared" si="52"/>
        <v>0</v>
      </c>
      <c r="G172" s="5">
        <v>3300</v>
      </c>
      <c r="H172" s="5">
        <f t="shared" si="53"/>
        <v>6600</v>
      </c>
      <c r="I172" s="49">
        <f t="shared" si="54"/>
        <v>6600</v>
      </c>
      <c r="J172" s="24" t="s">
        <v>172</v>
      </c>
      <c r="K172" s="43"/>
      <c r="L172" s="43"/>
      <c r="M172" s="43"/>
      <c r="N172" s="43"/>
      <c r="O172" s="43"/>
      <c r="P172" s="43"/>
      <c r="Q172" s="43"/>
      <c r="R172" s="43"/>
      <c r="S172" s="43"/>
      <c r="T172" s="43"/>
    </row>
    <row r="173" spans="1:20" s="40" customFormat="1" ht="20" customHeight="1">
      <c r="A173" s="198"/>
      <c r="B173" s="4" t="s">
        <v>167</v>
      </c>
      <c r="C173" s="5">
        <f>(หลังริม!C173*2)+(หลังกลาง!C173*6)</f>
        <v>8</v>
      </c>
      <c r="D173" s="6" t="s">
        <v>141</v>
      </c>
      <c r="E173" s="11">
        <v>0</v>
      </c>
      <c r="F173" s="5">
        <f t="shared" si="52"/>
        <v>0</v>
      </c>
      <c r="G173" s="5">
        <v>2500</v>
      </c>
      <c r="H173" s="5">
        <f t="shared" si="53"/>
        <v>20000</v>
      </c>
      <c r="I173" s="49">
        <f t="shared" si="54"/>
        <v>20000</v>
      </c>
      <c r="J173" s="24" t="s">
        <v>172</v>
      </c>
      <c r="K173" s="43"/>
      <c r="L173" s="43"/>
      <c r="M173" s="43"/>
      <c r="N173" s="43"/>
      <c r="O173" s="43"/>
      <c r="P173" s="43"/>
      <c r="Q173" s="43"/>
      <c r="R173" s="43"/>
      <c r="S173" s="43"/>
      <c r="T173" s="43"/>
    </row>
    <row r="174" spans="1:20" s="40" customFormat="1" ht="20" customHeight="1">
      <c r="A174" s="198"/>
      <c r="B174" s="4" t="s">
        <v>168</v>
      </c>
      <c r="C174" s="5">
        <f>(หลังริม!C174*2)+(หลังกลาง!C174*6)</f>
        <v>8</v>
      </c>
      <c r="D174" s="6" t="s">
        <v>141</v>
      </c>
      <c r="E174" s="11">
        <v>0</v>
      </c>
      <c r="F174" s="5">
        <f t="shared" si="52"/>
        <v>0</v>
      </c>
      <c r="G174" s="5">
        <v>1200</v>
      </c>
      <c r="H174" s="5">
        <f t="shared" si="53"/>
        <v>9600</v>
      </c>
      <c r="I174" s="49">
        <f t="shared" si="54"/>
        <v>9600</v>
      </c>
      <c r="J174" s="24" t="s">
        <v>172</v>
      </c>
      <c r="K174" s="43"/>
      <c r="L174" s="43"/>
      <c r="M174" s="43"/>
      <c r="N174" s="43"/>
      <c r="O174" s="43"/>
      <c r="P174" s="43"/>
      <c r="Q174" s="43"/>
      <c r="R174" s="43"/>
      <c r="S174" s="43"/>
      <c r="T174" s="43"/>
    </row>
    <row r="175" spans="1:20" s="40" customFormat="1" ht="20" customHeight="1">
      <c r="A175" s="198"/>
      <c r="B175" s="4" t="s">
        <v>170</v>
      </c>
      <c r="C175" s="5">
        <f>(หลังริม!C175*2)+(หลังกลาง!C175*6)</f>
        <v>2</v>
      </c>
      <c r="D175" s="6" t="s">
        <v>141</v>
      </c>
      <c r="E175" s="11">
        <v>0</v>
      </c>
      <c r="F175" s="5">
        <f t="shared" si="52"/>
        <v>0</v>
      </c>
      <c r="G175" s="5">
        <v>4400</v>
      </c>
      <c r="H175" s="5">
        <f t="shared" si="53"/>
        <v>8800</v>
      </c>
      <c r="I175" s="49">
        <f t="shared" si="54"/>
        <v>8800</v>
      </c>
      <c r="J175" s="24" t="s">
        <v>172</v>
      </c>
      <c r="K175" s="43"/>
      <c r="L175" s="43"/>
      <c r="M175" s="43"/>
      <c r="N175" s="43"/>
      <c r="O175" s="43"/>
      <c r="P175" s="43"/>
      <c r="Q175" s="43"/>
      <c r="R175" s="43"/>
      <c r="S175" s="43"/>
      <c r="T175" s="43"/>
    </row>
    <row r="176" spans="1:20" s="40" customFormat="1" ht="20" customHeight="1">
      <c r="A176" s="198"/>
      <c r="B176" s="4" t="s">
        <v>171</v>
      </c>
      <c r="C176" s="5">
        <f>(หลังริม!C176*2)+(หลังกลาง!C176*6)</f>
        <v>2</v>
      </c>
      <c r="D176" s="6" t="s">
        <v>141</v>
      </c>
      <c r="E176" s="11">
        <v>0</v>
      </c>
      <c r="F176" s="5">
        <f t="shared" si="52"/>
        <v>0</v>
      </c>
      <c r="G176" s="5">
        <v>5300</v>
      </c>
      <c r="H176" s="5">
        <f t="shared" si="53"/>
        <v>10600</v>
      </c>
      <c r="I176" s="49">
        <f t="shared" si="54"/>
        <v>10600</v>
      </c>
      <c r="J176" s="24" t="s">
        <v>172</v>
      </c>
      <c r="K176" s="43"/>
      <c r="L176" s="43"/>
      <c r="M176" s="43"/>
      <c r="N176" s="43"/>
      <c r="O176" s="43"/>
      <c r="P176" s="43"/>
      <c r="Q176" s="43"/>
      <c r="R176" s="43"/>
      <c r="S176" s="43"/>
      <c r="T176" s="43"/>
    </row>
    <row r="177" spans="1:20" s="50" customFormat="1" ht="20" customHeight="1">
      <c r="A177" s="12"/>
      <c r="B177" s="12" t="s">
        <v>178</v>
      </c>
      <c r="C177" s="5">
        <f>(หลังริม!C177*2)+(หลังกลาง!C177*6)</f>
        <v>0</v>
      </c>
      <c r="D177" s="12"/>
      <c r="E177" s="100"/>
      <c r="F177" s="14">
        <f>SUM(F168:F176)</f>
        <v>66048</v>
      </c>
      <c r="G177" s="14"/>
      <c r="H177" s="14">
        <f t="shared" ref="H177:I177" si="55">SUM(H168:H176)</f>
        <v>132400</v>
      </c>
      <c r="I177" s="14">
        <f t="shared" si="55"/>
        <v>198448</v>
      </c>
      <c r="J177" s="13"/>
      <c r="K177" s="151">
        <f>H177+F177</f>
        <v>198448</v>
      </c>
    </row>
    <row r="178" spans="1:20" s="40" customFormat="1" ht="20" customHeight="1">
      <c r="A178" s="198"/>
      <c r="B178" s="3" t="s">
        <v>227</v>
      </c>
      <c r="C178" s="5">
        <f>(หลังริม!C178*2)+(หลังกลาง!C178*6)</f>
        <v>0</v>
      </c>
      <c r="D178" s="6"/>
      <c r="E178" s="48"/>
      <c r="F178" s="4"/>
      <c r="G178" s="4"/>
      <c r="H178" s="4"/>
      <c r="I178" s="4"/>
      <c r="J178" s="4"/>
      <c r="K178" s="43"/>
      <c r="L178" s="43"/>
      <c r="M178" s="43"/>
      <c r="N178" s="43"/>
      <c r="O178" s="43"/>
      <c r="P178" s="43"/>
      <c r="Q178" s="43"/>
      <c r="R178" s="43"/>
      <c r="S178" s="43"/>
      <c r="T178" s="43"/>
    </row>
    <row r="179" spans="1:20" s="40" customFormat="1" ht="20" customHeight="1">
      <c r="A179" s="198"/>
      <c r="B179" s="4" t="s">
        <v>173</v>
      </c>
      <c r="C179" s="5">
        <f>(หลังริม!C179*2)+(หลังกลาง!C179*6)</f>
        <v>256</v>
      </c>
      <c r="D179" s="6" t="s">
        <v>32</v>
      </c>
      <c r="E179" s="11">
        <v>250</v>
      </c>
      <c r="F179" s="5">
        <f>E179*C179</f>
        <v>64000</v>
      </c>
      <c r="G179" s="5">
        <v>150</v>
      </c>
      <c r="H179" s="5">
        <f>G179*C179</f>
        <v>38400</v>
      </c>
      <c r="I179" s="49">
        <f>H179+F179</f>
        <v>102400</v>
      </c>
      <c r="J179" s="4"/>
      <c r="K179" s="43"/>
      <c r="L179" s="43"/>
      <c r="M179" s="43"/>
      <c r="N179" s="43"/>
      <c r="O179" s="43"/>
      <c r="P179" s="43"/>
      <c r="Q179" s="43"/>
      <c r="R179" s="43"/>
      <c r="S179" s="43"/>
      <c r="T179" s="43"/>
    </row>
    <row r="180" spans="1:20" s="40" customFormat="1" ht="20" customHeight="1">
      <c r="A180" s="198"/>
      <c r="B180" s="4" t="s">
        <v>174</v>
      </c>
      <c r="C180" s="5">
        <f>(หลังริม!C180*2)+(หลังกลาง!C180*6)</f>
        <v>32</v>
      </c>
      <c r="D180" s="6" t="s">
        <v>32</v>
      </c>
      <c r="E180" s="11">
        <v>250</v>
      </c>
      <c r="F180" s="5">
        <f t="shared" ref="F180:F183" si="56">E180*C180</f>
        <v>8000</v>
      </c>
      <c r="G180" s="5">
        <v>150</v>
      </c>
      <c r="H180" s="5">
        <f t="shared" ref="H180:H183" si="57">G180*C180</f>
        <v>4800</v>
      </c>
      <c r="I180" s="49">
        <f t="shared" ref="I180:I183" si="58">H180+F180</f>
        <v>12800</v>
      </c>
      <c r="J180" s="4"/>
      <c r="K180" s="43"/>
      <c r="L180" s="43"/>
      <c r="M180" s="43"/>
      <c r="N180" s="43"/>
      <c r="O180" s="43"/>
      <c r="P180" s="43"/>
      <c r="Q180" s="43"/>
      <c r="R180" s="43"/>
      <c r="S180" s="43"/>
      <c r="T180" s="43"/>
    </row>
    <row r="181" spans="1:20" s="40" customFormat="1" ht="20" customHeight="1">
      <c r="A181" s="198"/>
      <c r="B181" s="4" t="s">
        <v>175</v>
      </c>
      <c r="C181" s="5">
        <f>(หลังริม!C181*2)+(หลังกลาง!C181*6)</f>
        <v>48</v>
      </c>
      <c r="D181" s="6" t="s">
        <v>32</v>
      </c>
      <c r="E181" s="11">
        <v>300</v>
      </c>
      <c r="F181" s="5">
        <f t="shared" si="56"/>
        <v>14400</v>
      </c>
      <c r="G181" s="5">
        <v>150</v>
      </c>
      <c r="H181" s="5">
        <f t="shared" si="57"/>
        <v>7200</v>
      </c>
      <c r="I181" s="49">
        <f t="shared" si="58"/>
        <v>21600</v>
      </c>
      <c r="J181" s="4"/>
      <c r="K181" s="43"/>
      <c r="L181" s="43"/>
      <c r="M181" s="43"/>
      <c r="N181" s="43"/>
      <c r="O181" s="43"/>
      <c r="P181" s="43"/>
      <c r="Q181" s="43"/>
      <c r="R181" s="43"/>
      <c r="S181" s="43"/>
      <c r="T181" s="43"/>
    </row>
    <row r="182" spans="1:20" s="40" customFormat="1" ht="20" customHeight="1">
      <c r="A182" s="198"/>
      <c r="B182" s="4" t="s">
        <v>265</v>
      </c>
      <c r="C182" s="5">
        <f>(หลังริม!C182*2)+(หลังกลาง!C182*6)</f>
        <v>192</v>
      </c>
      <c r="D182" s="6" t="s">
        <v>32</v>
      </c>
      <c r="E182" s="11">
        <v>250</v>
      </c>
      <c r="F182" s="5">
        <f t="shared" si="56"/>
        <v>48000</v>
      </c>
      <c r="G182" s="5">
        <v>170</v>
      </c>
      <c r="H182" s="5">
        <f t="shared" si="57"/>
        <v>32640</v>
      </c>
      <c r="I182" s="49">
        <f t="shared" si="58"/>
        <v>80640</v>
      </c>
      <c r="J182" s="4"/>
      <c r="K182" s="43"/>
      <c r="L182" s="43"/>
      <c r="M182" s="43"/>
      <c r="N182" s="43"/>
      <c r="O182" s="43"/>
      <c r="P182" s="43"/>
      <c r="Q182" s="43"/>
      <c r="R182" s="43"/>
      <c r="S182" s="43"/>
      <c r="T182" s="43"/>
    </row>
    <row r="183" spans="1:20" s="40" customFormat="1" ht="20" customHeight="1">
      <c r="A183" s="198"/>
      <c r="B183" s="4" t="s">
        <v>176</v>
      </c>
      <c r="C183" s="5">
        <f>(หลังริม!C183*2)+(หลังกลาง!C183*6)</f>
        <v>192</v>
      </c>
      <c r="D183" s="6" t="s">
        <v>32</v>
      </c>
      <c r="E183" s="11">
        <v>38</v>
      </c>
      <c r="F183" s="5">
        <f t="shared" si="56"/>
        <v>7296</v>
      </c>
      <c r="G183" s="5">
        <v>1000</v>
      </c>
      <c r="H183" s="5">
        <f t="shared" si="57"/>
        <v>192000</v>
      </c>
      <c r="I183" s="49">
        <f t="shared" si="58"/>
        <v>199296</v>
      </c>
      <c r="J183" s="4"/>
      <c r="K183" s="43"/>
      <c r="L183" s="43"/>
      <c r="M183" s="43"/>
      <c r="N183" s="43"/>
      <c r="O183" s="43"/>
      <c r="P183" s="43"/>
      <c r="Q183" s="43"/>
      <c r="R183" s="43"/>
      <c r="S183" s="43"/>
      <c r="T183" s="43"/>
    </row>
    <row r="184" spans="1:20" s="50" customFormat="1" ht="20" customHeight="1">
      <c r="A184" s="12"/>
      <c r="B184" s="12" t="s">
        <v>219</v>
      </c>
      <c r="C184" s="5">
        <f>(หลังริม!C184*2)+(หลังกลาง!C184*6)</f>
        <v>0</v>
      </c>
      <c r="D184" s="12"/>
      <c r="E184" s="100"/>
      <c r="F184" s="14">
        <f>SUM(F179:F183)</f>
        <v>141696</v>
      </c>
      <c r="G184" s="14"/>
      <c r="H184" s="14">
        <f t="shared" ref="H184:I184" si="59">SUM(H179:H183)</f>
        <v>275040</v>
      </c>
      <c r="I184" s="14">
        <f t="shared" si="59"/>
        <v>416736</v>
      </c>
      <c r="J184" s="13"/>
      <c r="K184" s="151">
        <f>H184+F184</f>
        <v>416736</v>
      </c>
    </row>
    <row r="185" spans="1:20" s="40" customFormat="1" ht="20" customHeight="1">
      <c r="A185" s="198"/>
      <c r="B185" s="3" t="s">
        <v>228</v>
      </c>
      <c r="C185" s="5">
        <f>(หลังริม!C185*2)+(หลังกลาง!C185*6)</f>
        <v>0</v>
      </c>
      <c r="D185" s="6"/>
      <c r="E185" s="48"/>
      <c r="F185" s="74"/>
      <c r="G185" s="77"/>
      <c r="H185" s="74"/>
      <c r="I185" s="74"/>
      <c r="J185" s="4"/>
      <c r="K185" s="43"/>
      <c r="L185" s="43"/>
      <c r="M185" s="43"/>
      <c r="N185" s="43"/>
      <c r="O185" s="43"/>
      <c r="P185" s="43"/>
      <c r="Q185" s="43"/>
      <c r="R185" s="43"/>
      <c r="S185" s="43"/>
      <c r="T185" s="43"/>
    </row>
    <row r="186" spans="1:20" s="40" customFormat="1" ht="20" customHeight="1">
      <c r="A186" s="198"/>
      <c r="B186" s="4" t="s">
        <v>185</v>
      </c>
      <c r="C186" s="5">
        <f>(หลังริม!C186*2)+(หลังกลาง!C186*6)</f>
        <v>366.32</v>
      </c>
      <c r="D186" s="6" t="s">
        <v>32</v>
      </c>
      <c r="E186" s="11">
        <v>60</v>
      </c>
      <c r="F186" s="5">
        <f>E186*C186</f>
        <v>21979.200000000001</v>
      </c>
      <c r="G186" s="5">
        <v>25</v>
      </c>
      <c r="H186" s="5">
        <f>G186*C186</f>
        <v>9158</v>
      </c>
      <c r="I186" s="7">
        <f>H186+F186</f>
        <v>31137.200000000001</v>
      </c>
      <c r="J186" s="4"/>
      <c r="K186" s="43"/>
      <c r="L186" s="43"/>
      <c r="M186" s="43"/>
      <c r="N186" s="43"/>
      <c r="O186" s="43"/>
      <c r="P186" s="43"/>
      <c r="Q186" s="43"/>
      <c r="R186" s="43"/>
      <c r="S186" s="43"/>
      <c r="T186" s="43"/>
    </row>
    <row r="187" spans="1:20" s="40" customFormat="1" ht="20" customHeight="1">
      <c r="A187" s="198"/>
      <c r="B187" s="4" t="s">
        <v>186</v>
      </c>
      <c r="C187" s="5">
        <f>(หลังริม!C187*2)+(หลังกลาง!C187*6)</f>
        <v>888</v>
      </c>
      <c r="D187" s="6" t="s">
        <v>32</v>
      </c>
      <c r="E187" s="11">
        <v>60</v>
      </c>
      <c r="F187" s="5">
        <f t="shared" ref="F187:F199" si="60">E187*C187</f>
        <v>53280</v>
      </c>
      <c r="G187" s="5">
        <v>25</v>
      </c>
      <c r="H187" s="5">
        <f t="shared" ref="H187:H199" si="61">G187*C187</f>
        <v>22200</v>
      </c>
      <c r="I187" s="7">
        <f t="shared" ref="I187:I199" si="62">H187+F187</f>
        <v>75480</v>
      </c>
      <c r="J187" s="4"/>
      <c r="K187" s="43"/>
      <c r="L187" s="43"/>
      <c r="M187" s="43"/>
      <c r="N187" s="43"/>
      <c r="O187" s="43"/>
      <c r="P187" s="43"/>
      <c r="Q187" s="43"/>
      <c r="R187" s="43"/>
      <c r="S187" s="43"/>
      <c r="T187" s="43"/>
    </row>
    <row r="188" spans="1:20" s="40" customFormat="1" ht="20" customHeight="1">
      <c r="A188" s="198"/>
      <c r="B188" s="4" t="s">
        <v>187</v>
      </c>
      <c r="C188" s="5">
        <f>(หลังริม!C188*2)+(หลังกลาง!C188*6)</f>
        <v>370.24</v>
      </c>
      <c r="D188" s="6" t="s">
        <v>32</v>
      </c>
      <c r="E188" s="11">
        <v>45</v>
      </c>
      <c r="F188" s="5">
        <f t="shared" si="60"/>
        <v>16660.8</v>
      </c>
      <c r="G188" s="5">
        <v>25</v>
      </c>
      <c r="H188" s="5">
        <f t="shared" si="61"/>
        <v>9256</v>
      </c>
      <c r="I188" s="7">
        <f t="shared" si="62"/>
        <v>25916.799999999999</v>
      </c>
      <c r="J188" s="4"/>
      <c r="K188" s="43"/>
      <c r="L188" s="43"/>
      <c r="M188" s="43"/>
      <c r="N188" s="43"/>
      <c r="O188" s="43"/>
      <c r="P188" s="43"/>
      <c r="Q188" s="43"/>
      <c r="R188" s="43"/>
      <c r="S188" s="43"/>
      <c r="T188" s="43"/>
    </row>
    <row r="189" spans="1:20" s="40" customFormat="1" ht="20" customHeight="1">
      <c r="A189" s="198"/>
      <c r="B189" s="4" t="s">
        <v>188</v>
      </c>
      <c r="C189" s="5">
        <f>(หลังริม!C189*2)+(หลังกลาง!C189*6)</f>
        <v>60</v>
      </c>
      <c r="D189" s="6" t="s">
        <v>32</v>
      </c>
      <c r="E189" s="11">
        <v>45</v>
      </c>
      <c r="F189" s="5">
        <f t="shared" si="60"/>
        <v>2700</v>
      </c>
      <c r="G189" s="5">
        <v>25</v>
      </c>
      <c r="H189" s="5">
        <f t="shared" si="61"/>
        <v>1500</v>
      </c>
      <c r="I189" s="7">
        <f t="shared" si="62"/>
        <v>4200</v>
      </c>
      <c r="J189" s="4"/>
      <c r="K189" s="43"/>
      <c r="L189" s="43"/>
      <c r="M189" s="43"/>
      <c r="N189" s="43"/>
      <c r="O189" s="43"/>
      <c r="P189" s="43"/>
      <c r="Q189" s="43"/>
      <c r="R189" s="43"/>
      <c r="S189" s="43"/>
      <c r="T189" s="43"/>
    </row>
    <row r="190" spans="1:20" s="40" customFormat="1" ht="20" customHeight="1">
      <c r="A190" s="198"/>
      <c r="B190" s="4" t="s">
        <v>249</v>
      </c>
      <c r="C190" s="5">
        <f>(หลังริม!C190*2)+(หลังกลาง!C190*6)</f>
        <v>216</v>
      </c>
      <c r="D190" s="6" t="s">
        <v>32</v>
      </c>
      <c r="E190" s="11">
        <v>45</v>
      </c>
      <c r="F190" s="5">
        <f t="shared" si="60"/>
        <v>9720</v>
      </c>
      <c r="G190" s="5">
        <v>25</v>
      </c>
      <c r="H190" s="5">
        <f t="shared" si="61"/>
        <v>5400</v>
      </c>
      <c r="I190" s="7">
        <f t="shared" si="62"/>
        <v>15120</v>
      </c>
      <c r="J190" s="4"/>
      <c r="K190" s="43"/>
      <c r="L190" s="43"/>
      <c r="M190" s="43"/>
      <c r="N190" s="43"/>
      <c r="O190" s="43"/>
      <c r="P190" s="43"/>
      <c r="Q190" s="43"/>
      <c r="R190" s="43"/>
      <c r="S190" s="43"/>
      <c r="T190" s="43"/>
    </row>
    <row r="191" spans="1:20" s="40" customFormat="1" ht="20" customHeight="1">
      <c r="A191" s="198"/>
      <c r="B191" s="4" t="s">
        <v>250</v>
      </c>
      <c r="C191" s="5">
        <f>(หลังริม!C191*2)+(หลังกลาง!C191*6)</f>
        <v>204.96</v>
      </c>
      <c r="D191" s="6" t="s">
        <v>32</v>
      </c>
      <c r="E191" s="11">
        <v>45</v>
      </c>
      <c r="F191" s="5">
        <f t="shared" si="60"/>
        <v>9223.2000000000007</v>
      </c>
      <c r="G191" s="5">
        <v>25</v>
      </c>
      <c r="H191" s="5">
        <f t="shared" si="61"/>
        <v>5124</v>
      </c>
      <c r="I191" s="7">
        <f t="shared" si="62"/>
        <v>14347.2</v>
      </c>
      <c r="J191" s="4"/>
      <c r="K191" s="43"/>
      <c r="L191" s="43"/>
      <c r="M191" s="43"/>
      <c r="N191" s="43"/>
      <c r="O191" s="43"/>
      <c r="P191" s="43"/>
      <c r="Q191" s="43"/>
      <c r="R191" s="43"/>
      <c r="S191" s="43"/>
      <c r="T191" s="43"/>
    </row>
    <row r="192" spans="1:20" s="40" customFormat="1" ht="20" customHeight="1">
      <c r="A192" s="198"/>
      <c r="B192" s="4" t="s">
        <v>248</v>
      </c>
      <c r="C192" s="5">
        <f>(หลังริม!C192*2)+(หลังกลาง!C192*6)</f>
        <v>40</v>
      </c>
      <c r="D192" s="6" t="s">
        <v>32</v>
      </c>
      <c r="E192" s="11">
        <v>45</v>
      </c>
      <c r="F192" s="5">
        <f t="shared" si="60"/>
        <v>1800</v>
      </c>
      <c r="G192" s="5">
        <v>25</v>
      </c>
      <c r="H192" s="5">
        <f t="shared" si="61"/>
        <v>1000</v>
      </c>
      <c r="I192" s="7">
        <f t="shared" si="62"/>
        <v>2800</v>
      </c>
      <c r="J192" s="4"/>
      <c r="K192" s="43"/>
      <c r="L192" s="43"/>
      <c r="M192" s="43"/>
      <c r="N192" s="43"/>
      <c r="O192" s="43"/>
      <c r="P192" s="43"/>
      <c r="Q192" s="43"/>
      <c r="R192" s="43"/>
      <c r="S192" s="43"/>
      <c r="T192" s="43"/>
    </row>
    <row r="193" spans="1:20" s="40" customFormat="1" ht="20" customHeight="1">
      <c r="A193" s="198"/>
      <c r="B193" s="78" t="s">
        <v>269</v>
      </c>
      <c r="C193" s="5">
        <f>(หลังริม!C193*2)+(หลังกลาง!C193*6)</f>
        <v>8.94</v>
      </c>
      <c r="D193" s="6" t="s">
        <v>32</v>
      </c>
      <c r="E193" s="5">
        <v>45</v>
      </c>
      <c r="F193" s="5">
        <f t="shared" si="60"/>
        <v>402.29999999999995</v>
      </c>
      <c r="G193" s="5">
        <v>25</v>
      </c>
      <c r="H193" s="5">
        <f t="shared" si="61"/>
        <v>223.5</v>
      </c>
      <c r="I193" s="7">
        <f t="shared" si="62"/>
        <v>625.79999999999995</v>
      </c>
      <c r="J193" s="4"/>
      <c r="K193" s="43"/>
      <c r="L193" s="43"/>
      <c r="M193" s="43"/>
      <c r="N193" s="43"/>
      <c r="O193" s="43"/>
      <c r="P193" s="43"/>
      <c r="Q193" s="43"/>
      <c r="R193" s="43"/>
      <c r="S193" s="43"/>
      <c r="T193" s="43"/>
    </row>
    <row r="194" spans="1:20" s="40" customFormat="1" ht="20" customHeight="1">
      <c r="A194" s="198"/>
      <c r="B194" s="78" t="s">
        <v>270</v>
      </c>
      <c r="C194" s="5">
        <f>(หลังริม!C194*2)+(หลังกลาง!C194*6)</f>
        <v>16</v>
      </c>
      <c r="D194" s="6" t="s">
        <v>32</v>
      </c>
      <c r="E194" s="5">
        <v>45</v>
      </c>
      <c r="F194" s="5">
        <f t="shared" si="60"/>
        <v>720</v>
      </c>
      <c r="G194" s="5">
        <v>25</v>
      </c>
      <c r="H194" s="5">
        <f t="shared" si="61"/>
        <v>400</v>
      </c>
      <c r="I194" s="7">
        <f t="shared" si="62"/>
        <v>1120</v>
      </c>
      <c r="J194" s="4"/>
      <c r="K194" s="43"/>
      <c r="L194" s="43"/>
      <c r="M194" s="43"/>
      <c r="N194" s="43"/>
      <c r="O194" s="43"/>
      <c r="P194" s="43"/>
      <c r="Q194" s="43"/>
      <c r="R194" s="43"/>
      <c r="S194" s="43"/>
      <c r="T194" s="43"/>
    </row>
    <row r="195" spans="1:20" s="40" customFormat="1" ht="20" customHeight="1">
      <c r="A195" s="198"/>
      <c r="B195" s="4" t="s">
        <v>251</v>
      </c>
      <c r="C195" s="5">
        <f>(หลังริม!C195*2)+(หลังกลาง!C195*6)</f>
        <v>40</v>
      </c>
      <c r="D195" s="6" t="s">
        <v>32</v>
      </c>
      <c r="E195" s="11">
        <v>45</v>
      </c>
      <c r="F195" s="5">
        <f t="shared" si="60"/>
        <v>1800</v>
      </c>
      <c r="G195" s="5">
        <v>25</v>
      </c>
      <c r="H195" s="5">
        <f t="shared" si="61"/>
        <v>1000</v>
      </c>
      <c r="I195" s="7">
        <f t="shared" si="62"/>
        <v>2800</v>
      </c>
      <c r="J195" s="4"/>
      <c r="K195" s="43"/>
      <c r="L195" s="43"/>
      <c r="M195" s="43"/>
      <c r="N195" s="43"/>
      <c r="O195" s="43"/>
      <c r="P195" s="43"/>
      <c r="Q195" s="43"/>
      <c r="R195" s="43"/>
      <c r="S195" s="43"/>
      <c r="T195" s="43"/>
    </row>
    <row r="196" spans="1:20" s="40" customFormat="1" ht="20" customHeight="1">
      <c r="A196" s="198"/>
      <c r="B196" s="4" t="s">
        <v>252</v>
      </c>
      <c r="C196" s="5">
        <f>(หลังริม!C196*2)+(หลังกลาง!C196*6)</f>
        <v>49.92</v>
      </c>
      <c r="D196" s="6" t="s">
        <v>32</v>
      </c>
      <c r="E196" s="11">
        <v>45</v>
      </c>
      <c r="F196" s="5">
        <f t="shared" si="60"/>
        <v>2246.4</v>
      </c>
      <c r="G196" s="5">
        <v>25</v>
      </c>
      <c r="H196" s="5">
        <f t="shared" si="61"/>
        <v>1248</v>
      </c>
      <c r="I196" s="7">
        <f t="shared" si="62"/>
        <v>3494.4</v>
      </c>
      <c r="J196" s="4"/>
      <c r="K196" s="43"/>
      <c r="L196" s="43"/>
      <c r="M196" s="43"/>
      <c r="N196" s="43"/>
      <c r="O196" s="43"/>
      <c r="P196" s="43"/>
      <c r="Q196" s="43"/>
      <c r="R196" s="43"/>
      <c r="S196" s="43"/>
      <c r="T196" s="43"/>
    </row>
    <row r="197" spans="1:20" s="40" customFormat="1" ht="20" customHeight="1">
      <c r="A197" s="198"/>
      <c r="B197" s="4" t="s">
        <v>253</v>
      </c>
      <c r="C197" s="5">
        <f>(หลังริม!C197*2)+(หลังกลาง!C197*6)</f>
        <v>8</v>
      </c>
      <c r="D197" s="6" t="s">
        <v>254</v>
      </c>
      <c r="E197" s="11">
        <v>0</v>
      </c>
      <c r="F197" s="5">
        <f t="shared" si="60"/>
        <v>0</v>
      </c>
      <c r="G197" s="5">
        <v>1500</v>
      </c>
      <c r="H197" s="5">
        <f t="shared" si="61"/>
        <v>12000</v>
      </c>
      <c r="I197" s="7">
        <f t="shared" si="62"/>
        <v>12000</v>
      </c>
      <c r="J197" s="4"/>
      <c r="K197" s="43"/>
      <c r="L197" s="43"/>
      <c r="M197" s="43"/>
      <c r="N197" s="43"/>
      <c r="O197" s="43"/>
      <c r="P197" s="43"/>
      <c r="Q197" s="43"/>
      <c r="R197" s="43"/>
      <c r="S197" s="43"/>
      <c r="T197" s="43"/>
    </row>
    <row r="198" spans="1:20" s="40" customFormat="1" ht="20" customHeight="1">
      <c r="A198" s="198"/>
      <c r="B198" s="4" t="s">
        <v>189</v>
      </c>
      <c r="C198" s="5">
        <f>(หลังริม!C198*2)+(หลังกลาง!C198*6)</f>
        <v>1417.44</v>
      </c>
      <c r="D198" s="6" t="s">
        <v>32</v>
      </c>
      <c r="E198" s="11">
        <v>15</v>
      </c>
      <c r="F198" s="5">
        <f t="shared" si="60"/>
        <v>21261.600000000002</v>
      </c>
      <c r="G198" s="5">
        <v>20</v>
      </c>
      <c r="H198" s="5">
        <f t="shared" si="61"/>
        <v>28348.800000000003</v>
      </c>
      <c r="I198" s="7">
        <f t="shared" si="62"/>
        <v>49610.400000000009</v>
      </c>
      <c r="J198" s="4"/>
      <c r="K198" s="43"/>
      <c r="L198" s="43"/>
      <c r="M198" s="43"/>
      <c r="N198" s="43"/>
      <c r="O198" s="43"/>
      <c r="P198" s="43"/>
      <c r="Q198" s="43"/>
      <c r="R198" s="43"/>
      <c r="S198" s="43"/>
      <c r="T198" s="43"/>
    </row>
    <row r="199" spans="1:20" s="40" customFormat="1" ht="20" customHeight="1">
      <c r="A199" s="198"/>
      <c r="B199" s="4" t="s">
        <v>190</v>
      </c>
      <c r="C199" s="5">
        <f>(หลังริม!C199*2)+(หลังกลาง!C199*6)</f>
        <v>8</v>
      </c>
      <c r="D199" s="6" t="s">
        <v>136</v>
      </c>
      <c r="E199" s="11">
        <v>0</v>
      </c>
      <c r="F199" s="5">
        <f t="shared" si="60"/>
        <v>0</v>
      </c>
      <c r="G199" s="5">
        <v>100</v>
      </c>
      <c r="H199" s="5">
        <f t="shared" si="61"/>
        <v>800</v>
      </c>
      <c r="I199" s="7">
        <f t="shared" si="62"/>
        <v>800</v>
      </c>
      <c r="J199" s="4"/>
      <c r="K199" s="43"/>
      <c r="L199" s="43"/>
      <c r="M199" s="43"/>
      <c r="N199" s="43"/>
      <c r="O199" s="43"/>
      <c r="P199" s="43"/>
      <c r="Q199" s="43"/>
      <c r="R199" s="43"/>
      <c r="S199" s="43"/>
      <c r="T199" s="43"/>
    </row>
    <row r="200" spans="1:20" s="50" customFormat="1" ht="20" customHeight="1">
      <c r="A200" s="12"/>
      <c r="B200" s="12" t="s">
        <v>220</v>
      </c>
      <c r="C200" s="5">
        <f>(หลังริม!C200*2)+(หลังกลาง!C200*6)</f>
        <v>0</v>
      </c>
      <c r="D200" s="12"/>
      <c r="E200" s="100"/>
      <c r="F200" s="14">
        <f>SUM(F186:F199)</f>
        <v>141793.5</v>
      </c>
      <c r="G200" s="14"/>
      <c r="H200" s="14">
        <f t="shared" ref="H200:I200" si="63">SUM(H186:H199)</f>
        <v>97658.3</v>
      </c>
      <c r="I200" s="14">
        <f t="shared" si="63"/>
        <v>239451.8</v>
      </c>
      <c r="J200" s="13"/>
      <c r="K200" s="151">
        <f>H200+F200</f>
        <v>239451.8</v>
      </c>
    </row>
    <row r="201" spans="1:20" s="40" customFormat="1" ht="20" customHeight="1">
      <c r="A201" s="198"/>
      <c r="B201" s="3" t="s">
        <v>229</v>
      </c>
      <c r="C201" s="5">
        <f>(หลังริม!C201*2)+(หลังกลาง!C201*6)</f>
        <v>0</v>
      </c>
      <c r="D201" s="6"/>
      <c r="E201" s="48"/>
      <c r="F201" s="4"/>
      <c r="G201" s="4"/>
      <c r="H201" s="4"/>
      <c r="I201" s="4"/>
      <c r="J201" s="4"/>
      <c r="K201" s="43"/>
      <c r="L201" s="43"/>
      <c r="M201" s="43"/>
      <c r="N201" s="43"/>
      <c r="O201" s="43"/>
      <c r="P201" s="43"/>
      <c r="Q201" s="43"/>
      <c r="R201" s="43"/>
      <c r="S201" s="43"/>
      <c r="T201" s="43"/>
    </row>
    <row r="202" spans="1:20" s="40" customFormat="1" ht="20" customHeight="1">
      <c r="A202" s="198"/>
      <c r="B202" s="4" t="s">
        <v>52</v>
      </c>
      <c r="C202" s="5">
        <f>(หลังริม!C202*2)+(หลังกลาง!C202*6)</f>
        <v>64</v>
      </c>
      <c r="D202" s="6" t="s">
        <v>53</v>
      </c>
      <c r="E202" s="11">
        <v>225</v>
      </c>
      <c r="F202" s="5">
        <f>E202*C202</f>
        <v>14400</v>
      </c>
      <c r="G202" s="20">
        <v>0</v>
      </c>
      <c r="H202" s="5">
        <f>G202*C202</f>
        <v>0</v>
      </c>
      <c r="I202" s="49">
        <f>H202+F202</f>
        <v>14400</v>
      </c>
      <c r="J202" s="4"/>
      <c r="K202" s="43"/>
      <c r="L202" s="43"/>
      <c r="M202" s="43"/>
      <c r="N202" s="43"/>
      <c r="O202" s="43"/>
      <c r="P202" s="43"/>
      <c r="Q202" s="43"/>
      <c r="R202" s="43"/>
      <c r="S202" s="43"/>
      <c r="T202" s="43"/>
    </row>
    <row r="203" spans="1:20" s="40" customFormat="1" ht="20" customHeight="1">
      <c r="A203" s="198"/>
      <c r="B203" s="4" t="s">
        <v>179</v>
      </c>
      <c r="C203" s="5">
        <f>(หลังริม!C203*2)+(หลังกลาง!C203*6)</f>
        <v>64</v>
      </c>
      <c r="D203" s="6" t="s">
        <v>141</v>
      </c>
      <c r="E203" s="11">
        <v>25</v>
      </c>
      <c r="F203" s="5">
        <f t="shared" ref="F203:F213" si="64">E203*C203</f>
        <v>1600</v>
      </c>
      <c r="G203" s="20">
        <v>0</v>
      </c>
      <c r="H203" s="5">
        <f t="shared" ref="H203:H213" si="65">G203*C203</f>
        <v>0</v>
      </c>
      <c r="I203" s="49">
        <f t="shared" ref="I203:I213" si="66">H203+F203</f>
        <v>1600</v>
      </c>
      <c r="J203" s="4"/>
      <c r="K203" s="43"/>
      <c r="L203" s="43"/>
      <c r="M203" s="43"/>
      <c r="N203" s="43"/>
      <c r="O203" s="43"/>
      <c r="P203" s="43"/>
      <c r="Q203" s="43"/>
      <c r="R203" s="43"/>
      <c r="S203" s="43"/>
      <c r="T203" s="43"/>
    </row>
    <row r="204" spans="1:20" s="40" customFormat="1" ht="20" customHeight="1">
      <c r="A204" s="198"/>
      <c r="B204" s="4" t="s">
        <v>180</v>
      </c>
      <c r="C204" s="5">
        <f>(หลังริม!C204*2)+(หลังกลาง!C204*6)</f>
        <v>16</v>
      </c>
      <c r="D204" s="6" t="s">
        <v>141</v>
      </c>
      <c r="E204" s="11">
        <v>99</v>
      </c>
      <c r="F204" s="5">
        <f t="shared" si="64"/>
        <v>1584</v>
      </c>
      <c r="G204" s="20">
        <v>0</v>
      </c>
      <c r="H204" s="5">
        <f t="shared" si="65"/>
        <v>0</v>
      </c>
      <c r="I204" s="49">
        <f t="shared" si="66"/>
        <v>1584</v>
      </c>
      <c r="J204" s="4"/>
      <c r="K204" s="43"/>
      <c r="L204" s="43"/>
      <c r="M204" s="43"/>
      <c r="N204" s="43"/>
      <c r="O204" s="43"/>
      <c r="P204" s="43"/>
      <c r="Q204" s="43"/>
      <c r="R204" s="43"/>
      <c r="S204" s="43"/>
      <c r="T204" s="43"/>
    </row>
    <row r="205" spans="1:20" s="40" customFormat="1" ht="20" customHeight="1">
      <c r="A205" s="198"/>
      <c r="B205" s="4" t="s">
        <v>181</v>
      </c>
      <c r="C205" s="5">
        <f>(หลังริม!C205*2)+(หลังกลาง!C205*6)</f>
        <v>16</v>
      </c>
      <c r="D205" s="6" t="s">
        <v>141</v>
      </c>
      <c r="E205" s="11">
        <v>99</v>
      </c>
      <c r="F205" s="5">
        <f t="shared" si="64"/>
        <v>1584</v>
      </c>
      <c r="G205" s="20">
        <v>0</v>
      </c>
      <c r="H205" s="5">
        <f t="shared" si="65"/>
        <v>0</v>
      </c>
      <c r="I205" s="49">
        <f t="shared" si="66"/>
        <v>1584</v>
      </c>
      <c r="J205" s="4"/>
      <c r="K205" s="43"/>
      <c r="L205" s="43"/>
      <c r="M205" s="43"/>
      <c r="N205" s="43"/>
      <c r="O205" s="43"/>
      <c r="P205" s="43"/>
      <c r="Q205" s="43"/>
      <c r="R205" s="43"/>
      <c r="S205" s="43"/>
      <c r="T205" s="43"/>
    </row>
    <row r="206" spans="1:20" s="40" customFormat="1" ht="20" customHeight="1">
      <c r="A206" s="198"/>
      <c r="B206" s="4" t="s">
        <v>182</v>
      </c>
      <c r="C206" s="5">
        <f>(หลังริม!C206*2)+(หลังกลาง!C206*6)</f>
        <v>1.3333333333333333</v>
      </c>
      <c r="D206" s="6" t="s">
        <v>53</v>
      </c>
      <c r="E206" s="11">
        <v>335</v>
      </c>
      <c r="F206" s="5">
        <f t="shared" si="64"/>
        <v>446.66666666666663</v>
      </c>
      <c r="G206" s="20">
        <v>0</v>
      </c>
      <c r="H206" s="5">
        <f t="shared" si="65"/>
        <v>0</v>
      </c>
      <c r="I206" s="49">
        <f t="shared" si="66"/>
        <v>446.66666666666663</v>
      </c>
      <c r="J206" s="4"/>
      <c r="K206" s="43"/>
      <c r="L206" s="43"/>
      <c r="M206" s="43"/>
      <c r="N206" s="43"/>
      <c r="O206" s="43"/>
      <c r="P206" s="43"/>
      <c r="Q206" s="43"/>
      <c r="R206" s="43"/>
      <c r="S206" s="43"/>
      <c r="T206" s="43"/>
    </row>
    <row r="207" spans="1:20" s="40" customFormat="1" ht="20" customHeight="1">
      <c r="A207" s="6"/>
      <c r="B207" s="4" t="s">
        <v>63</v>
      </c>
      <c r="C207" s="5">
        <f>(หลังริม!C207*2)+(หลังกลาง!C207*6)</f>
        <v>1.3333333333333333</v>
      </c>
      <c r="D207" s="6" t="s">
        <v>64</v>
      </c>
      <c r="E207" s="11">
        <v>1240</v>
      </c>
      <c r="F207" s="5">
        <f t="shared" si="64"/>
        <v>1653.3333333333333</v>
      </c>
      <c r="G207" s="20">
        <v>0</v>
      </c>
      <c r="H207" s="5">
        <f t="shared" si="65"/>
        <v>0</v>
      </c>
      <c r="I207" s="49">
        <f t="shared" si="66"/>
        <v>1653.3333333333333</v>
      </c>
      <c r="J207" s="4"/>
      <c r="K207" s="43"/>
      <c r="L207" s="43"/>
      <c r="M207" s="43"/>
      <c r="N207" s="43"/>
      <c r="O207" s="43"/>
      <c r="P207" s="43"/>
      <c r="Q207" s="43"/>
      <c r="R207" s="43"/>
      <c r="S207" s="43"/>
      <c r="T207" s="43"/>
    </row>
    <row r="208" spans="1:20" s="40" customFormat="1" ht="20" customHeight="1">
      <c r="A208" s="198"/>
      <c r="B208" s="4" t="s">
        <v>65</v>
      </c>
      <c r="C208" s="5">
        <f>(หลังริม!C208*2)+(หลังกลาง!C208*6)</f>
        <v>2.6666666666666665</v>
      </c>
      <c r="D208" s="6" t="s">
        <v>66</v>
      </c>
      <c r="E208" s="11">
        <v>1089</v>
      </c>
      <c r="F208" s="5">
        <f t="shared" si="64"/>
        <v>2904</v>
      </c>
      <c r="G208" s="20">
        <v>0</v>
      </c>
      <c r="H208" s="5">
        <f t="shared" si="65"/>
        <v>0</v>
      </c>
      <c r="I208" s="49">
        <f t="shared" si="66"/>
        <v>2904</v>
      </c>
      <c r="J208" s="4"/>
      <c r="K208" s="43"/>
      <c r="L208" s="43"/>
      <c r="M208" s="43"/>
      <c r="N208" s="43"/>
      <c r="O208" s="43"/>
      <c r="P208" s="43"/>
      <c r="Q208" s="43"/>
      <c r="R208" s="43"/>
      <c r="S208" s="43"/>
      <c r="T208" s="43"/>
    </row>
    <row r="209" spans="1:20" s="40" customFormat="1" ht="20" customHeight="1">
      <c r="A209" s="198"/>
      <c r="B209" s="4" t="s">
        <v>68</v>
      </c>
      <c r="C209" s="5">
        <f>(หลังริม!C209*2)+(หลังกลาง!C209*6)</f>
        <v>1.36</v>
      </c>
      <c r="D209" s="6" t="s">
        <v>64</v>
      </c>
      <c r="E209" s="11">
        <v>1595</v>
      </c>
      <c r="F209" s="5">
        <f t="shared" si="64"/>
        <v>2169.2000000000003</v>
      </c>
      <c r="G209" s="20">
        <v>0</v>
      </c>
      <c r="H209" s="5">
        <f t="shared" si="65"/>
        <v>0</v>
      </c>
      <c r="I209" s="49">
        <f t="shared" si="66"/>
        <v>2169.2000000000003</v>
      </c>
      <c r="J209" s="4"/>
      <c r="K209" s="43"/>
      <c r="L209" s="43"/>
      <c r="M209" s="43"/>
      <c r="N209" s="43"/>
      <c r="O209" s="43"/>
      <c r="P209" s="43"/>
      <c r="Q209" s="43"/>
      <c r="R209" s="43"/>
      <c r="S209" s="43"/>
      <c r="T209" s="43"/>
    </row>
    <row r="210" spans="1:20" s="40" customFormat="1" ht="20" customHeight="1">
      <c r="A210" s="198"/>
      <c r="B210" s="4" t="s">
        <v>67</v>
      </c>
      <c r="C210" s="5">
        <f>(หลังริม!C210*2)+(หลังกลาง!C210*6)</f>
        <v>5.333333333333333</v>
      </c>
      <c r="D210" s="6" t="s">
        <v>66</v>
      </c>
      <c r="E210" s="11">
        <v>389</v>
      </c>
      <c r="F210" s="5">
        <f t="shared" si="64"/>
        <v>2074.6666666666665</v>
      </c>
      <c r="G210" s="20">
        <v>0</v>
      </c>
      <c r="H210" s="5">
        <f t="shared" si="65"/>
        <v>0</v>
      </c>
      <c r="I210" s="49">
        <f t="shared" si="66"/>
        <v>2074.6666666666665</v>
      </c>
      <c r="J210" s="4"/>
      <c r="K210" s="43"/>
      <c r="L210" s="43"/>
      <c r="M210" s="43"/>
      <c r="N210" s="43"/>
      <c r="O210" s="43"/>
      <c r="P210" s="43"/>
      <c r="Q210" s="43"/>
      <c r="R210" s="43"/>
      <c r="S210" s="43"/>
      <c r="T210" s="43"/>
    </row>
    <row r="211" spans="1:20" s="40" customFormat="1" ht="20" customHeight="1">
      <c r="A211" s="198"/>
      <c r="B211" s="4" t="s">
        <v>183</v>
      </c>
      <c r="C211" s="5">
        <f>(หลังริม!C211*2)+(หลังกลาง!C211*6)</f>
        <v>1.36</v>
      </c>
      <c r="D211" s="6" t="s">
        <v>125</v>
      </c>
      <c r="E211" s="11">
        <v>357</v>
      </c>
      <c r="F211" s="5">
        <f t="shared" si="64"/>
        <v>485.52000000000004</v>
      </c>
      <c r="G211" s="20">
        <v>0</v>
      </c>
      <c r="H211" s="5">
        <f t="shared" si="65"/>
        <v>0</v>
      </c>
      <c r="I211" s="49">
        <f t="shared" si="66"/>
        <v>485.52000000000004</v>
      </c>
      <c r="J211" s="4"/>
      <c r="K211" s="43"/>
      <c r="L211" s="43"/>
      <c r="M211" s="43"/>
      <c r="N211" s="43"/>
      <c r="O211" s="43"/>
      <c r="P211" s="43"/>
      <c r="Q211" s="43"/>
      <c r="R211" s="43"/>
      <c r="S211" s="43"/>
      <c r="T211" s="43"/>
    </row>
    <row r="212" spans="1:20" s="40" customFormat="1" ht="20" customHeight="1">
      <c r="A212" s="198"/>
      <c r="B212" s="4" t="s">
        <v>184</v>
      </c>
      <c r="C212" s="5">
        <f>(หลังริม!C212*2)+(หลังกลาง!C212*6)</f>
        <v>1.36</v>
      </c>
      <c r="D212" s="6" t="s">
        <v>125</v>
      </c>
      <c r="E212" s="11">
        <v>329</v>
      </c>
      <c r="F212" s="5">
        <f t="shared" si="64"/>
        <v>447.44000000000005</v>
      </c>
      <c r="G212" s="20">
        <v>0</v>
      </c>
      <c r="H212" s="5">
        <f t="shared" si="65"/>
        <v>0</v>
      </c>
      <c r="I212" s="49">
        <f t="shared" si="66"/>
        <v>447.44000000000005</v>
      </c>
      <c r="J212" s="4"/>
      <c r="K212" s="43"/>
      <c r="L212" s="43"/>
      <c r="M212" s="43"/>
      <c r="N212" s="43"/>
      <c r="O212" s="43"/>
      <c r="P212" s="43"/>
      <c r="Q212" s="43"/>
      <c r="R212" s="43"/>
      <c r="S212" s="43"/>
      <c r="T212" s="43"/>
    </row>
    <row r="213" spans="1:20" s="43" customFormat="1" ht="20" customHeight="1">
      <c r="A213" s="198"/>
      <c r="B213" s="4" t="s">
        <v>272</v>
      </c>
      <c r="C213" s="5">
        <f>(หลังริม!C213*2)+(หลังกลาง!C213*6)</f>
        <v>8</v>
      </c>
      <c r="D213" s="6" t="s">
        <v>264</v>
      </c>
      <c r="E213" s="5">
        <v>0</v>
      </c>
      <c r="F213" s="5">
        <f t="shared" si="64"/>
        <v>0</v>
      </c>
      <c r="G213" s="70">
        <v>1600</v>
      </c>
      <c r="H213" s="5">
        <f t="shared" si="65"/>
        <v>12800</v>
      </c>
      <c r="I213" s="49">
        <f t="shared" si="66"/>
        <v>12800</v>
      </c>
      <c r="J213" s="4"/>
      <c r="K213" s="73"/>
    </row>
    <row r="214" spans="1:20" s="50" customFormat="1" ht="20" customHeight="1">
      <c r="A214" s="12"/>
      <c r="B214" s="12" t="s">
        <v>230</v>
      </c>
      <c r="C214" s="5">
        <f>(หลังริม!C214*2)+(หลังกลาง!C214*6)</f>
        <v>0</v>
      </c>
      <c r="D214" s="12"/>
      <c r="E214" s="100"/>
      <c r="F214" s="14">
        <f>SUM(F202:F213)</f>
        <v>29348.826666666668</v>
      </c>
      <c r="G214" s="14"/>
      <c r="H214" s="14">
        <f t="shared" ref="H214:I214" si="67">SUM(H202:H213)</f>
        <v>12800</v>
      </c>
      <c r="I214" s="14">
        <f t="shared" si="67"/>
        <v>42148.826666666668</v>
      </c>
      <c r="J214" s="13"/>
      <c r="K214" s="151">
        <f>H214+F214</f>
        <v>42148.826666666668</v>
      </c>
    </row>
    <row r="215" spans="1:20" s="85" customFormat="1" ht="20" customHeight="1">
      <c r="A215" s="204">
        <v>2</v>
      </c>
      <c r="B215" s="81" t="s">
        <v>109</v>
      </c>
      <c r="C215" s="5">
        <f>(หลังริม!C215*2)+(หลังกลาง!C215*6)</f>
        <v>0</v>
      </c>
      <c r="D215" s="81" t="s">
        <v>11</v>
      </c>
      <c r="E215" s="82"/>
      <c r="F215" s="82">
        <f>F96+F100+F111+F115+F122+F137+F146+F166+F177+F184+F200+F214</f>
        <v>818708.49542941735</v>
      </c>
      <c r="G215" s="82"/>
      <c r="H215" s="82">
        <f t="shared" ref="H215:I215" si="68">H96+H100+H111+H115+H122+H137+H146+H166+H177+H184+H200+H214</f>
        <v>816000.3</v>
      </c>
      <c r="I215" s="82">
        <f t="shared" si="68"/>
        <v>1634708.7954294174</v>
      </c>
      <c r="J215" s="83"/>
      <c r="K215" s="151">
        <f>H215+F215</f>
        <v>1634708.7954294174</v>
      </c>
      <c r="L215" s="84"/>
      <c r="M215" s="84"/>
      <c r="N215" s="84"/>
      <c r="O215" s="84"/>
      <c r="P215" s="84"/>
      <c r="Q215" s="84"/>
      <c r="R215" s="84"/>
      <c r="S215" s="84"/>
      <c r="T215" s="84"/>
    </row>
    <row r="216" spans="1:20" s="159" customFormat="1" ht="20" customHeight="1" thickBot="1">
      <c r="A216" s="212"/>
      <c r="B216" s="87"/>
      <c r="C216" s="5">
        <f>(หลังริม!C216*2)+(หลังกลาง!C216*6)</f>
        <v>0</v>
      </c>
      <c r="D216" s="155"/>
      <c r="E216" s="156"/>
      <c r="F216" s="88"/>
      <c r="G216" s="156"/>
      <c r="H216" s="88"/>
      <c r="I216" s="153"/>
      <c r="J216" s="157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</row>
    <row r="217" spans="1:20" s="97" customFormat="1" ht="20" customHeight="1" thickTop="1">
      <c r="A217" s="206">
        <v>3</v>
      </c>
      <c r="B217" s="92" t="s">
        <v>191</v>
      </c>
      <c r="C217" s="5">
        <f>(หลังริม!C217*2)+(หลังกลาง!C217*6)</f>
        <v>0</v>
      </c>
      <c r="D217" s="190"/>
      <c r="E217" s="94"/>
      <c r="F217" s="93"/>
      <c r="G217" s="93"/>
      <c r="H217" s="93"/>
      <c r="I217" s="93"/>
      <c r="J217" s="93"/>
      <c r="K217" s="96"/>
      <c r="L217" s="96"/>
      <c r="M217" s="96"/>
      <c r="N217" s="96"/>
      <c r="O217" s="96"/>
      <c r="P217" s="96"/>
      <c r="Q217" s="96"/>
      <c r="R217" s="96"/>
      <c r="S217" s="96"/>
      <c r="T217" s="96"/>
    </row>
    <row r="218" spans="1:20" s="40" customFormat="1" ht="20" customHeight="1">
      <c r="A218" s="198"/>
      <c r="B218" s="3" t="s">
        <v>192</v>
      </c>
      <c r="C218" s="5">
        <f>(หลังริม!C218*2)+(หลังกลาง!C218*6)</f>
        <v>0</v>
      </c>
      <c r="D218" s="6"/>
      <c r="E218" s="48"/>
      <c r="F218" s="4"/>
      <c r="G218" s="4"/>
      <c r="H218" s="4"/>
      <c r="I218" s="4"/>
      <c r="J218" s="4"/>
      <c r="K218" s="43"/>
      <c r="L218" s="43"/>
      <c r="M218" s="43"/>
      <c r="N218" s="43"/>
      <c r="O218" s="43"/>
      <c r="P218" s="43"/>
      <c r="Q218" s="43"/>
      <c r="R218" s="43"/>
      <c r="S218" s="43"/>
      <c r="T218" s="43"/>
    </row>
    <row r="219" spans="1:20" s="40" customFormat="1" ht="20" customHeight="1">
      <c r="A219" s="198"/>
      <c r="B219" s="4" t="s">
        <v>207</v>
      </c>
      <c r="C219" s="5">
        <f>(หลังริม!C219*2)+(หลังกลาง!C219*6)</f>
        <v>120</v>
      </c>
      <c r="D219" s="6" t="s">
        <v>141</v>
      </c>
      <c r="E219" s="11">
        <v>31</v>
      </c>
      <c r="F219" s="5">
        <f>E219*C219</f>
        <v>3720</v>
      </c>
      <c r="G219" s="20">
        <v>0</v>
      </c>
      <c r="H219" s="5">
        <f t="shared" ref="H219:H223" si="69">G219*C219</f>
        <v>0</v>
      </c>
      <c r="I219" s="7">
        <f>H219+F219</f>
        <v>3720</v>
      </c>
      <c r="J219" s="4"/>
      <c r="K219" s="43"/>
      <c r="L219" s="43"/>
      <c r="M219" s="43"/>
      <c r="N219" s="43"/>
      <c r="O219" s="43"/>
      <c r="P219" s="43"/>
      <c r="Q219" s="43"/>
      <c r="R219" s="43"/>
      <c r="S219" s="43"/>
      <c r="T219" s="43"/>
    </row>
    <row r="220" spans="1:20" s="40" customFormat="1" ht="20" customHeight="1">
      <c r="A220" s="198"/>
      <c r="B220" s="4" t="s">
        <v>242</v>
      </c>
      <c r="C220" s="5">
        <f>(หลังริม!C220*2)+(หลังกลาง!C220*6)</f>
        <v>128</v>
      </c>
      <c r="D220" s="6" t="s">
        <v>141</v>
      </c>
      <c r="E220" s="11">
        <v>65</v>
      </c>
      <c r="F220" s="5">
        <f t="shared" ref="F220:F223" si="70">E220*C220</f>
        <v>8320</v>
      </c>
      <c r="G220" s="20">
        <v>0</v>
      </c>
      <c r="H220" s="5">
        <f t="shared" si="69"/>
        <v>0</v>
      </c>
      <c r="I220" s="7">
        <f t="shared" ref="I220:I223" si="71">H220+F220</f>
        <v>8320</v>
      </c>
      <c r="J220" s="4"/>
      <c r="K220" s="43"/>
      <c r="L220" s="43"/>
      <c r="M220" s="43"/>
      <c r="N220" s="43"/>
      <c r="O220" s="43"/>
      <c r="P220" s="43"/>
      <c r="Q220" s="43"/>
      <c r="R220" s="43"/>
      <c r="S220" s="43"/>
      <c r="T220" s="43"/>
    </row>
    <row r="221" spans="1:20" s="40" customFormat="1" ht="20" customHeight="1">
      <c r="A221" s="198"/>
      <c r="B221" s="4" t="s">
        <v>208</v>
      </c>
      <c r="C221" s="5">
        <f>(หลังริม!C221*2)+(หลังกลาง!C221*6)</f>
        <v>8</v>
      </c>
      <c r="D221" s="6" t="s">
        <v>141</v>
      </c>
      <c r="E221" s="11">
        <v>109</v>
      </c>
      <c r="F221" s="5">
        <f t="shared" si="70"/>
        <v>872</v>
      </c>
      <c r="G221" s="20">
        <v>0</v>
      </c>
      <c r="H221" s="5">
        <f t="shared" si="69"/>
        <v>0</v>
      </c>
      <c r="I221" s="7">
        <f t="shared" si="71"/>
        <v>872</v>
      </c>
      <c r="J221" s="4"/>
      <c r="K221" s="43"/>
      <c r="L221" s="43"/>
      <c r="M221" s="43"/>
      <c r="N221" s="43"/>
      <c r="O221" s="43"/>
      <c r="P221" s="43"/>
      <c r="Q221" s="43"/>
      <c r="R221" s="43"/>
      <c r="S221" s="43"/>
      <c r="T221" s="43"/>
    </row>
    <row r="222" spans="1:20" s="40" customFormat="1" ht="20" customHeight="1">
      <c r="A222" s="6"/>
      <c r="B222" s="4" t="s">
        <v>209</v>
      </c>
      <c r="C222" s="5">
        <f>(หลังริม!C222*2)+(หลังกลาง!C222*6)</f>
        <v>8</v>
      </c>
      <c r="D222" s="6" t="s">
        <v>141</v>
      </c>
      <c r="E222" s="11">
        <v>349</v>
      </c>
      <c r="F222" s="5">
        <f t="shared" si="70"/>
        <v>2792</v>
      </c>
      <c r="G222" s="20">
        <v>0</v>
      </c>
      <c r="H222" s="5">
        <f t="shared" si="69"/>
        <v>0</v>
      </c>
      <c r="I222" s="7">
        <f t="shared" si="71"/>
        <v>2792</v>
      </c>
      <c r="J222" s="4"/>
      <c r="K222" s="43"/>
      <c r="L222" s="43"/>
      <c r="M222" s="43"/>
      <c r="N222" s="43"/>
      <c r="O222" s="43"/>
      <c r="P222" s="43"/>
      <c r="Q222" s="43"/>
      <c r="R222" s="43"/>
      <c r="S222" s="43"/>
      <c r="T222" s="43"/>
    </row>
    <row r="223" spans="1:20" s="40" customFormat="1" ht="20" customHeight="1">
      <c r="A223" s="6"/>
      <c r="B223" s="4" t="s">
        <v>193</v>
      </c>
      <c r="C223" s="5">
        <f>(หลังริม!C223*2)+(หลังกลาง!C223*6)</f>
        <v>8</v>
      </c>
      <c r="D223" s="6" t="s">
        <v>141</v>
      </c>
      <c r="E223" s="11">
        <v>0</v>
      </c>
      <c r="F223" s="5">
        <f t="shared" si="70"/>
        <v>0</v>
      </c>
      <c r="G223" s="20">
        <v>0</v>
      </c>
      <c r="H223" s="5">
        <f t="shared" si="69"/>
        <v>0</v>
      </c>
      <c r="I223" s="7">
        <f t="shared" si="71"/>
        <v>0</v>
      </c>
      <c r="J223" s="4"/>
      <c r="K223" s="43"/>
      <c r="L223" s="43"/>
      <c r="M223" s="43"/>
      <c r="N223" s="43"/>
      <c r="O223" s="43"/>
      <c r="P223" s="43"/>
      <c r="Q223" s="43"/>
      <c r="R223" s="43"/>
      <c r="S223" s="43"/>
      <c r="T223" s="43"/>
    </row>
    <row r="224" spans="1:20" s="50" customFormat="1" ht="20" customHeight="1">
      <c r="A224" s="12"/>
      <c r="B224" s="12" t="s">
        <v>200</v>
      </c>
      <c r="C224" s="5">
        <f>(หลังริม!C224*2)+(หลังกลาง!C224*6)</f>
        <v>0</v>
      </c>
      <c r="D224" s="12"/>
      <c r="E224" s="100"/>
      <c r="F224" s="14">
        <f>SUM(F219:F223)</f>
        <v>15704</v>
      </c>
      <c r="G224" s="14"/>
      <c r="H224" s="14">
        <f t="shared" ref="H224:I224" si="72">SUM(H219:H223)</f>
        <v>0</v>
      </c>
      <c r="I224" s="14">
        <f t="shared" si="72"/>
        <v>15704</v>
      </c>
      <c r="J224" s="13"/>
      <c r="K224" s="151">
        <f>H224+F224</f>
        <v>15704</v>
      </c>
    </row>
    <row r="225" spans="1:20" s="40" customFormat="1" ht="20" customHeight="1">
      <c r="A225" s="198"/>
      <c r="B225" s="3" t="s">
        <v>201</v>
      </c>
      <c r="C225" s="5">
        <f>(หลังริม!C225*2)+(หลังกลาง!C225*6)</f>
        <v>0</v>
      </c>
      <c r="D225" s="6"/>
      <c r="E225" s="48"/>
      <c r="F225" s="4"/>
      <c r="G225" s="160"/>
      <c r="H225" s="150"/>
      <c r="I225" s="4"/>
      <c r="J225" s="4"/>
      <c r="K225" s="43"/>
      <c r="L225" s="43"/>
      <c r="M225" s="43"/>
      <c r="N225" s="43"/>
      <c r="O225" s="43"/>
      <c r="P225" s="43"/>
      <c r="Q225" s="43"/>
      <c r="R225" s="43"/>
      <c r="S225" s="43"/>
      <c r="T225" s="43"/>
    </row>
    <row r="226" spans="1:20" s="40" customFormat="1" ht="20" customHeight="1">
      <c r="A226" s="198"/>
      <c r="B226" s="4" t="s">
        <v>232</v>
      </c>
      <c r="C226" s="5">
        <f>(หลังริม!C226*2)+(หลังกลาง!C226*6)</f>
        <v>24</v>
      </c>
      <c r="D226" s="6" t="s">
        <v>141</v>
      </c>
      <c r="E226" s="5">
        <v>0</v>
      </c>
      <c r="F226" s="5">
        <f>E226*C226</f>
        <v>0</v>
      </c>
      <c r="G226" s="20">
        <v>0</v>
      </c>
      <c r="H226" s="5">
        <f>G226*C226</f>
        <v>0</v>
      </c>
      <c r="I226" s="7">
        <f>H226+F226</f>
        <v>0</v>
      </c>
      <c r="J226" s="4"/>
      <c r="K226" s="43"/>
      <c r="L226" s="43"/>
      <c r="M226" s="43"/>
      <c r="N226" s="43"/>
      <c r="O226" s="43"/>
      <c r="P226" s="43"/>
      <c r="Q226" s="43"/>
      <c r="R226" s="43"/>
      <c r="S226" s="43"/>
      <c r="T226" s="43"/>
    </row>
    <row r="227" spans="1:20" s="40" customFormat="1" ht="20" customHeight="1">
      <c r="A227" s="198"/>
      <c r="B227" s="4" t="s">
        <v>233</v>
      </c>
      <c r="C227" s="5">
        <f>(หลังริม!C227*2)+(หลังกลาง!C227*6)</f>
        <v>24</v>
      </c>
      <c r="D227" s="6" t="s">
        <v>141</v>
      </c>
      <c r="E227" s="5">
        <v>0</v>
      </c>
      <c r="F227" s="5">
        <f t="shared" ref="F227:F231" si="73">E227*C227</f>
        <v>0</v>
      </c>
      <c r="G227" s="20">
        <v>0</v>
      </c>
      <c r="H227" s="5">
        <f t="shared" ref="H227:H231" si="74">G227*C227</f>
        <v>0</v>
      </c>
      <c r="I227" s="7">
        <f t="shared" ref="I227:I231" si="75">H227+F227</f>
        <v>0</v>
      </c>
      <c r="J227" s="4"/>
      <c r="K227" s="43"/>
      <c r="L227" s="43"/>
      <c r="M227" s="43"/>
      <c r="N227" s="43"/>
      <c r="O227" s="43"/>
      <c r="P227" s="43"/>
      <c r="Q227" s="43"/>
      <c r="R227" s="43"/>
      <c r="S227" s="43"/>
      <c r="T227" s="43"/>
    </row>
    <row r="228" spans="1:20" s="40" customFormat="1" ht="20" customHeight="1">
      <c r="A228" s="198"/>
      <c r="B228" s="4" t="s">
        <v>234</v>
      </c>
      <c r="C228" s="5">
        <f>(หลังริม!C228*2)+(หลังกลาง!C228*6)</f>
        <v>16</v>
      </c>
      <c r="D228" s="6" t="s">
        <v>141</v>
      </c>
      <c r="E228" s="5">
        <v>0</v>
      </c>
      <c r="F228" s="5">
        <f t="shared" si="73"/>
        <v>0</v>
      </c>
      <c r="G228" s="20">
        <v>0</v>
      </c>
      <c r="H228" s="5">
        <f t="shared" si="74"/>
        <v>0</v>
      </c>
      <c r="I228" s="7">
        <f t="shared" si="75"/>
        <v>0</v>
      </c>
      <c r="J228" s="4"/>
      <c r="K228" s="43"/>
      <c r="L228" s="43"/>
      <c r="M228" s="43"/>
      <c r="N228" s="43"/>
      <c r="O228" s="43"/>
      <c r="P228" s="43"/>
      <c r="Q228" s="43"/>
      <c r="R228" s="43"/>
      <c r="S228" s="43"/>
      <c r="T228" s="43"/>
    </row>
    <row r="229" spans="1:20" s="40" customFormat="1" ht="20" customHeight="1">
      <c r="A229" s="6"/>
      <c r="B229" s="4" t="s">
        <v>194</v>
      </c>
      <c r="C229" s="5">
        <f>(หลังริม!C229*2)+(หลังกลาง!C229*6)</f>
        <v>88</v>
      </c>
      <c r="D229" s="6" t="s">
        <v>141</v>
      </c>
      <c r="E229" s="5">
        <v>0</v>
      </c>
      <c r="F229" s="5">
        <f t="shared" si="73"/>
        <v>0</v>
      </c>
      <c r="G229" s="20">
        <v>0</v>
      </c>
      <c r="H229" s="5">
        <f t="shared" si="74"/>
        <v>0</v>
      </c>
      <c r="I229" s="7">
        <f t="shared" si="75"/>
        <v>0</v>
      </c>
      <c r="J229" s="4"/>
      <c r="K229" s="43"/>
      <c r="L229" s="43"/>
      <c r="M229" s="43"/>
      <c r="N229" s="43"/>
      <c r="O229" s="43"/>
      <c r="P229" s="43"/>
      <c r="Q229" s="43"/>
      <c r="R229" s="43"/>
      <c r="S229" s="43"/>
      <c r="T229" s="43"/>
    </row>
    <row r="230" spans="1:20" s="40" customFormat="1" ht="20" customHeight="1">
      <c r="A230" s="6"/>
      <c r="B230" s="4" t="s">
        <v>195</v>
      </c>
      <c r="C230" s="5">
        <f>(หลังริม!C230*2)+(หลังกลาง!C230*6)</f>
        <v>24</v>
      </c>
      <c r="D230" s="6" t="s">
        <v>141</v>
      </c>
      <c r="E230" s="5">
        <v>0</v>
      </c>
      <c r="F230" s="5">
        <f t="shared" si="73"/>
        <v>0</v>
      </c>
      <c r="G230" s="20">
        <v>0</v>
      </c>
      <c r="H230" s="5">
        <f t="shared" si="74"/>
        <v>0</v>
      </c>
      <c r="I230" s="7">
        <f t="shared" si="75"/>
        <v>0</v>
      </c>
      <c r="J230" s="4"/>
      <c r="K230" s="43"/>
      <c r="L230" s="43"/>
      <c r="M230" s="43"/>
      <c r="N230" s="43"/>
      <c r="O230" s="43"/>
      <c r="P230" s="43"/>
      <c r="Q230" s="43"/>
      <c r="R230" s="43"/>
      <c r="S230" s="43"/>
      <c r="T230" s="43"/>
    </row>
    <row r="231" spans="1:20" s="40" customFormat="1" ht="20" customHeight="1">
      <c r="A231" s="6"/>
      <c r="B231" s="4" t="s">
        <v>196</v>
      </c>
      <c r="C231" s="5">
        <f>(หลังริม!C231*2)+(หลังกลาง!C231*6)</f>
        <v>8</v>
      </c>
      <c r="D231" s="6" t="s">
        <v>141</v>
      </c>
      <c r="E231" s="5">
        <v>0</v>
      </c>
      <c r="F231" s="5">
        <f t="shared" si="73"/>
        <v>0</v>
      </c>
      <c r="G231" s="20">
        <v>0</v>
      </c>
      <c r="H231" s="5">
        <f t="shared" si="74"/>
        <v>0</v>
      </c>
      <c r="I231" s="7">
        <f t="shared" si="75"/>
        <v>0</v>
      </c>
      <c r="J231" s="4"/>
      <c r="K231" s="43"/>
      <c r="L231" s="43"/>
      <c r="M231" s="43"/>
      <c r="N231" s="43"/>
      <c r="O231" s="43"/>
      <c r="P231" s="43"/>
      <c r="Q231" s="43"/>
      <c r="R231" s="43"/>
      <c r="S231" s="43"/>
      <c r="T231" s="43"/>
    </row>
    <row r="232" spans="1:20" s="50" customFormat="1" ht="20" customHeight="1">
      <c r="A232" s="12"/>
      <c r="B232" s="12" t="s">
        <v>202</v>
      </c>
      <c r="C232" s="5">
        <f>(หลังริม!C232*2)+(หลังกลาง!C232*6)</f>
        <v>0</v>
      </c>
      <c r="D232" s="12"/>
      <c r="E232" s="100"/>
      <c r="F232" s="14">
        <f>SUM(F226:F231)</f>
        <v>0</v>
      </c>
      <c r="G232" s="14"/>
      <c r="H232" s="14">
        <f t="shared" ref="H232:I232" si="76">SUM(H226:H231)</f>
        <v>0</v>
      </c>
      <c r="I232" s="14">
        <f t="shared" si="76"/>
        <v>0</v>
      </c>
      <c r="J232" s="13"/>
      <c r="K232" s="151">
        <f>H232+F232</f>
        <v>0</v>
      </c>
    </row>
    <row r="233" spans="1:20" s="40" customFormat="1" ht="20" customHeight="1">
      <c r="A233" s="198"/>
      <c r="B233" s="3" t="s">
        <v>203</v>
      </c>
      <c r="C233" s="5">
        <f>(หลังริม!C233*2)+(หลังกลาง!C233*6)</f>
        <v>0</v>
      </c>
      <c r="D233" s="6"/>
      <c r="E233" s="48"/>
      <c r="F233" s="4"/>
      <c r="G233" s="4"/>
      <c r="H233" s="4"/>
      <c r="I233" s="4"/>
      <c r="J233" s="4"/>
      <c r="K233" s="43"/>
      <c r="L233" s="43"/>
      <c r="M233" s="43"/>
      <c r="N233" s="43"/>
      <c r="O233" s="43"/>
      <c r="P233" s="43"/>
      <c r="Q233" s="43"/>
      <c r="R233" s="43"/>
      <c r="S233" s="43"/>
      <c r="T233" s="43"/>
    </row>
    <row r="234" spans="1:20" s="40" customFormat="1" ht="20" customHeight="1">
      <c r="A234" s="198"/>
      <c r="B234" s="4" t="s">
        <v>231</v>
      </c>
      <c r="C234" s="5">
        <f>(หลังริม!C234*2)+(หลังกลาง!C234*6)</f>
        <v>8</v>
      </c>
      <c r="D234" s="6" t="s">
        <v>136</v>
      </c>
      <c r="E234" s="5">
        <v>0</v>
      </c>
      <c r="F234" s="5">
        <f>E234*C234</f>
        <v>0</v>
      </c>
      <c r="G234" s="20">
        <v>0</v>
      </c>
      <c r="H234" s="5">
        <f t="shared" ref="H234" si="77">G234*C234</f>
        <v>0</v>
      </c>
      <c r="I234" s="7">
        <f t="shared" ref="I234" si="78">H234+F234</f>
        <v>0</v>
      </c>
      <c r="J234" s="4"/>
      <c r="K234" s="43"/>
      <c r="L234" s="43"/>
      <c r="M234" s="43"/>
      <c r="N234" s="43"/>
      <c r="O234" s="43"/>
      <c r="P234" s="43"/>
      <c r="Q234" s="43"/>
      <c r="R234" s="43"/>
      <c r="S234" s="43"/>
      <c r="T234" s="43"/>
    </row>
    <row r="235" spans="1:20" s="50" customFormat="1" ht="20" customHeight="1">
      <c r="A235" s="12"/>
      <c r="B235" s="12" t="s">
        <v>204</v>
      </c>
      <c r="C235" s="5">
        <f>(หลังริม!C235*2)+(หลังกลาง!C235*6)</f>
        <v>0</v>
      </c>
      <c r="D235" s="12"/>
      <c r="E235" s="100"/>
      <c r="F235" s="14">
        <f>SUM(F234)</f>
        <v>0</v>
      </c>
      <c r="G235" s="14"/>
      <c r="H235" s="14">
        <f t="shared" ref="H235:I235" si="79">SUM(H234)</f>
        <v>0</v>
      </c>
      <c r="I235" s="14">
        <f t="shared" si="79"/>
        <v>0</v>
      </c>
      <c r="J235" s="13"/>
      <c r="K235" s="151">
        <f>H235+F235</f>
        <v>0</v>
      </c>
    </row>
    <row r="236" spans="1:20" s="40" customFormat="1" ht="20" customHeight="1">
      <c r="A236" s="198"/>
      <c r="B236" s="3" t="s">
        <v>205</v>
      </c>
      <c r="C236" s="5">
        <f>(หลังริม!C236*2)+(หลังกลาง!C236*6)</f>
        <v>0</v>
      </c>
      <c r="D236" s="6"/>
      <c r="E236" s="48"/>
      <c r="F236" s="4"/>
      <c r="G236" s="150"/>
      <c r="H236" s="150"/>
      <c r="I236" s="161"/>
      <c r="J236" s="4"/>
      <c r="K236" s="43"/>
      <c r="L236" s="43"/>
      <c r="M236" s="43"/>
      <c r="N236" s="43"/>
      <c r="O236" s="43"/>
      <c r="P236" s="43"/>
      <c r="Q236" s="43"/>
      <c r="R236" s="43"/>
      <c r="S236" s="43"/>
      <c r="T236" s="43"/>
    </row>
    <row r="237" spans="1:20" s="40" customFormat="1" ht="20" customHeight="1">
      <c r="A237" s="198"/>
      <c r="B237" s="4" t="s">
        <v>197</v>
      </c>
      <c r="C237" s="5">
        <f>(หลังริม!C237*2)+(หลังกลาง!C237*6)</f>
        <v>8</v>
      </c>
      <c r="D237" s="6" t="s">
        <v>141</v>
      </c>
      <c r="E237" s="5">
        <v>0</v>
      </c>
      <c r="F237" s="5">
        <f>E237*C237</f>
        <v>0</v>
      </c>
      <c r="G237" s="20">
        <v>0</v>
      </c>
      <c r="H237" s="5">
        <f>G237*C237</f>
        <v>0</v>
      </c>
      <c r="I237" s="7">
        <f>H237+F237</f>
        <v>0</v>
      </c>
      <c r="J237" s="4"/>
      <c r="K237" s="43"/>
      <c r="L237" s="43"/>
      <c r="M237" s="43"/>
      <c r="N237" s="43"/>
      <c r="O237" s="43"/>
      <c r="P237" s="43"/>
      <c r="Q237" s="43"/>
      <c r="R237" s="43"/>
      <c r="S237" s="43"/>
      <c r="T237" s="43"/>
    </row>
    <row r="238" spans="1:20" s="40" customFormat="1" ht="20" customHeight="1">
      <c r="A238" s="198"/>
      <c r="B238" s="4" t="s">
        <v>198</v>
      </c>
      <c r="C238" s="5">
        <f>(หลังริม!C238*2)+(หลังกลาง!C238*6)</f>
        <v>8</v>
      </c>
      <c r="D238" s="6" t="s">
        <v>141</v>
      </c>
      <c r="E238" s="5">
        <v>0</v>
      </c>
      <c r="F238" s="5">
        <f t="shared" ref="F238:F239" si="80">E238*C238</f>
        <v>0</v>
      </c>
      <c r="G238" s="20">
        <v>0</v>
      </c>
      <c r="H238" s="5">
        <f t="shared" ref="H238:H239" si="81">G238*C238</f>
        <v>0</v>
      </c>
      <c r="I238" s="7">
        <f t="shared" ref="I238:I239" si="82">H238+F238</f>
        <v>0</v>
      </c>
      <c r="J238" s="4"/>
      <c r="K238" s="43"/>
      <c r="L238" s="43"/>
      <c r="M238" s="43"/>
      <c r="N238" s="43"/>
      <c r="O238" s="43"/>
      <c r="P238" s="43"/>
      <c r="Q238" s="43"/>
      <c r="R238" s="43"/>
      <c r="S238" s="43"/>
      <c r="T238" s="43"/>
    </row>
    <row r="239" spans="1:20" s="43" customFormat="1" ht="20" customHeight="1">
      <c r="A239" s="6"/>
      <c r="B239" s="15" t="s">
        <v>271</v>
      </c>
      <c r="C239" s="5">
        <f>(หลังริม!C239*2)+(หลังกลาง!C239*6)</f>
        <v>8</v>
      </c>
      <c r="D239" s="6" t="s">
        <v>264</v>
      </c>
      <c r="E239" s="5">
        <v>0</v>
      </c>
      <c r="F239" s="5">
        <f t="shared" si="80"/>
        <v>0</v>
      </c>
      <c r="G239" s="70">
        <v>29850</v>
      </c>
      <c r="H239" s="5">
        <f t="shared" si="81"/>
        <v>238800</v>
      </c>
      <c r="I239" s="7">
        <f t="shared" si="82"/>
        <v>238800</v>
      </c>
      <c r="J239" s="4"/>
      <c r="K239" s="73"/>
    </row>
    <row r="240" spans="1:20" s="50" customFormat="1" ht="20" customHeight="1">
      <c r="A240" s="12"/>
      <c r="B240" s="12" t="s">
        <v>206</v>
      </c>
      <c r="C240" s="5">
        <f>(หลังริม!C240*2)+(หลังกลาง!C240*6)</f>
        <v>0</v>
      </c>
      <c r="D240" s="12"/>
      <c r="E240" s="100"/>
      <c r="F240" s="14">
        <f>SUM(F237:F239)</f>
        <v>0</v>
      </c>
      <c r="G240" s="14"/>
      <c r="H240" s="14">
        <f t="shared" ref="H240:I240" si="83">SUM(H237:H239)</f>
        <v>238800</v>
      </c>
      <c r="I240" s="14">
        <f t="shared" si="83"/>
        <v>238800</v>
      </c>
      <c r="J240" s="13"/>
      <c r="K240" s="151">
        <f>H240+F240</f>
        <v>238800</v>
      </c>
    </row>
    <row r="241" spans="1:20" s="167" customFormat="1" ht="20" customHeight="1">
      <c r="A241" s="207">
        <v>3</v>
      </c>
      <c r="B241" s="102" t="s">
        <v>199</v>
      </c>
      <c r="C241" s="5">
        <f>(หลังริม!C241*2)+(หลังกลาง!C241*6)</f>
        <v>0</v>
      </c>
      <c r="D241" s="163" t="s">
        <v>11</v>
      </c>
      <c r="E241" s="164"/>
      <c r="F241" s="103">
        <f>F224+F232+F235+F240</f>
        <v>15704</v>
      </c>
      <c r="G241" s="103"/>
      <c r="H241" s="103">
        <f t="shared" ref="H241:I241" si="84">H224+H232+H235+H240</f>
        <v>238800</v>
      </c>
      <c r="I241" s="103">
        <f t="shared" si="84"/>
        <v>254504</v>
      </c>
      <c r="J241" s="165"/>
      <c r="K241" s="151">
        <f>H241+F241</f>
        <v>254504</v>
      </c>
      <c r="L241" s="166"/>
      <c r="M241" s="166"/>
      <c r="N241" s="166"/>
      <c r="O241" s="166"/>
      <c r="P241" s="166"/>
      <c r="Q241" s="166"/>
      <c r="R241" s="166"/>
      <c r="S241" s="166"/>
      <c r="T241" s="166"/>
    </row>
    <row r="242" spans="1:20" s="159" customFormat="1" ht="20" customHeight="1">
      <c r="A242" s="212"/>
      <c r="B242" s="87"/>
      <c r="C242" s="5">
        <f>(หลังริม!C242*2)+(หลังกลาง!C242*6)</f>
        <v>0</v>
      </c>
      <c r="D242" s="155"/>
      <c r="E242" s="156"/>
      <c r="F242" s="88"/>
      <c r="G242" s="156"/>
      <c r="H242" s="88"/>
      <c r="I242" s="153"/>
      <c r="J242" s="157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</row>
    <row r="243" spans="1:20" s="171" customFormat="1" ht="20" customHeight="1">
      <c r="A243" s="208">
        <v>4</v>
      </c>
      <c r="B243" s="107" t="s">
        <v>278</v>
      </c>
      <c r="C243" s="5">
        <f>(หลังริม!C243*2)+(หลังกลาง!C243*6)</f>
        <v>0</v>
      </c>
      <c r="D243" s="194"/>
      <c r="E243" s="169"/>
      <c r="F243" s="168"/>
      <c r="G243" s="168"/>
      <c r="H243" s="168"/>
      <c r="I243" s="168"/>
      <c r="J243" s="168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</row>
    <row r="244" spans="1:20" s="40" customFormat="1" ht="20" customHeight="1">
      <c r="A244" s="198"/>
      <c r="B244" s="4" t="s">
        <v>235</v>
      </c>
      <c r="C244" s="5">
        <f>(หลังริม!C244*2)+(หลังกลาง!C244*6)</f>
        <v>8</v>
      </c>
      <c r="D244" s="6" t="s">
        <v>53</v>
      </c>
      <c r="E244" s="11">
        <v>1105</v>
      </c>
      <c r="F244" s="5">
        <f>E244*C244</f>
        <v>8840</v>
      </c>
      <c r="G244" s="20">
        <v>0</v>
      </c>
      <c r="H244" s="5">
        <f t="shared" ref="H244:H265" si="85">G244*C244</f>
        <v>0</v>
      </c>
      <c r="I244" s="7">
        <f>H244+F244</f>
        <v>8840</v>
      </c>
      <c r="J244" s="24"/>
    </row>
    <row r="245" spans="1:20" s="40" customFormat="1" ht="20" customHeight="1">
      <c r="A245" s="6"/>
      <c r="B245" s="4" t="s">
        <v>236</v>
      </c>
      <c r="C245" s="5">
        <f>(หลังริม!C245*2)+(หลังกลาง!C245*6)</f>
        <v>14.666666666666666</v>
      </c>
      <c r="D245" s="6" t="s">
        <v>53</v>
      </c>
      <c r="E245" s="11">
        <v>810</v>
      </c>
      <c r="F245" s="5">
        <f t="shared" ref="F245:F265" si="86">E245*C245</f>
        <v>11880</v>
      </c>
      <c r="G245" s="20">
        <v>0</v>
      </c>
      <c r="H245" s="5">
        <f t="shared" si="85"/>
        <v>0</v>
      </c>
      <c r="I245" s="7">
        <f t="shared" ref="I245:I265" si="87">H245+F245</f>
        <v>11880</v>
      </c>
      <c r="J245" s="24"/>
    </row>
    <row r="246" spans="1:20" s="40" customFormat="1" ht="20" customHeight="1">
      <c r="A246" s="6"/>
      <c r="B246" s="4" t="s">
        <v>238</v>
      </c>
      <c r="C246" s="5">
        <f>(หลังริม!C246*2)+(หลังกลาง!C246*6)</f>
        <v>16</v>
      </c>
      <c r="D246" s="6" t="s">
        <v>53</v>
      </c>
      <c r="E246" s="11">
        <v>610</v>
      </c>
      <c r="F246" s="5">
        <f t="shared" si="86"/>
        <v>9760</v>
      </c>
      <c r="G246" s="20">
        <v>0</v>
      </c>
      <c r="H246" s="5">
        <f t="shared" si="85"/>
        <v>0</v>
      </c>
      <c r="I246" s="7">
        <f t="shared" si="87"/>
        <v>9760</v>
      </c>
      <c r="J246" s="24"/>
    </row>
    <row r="247" spans="1:20" s="40" customFormat="1" ht="20" customHeight="1">
      <c r="A247" s="6"/>
      <c r="B247" s="4" t="s">
        <v>237</v>
      </c>
      <c r="C247" s="5">
        <f>(หลังริม!C247*2)+(หลังกลาง!C247*6)</f>
        <v>48</v>
      </c>
      <c r="D247" s="6" t="s">
        <v>53</v>
      </c>
      <c r="E247" s="11">
        <v>395</v>
      </c>
      <c r="F247" s="5">
        <f t="shared" si="86"/>
        <v>18960</v>
      </c>
      <c r="G247" s="20">
        <v>0</v>
      </c>
      <c r="H247" s="5">
        <f t="shared" si="85"/>
        <v>0</v>
      </c>
      <c r="I247" s="7">
        <f t="shared" si="87"/>
        <v>18960</v>
      </c>
      <c r="J247" s="24"/>
    </row>
    <row r="248" spans="1:20" s="40" customFormat="1" ht="20" customHeight="1">
      <c r="A248" s="198"/>
      <c r="B248" s="4" t="s">
        <v>239</v>
      </c>
      <c r="C248" s="5">
        <f>(หลังริม!C248*2)+(หลังกลาง!C248*6)</f>
        <v>9.3333333333333339</v>
      </c>
      <c r="D248" s="6" t="s">
        <v>60</v>
      </c>
      <c r="E248" s="11">
        <v>49</v>
      </c>
      <c r="F248" s="5">
        <f t="shared" si="86"/>
        <v>457.33333333333337</v>
      </c>
      <c r="G248" s="20">
        <v>0</v>
      </c>
      <c r="H248" s="5">
        <f t="shared" si="85"/>
        <v>0</v>
      </c>
      <c r="I248" s="7">
        <f t="shared" si="87"/>
        <v>457.33333333333337</v>
      </c>
      <c r="J248" s="24"/>
    </row>
    <row r="249" spans="1:20" s="40" customFormat="1" ht="20" customHeight="1">
      <c r="A249" s="198"/>
      <c r="B249" s="4" t="s">
        <v>240</v>
      </c>
      <c r="C249" s="5">
        <f>(หลังริม!C249*2)+(หลังกลาง!C249*6)</f>
        <v>9.3333333333333339</v>
      </c>
      <c r="D249" s="6" t="s">
        <v>60</v>
      </c>
      <c r="E249" s="11">
        <v>39</v>
      </c>
      <c r="F249" s="5">
        <f t="shared" si="86"/>
        <v>364</v>
      </c>
      <c r="G249" s="20">
        <v>0</v>
      </c>
      <c r="H249" s="5">
        <f t="shared" si="85"/>
        <v>0</v>
      </c>
      <c r="I249" s="7">
        <f t="shared" si="87"/>
        <v>364</v>
      </c>
      <c r="J249" s="24"/>
    </row>
    <row r="250" spans="1:20" s="40" customFormat="1" ht="20" customHeight="1">
      <c r="A250" s="198"/>
      <c r="B250" s="4" t="s">
        <v>241</v>
      </c>
      <c r="C250" s="5">
        <f>(หลังริม!C250*2)+(หลังกลาง!C250*6)</f>
        <v>2.6666666666666665</v>
      </c>
      <c r="D250" s="6" t="s">
        <v>53</v>
      </c>
      <c r="E250" s="11">
        <v>285</v>
      </c>
      <c r="F250" s="5">
        <f t="shared" si="86"/>
        <v>760</v>
      </c>
      <c r="G250" s="20">
        <v>0</v>
      </c>
      <c r="H250" s="5">
        <f t="shared" si="85"/>
        <v>0</v>
      </c>
      <c r="I250" s="7">
        <f t="shared" si="87"/>
        <v>760</v>
      </c>
      <c r="J250" s="24"/>
    </row>
    <row r="251" spans="1:20" s="40" customFormat="1" ht="20" customHeight="1">
      <c r="A251" s="198"/>
      <c r="B251" s="4" t="s">
        <v>222</v>
      </c>
      <c r="C251" s="5">
        <f>(หลังริม!C251*2)+(หลังกลาง!C251*6)</f>
        <v>17.333333333333332</v>
      </c>
      <c r="D251" s="6" t="s">
        <v>53</v>
      </c>
      <c r="E251" s="11">
        <v>250</v>
      </c>
      <c r="F251" s="5">
        <f t="shared" si="86"/>
        <v>4333.333333333333</v>
      </c>
      <c r="G251" s="20">
        <v>0</v>
      </c>
      <c r="H251" s="5">
        <f t="shared" si="85"/>
        <v>0</v>
      </c>
      <c r="I251" s="7">
        <f t="shared" si="87"/>
        <v>4333.333333333333</v>
      </c>
      <c r="J251" s="24"/>
    </row>
    <row r="252" spans="1:20" s="40" customFormat="1" ht="20" customHeight="1">
      <c r="A252" s="198"/>
      <c r="B252" s="4" t="s">
        <v>243</v>
      </c>
      <c r="C252" s="5">
        <f>(หลังริม!C252*2)+(หลังกลาง!C252*6)</f>
        <v>68</v>
      </c>
      <c r="D252" s="6" t="s">
        <v>123</v>
      </c>
      <c r="E252" s="11">
        <v>212</v>
      </c>
      <c r="F252" s="5">
        <f t="shared" si="86"/>
        <v>14416</v>
      </c>
      <c r="G252" s="20">
        <v>0</v>
      </c>
      <c r="H252" s="5">
        <f t="shared" si="85"/>
        <v>0</v>
      </c>
      <c r="I252" s="7">
        <f t="shared" si="87"/>
        <v>14416</v>
      </c>
      <c r="J252" s="24"/>
    </row>
    <row r="253" spans="1:20" s="40" customFormat="1" ht="20" customHeight="1">
      <c r="A253" s="198"/>
      <c r="B253" s="4" t="s">
        <v>244</v>
      </c>
      <c r="C253" s="5">
        <f>(หลังริม!C253*2)+(หลังกลาง!C253*6)</f>
        <v>266.66666666666669</v>
      </c>
      <c r="D253" s="6" t="s">
        <v>82</v>
      </c>
      <c r="E253" s="11">
        <v>2.7</v>
      </c>
      <c r="F253" s="5">
        <f t="shared" si="86"/>
        <v>720.00000000000011</v>
      </c>
      <c r="G253" s="20">
        <v>0</v>
      </c>
      <c r="H253" s="5">
        <f t="shared" si="85"/>
        <v>0</v>
      </c>
      <c r="I253" s="7">
        <f t="shared" si="87"/>
        <v>720.00000000000011</v>
      </c>
      <c r="J253" s="24"/>
    </row>
    <row r="254" spans="1:20" s="40" customFormat="1" ht="20" customHeight="1">
      <c r="A254" s="198"/>
      <c r="B254" s="4" t="s">
        <v>63</v>
      </c>
      <c r="C254" s="5">
        <f>(หลังริม!C254*2)+(หลังกลาง!C254*6)</f>
        <v>1.3333333333333333</v>
      </c>
      <c r="D254" s="6" t="s">
        <v>64</v>
      </c>
      <c r="E254" s="11">
        <v>1500</v>
      </c>
      <c r="F254" s="5">
        <f t="shared" si="86"/>
        <v>2000</v>
      </c>
      <c r="G254" s="20">
        <v>0</v>
      </c>
      <c r="H254" s="5">
        <f t="shared" si="85"/>
        <v>0</v>
      </c>
      <c r="I254" s="7">
        <f t="shared" si="87"/>
        <v>2000</v>
      </c>
      <c r="J254" s="4"/>
    </row>
    <row r="255" spans="1:20" s="40" customFormat="1" ht="20" customHeight="1">
      <c r="A255" s="198"/>
      <c r="B255" s="4" t="s">
        <v>65</v>
      </c>
      <c r="C255" s="5">
        <f>(หลังริม!C255*2)+(หลังกลาง!C255*6)</f>
        <v>4</v>
      </c>
      <c r="D255" s="6" t="s">
        <v>66</v>
      </c>
      <c r="E255" s="11">
        <v>1189</v>
      </c>
      <c r="F255" s="5">
        <f t="shared" si="86"/>
        <v>4756</v>
      </c>
      <c r="G255" s="20">
        <v>0</v>
      </c>
      <c r="H255" s="5">
        <f t="shared" si="85"/>
        <v>0</v>
      </c>
      <c r="I255" s="7">
        <f t="shared" si="87"/>
        <v>4756</v>
      </c>
      <c r="J255" s="4"/>
    </row>
    <row r="256" spans="1:20" s="40" customFormat="1" ht="20" customHeight="1">
      <c r="A256" s="198"/>
      <c r="B256" s="4" t="s">
        <v>67</v>
      </c>
      <c r="C256" s="5">
        <f>(หลังริม!C256*2)+(หลังกลาง!C256*6)</f>
        <v>1.3333333333333333</v>
      </c>
      <c r="D256" s="6" t="s">
        <v>66</v>
      </c>
      <c r="E256" s="11">
        <v>499</v>
      </c>
      <c r="F256" s="5">
        <f t="shared" si="86"/>
        <v>665.33333333333326</v>
      </c>
      <c r="G256" s="20">
        <v>0</v>
      </c>
      <c r="H256" s="5">
        <f t="shared" si="85"/>
        <v>0</v>
      </c>
      <c r="I256" s="7">
        <f t="shared" si="87"/>
        <v>665.33333333333326</v>
      </c>
      <c r="J256" s="4"/>
    </row>
    <row r="257" spans="1:20" s="40" customFormat="1" ht="20" customHeight="1">
      <c r="A257" s="198"/>
      <c r="B257" s="4" t="s">
        <v>68</v>
      </c>
      <c r="C257" s="5">
        <f>(หลังริม!C257*2)+(หลังกลาง!C257*6)</f>
        <v>8</v>
      </c>
      <c r="D257" s="6" t="s">
        <v>69</v>
      </c>
      <c r="E257" s="11">
        <v>98</v>
      </c>
      <c r="F257" s="5">
        <f t="shared" si="86"/>
        <v>784</v>
      </c>
      <c r="G257" s="20">
        <v>0</v>
      </c>
      <c r="H257" s="5">
        <f t="shared" si="85"/>
        <v>0</v>
      </c>
      <c r="I257" s="7">
        <f t="shared" si="87"/>
        <v>784</v>
      </c>
      <c r="J257" s="4"/>
    </row>
    <row r="258" spans="1:20" s="119" customFormat="1" ht="20" customHeight="1">
      <c r="A258" s="209"/>
      <c r="B258" s="114" t="s">
        <v>255</v>
      </c>
      <c r="C258" s="5">
        <f>(หลังริม!C258*2)+(หลังกลาง!C258*6)</f>
        <v>640</v>
      </c>
      <c r="D258" s="31" t="s">
        <v>263</v>
      </c>
      <c r="E258" s="5">
        <v>0</v>
      </c>
      <c r="F258" s="5">
        <f t="shared" si="86"/>
        <v>0</v>
      </c>
      <c r="G258" s="116">
        <v>23.291666666666668</v>
      </c>
      <c r="H258" s="5">
        <f t="shared" si="85"/>
        <v>14906.666666666668</v>
      </c>
      <c r="I258" s="7">
        <f t="shared" si="87"/>
        <v>14906.666666666668</v>
      </c>
      <c r="J258" s="117"/>
    </row>
    <row r="259" spans="1:20" s="119" customFormat="1" ht="20" customHeight="1">
      <c r="A259" s="31"/>
      <c r="B259" s="120" t="s">
        <v>256</v>
      </c>
      <c r="C259" s="5">
        <f>(หลังริม!C259*2)+(หลังกลาง!C259*6)</f>
        <v>2000</v>
      </c>
      <c r="D259" s="34" t="s">
        <v>123</v>
      </c>
      <c r="E259" s="5">
        <v>0</v>
      </c>
      <c r="F259" s="5">
        <f t="shared" si="86"/>
        <v>0</v>
      </c>
      <c r="G259" s="121">
        <v>6.4533333333333331</v>
      </c>
      <c r="H259" s="5">
        <f t="shared" si="85"/>
        <v>12906.666666666666</v>
      </c>
      <c r="I259" s="7">
        <f t="shared" si="87"/>
        <v>12906.666666666666</v>
      </c>
      <c r="J259" s="117"/>
    </row>
    <row r="260" spans="1:20" s="119" customFormat="1" ht="20" customHeight="1">
      <c r="A260" s="31"/>
      <c r="B260" s="122" t="s">
        <v>257</v>
      </c>
      <c r="C260" s="5">
        <f>(หลังริม!C260*2)+(หลังกลาง!C260*6)</f>
        <v>280</v>
      </c>
      <c r="D260" s="31" t="s">
        <v>123</v>
      </c>
      <c r="E260" s="5">
        <v>0</v>
      </c>
      <c r="F260" s="5">
        <f t="shared" si="86"/>
        <v>0</v>
      </c>
      <c r="G260" s="121">
        <v>17.5</v>
      </c>
      <c r="H260" s="5">
        <f t="shared" si="85"/>
        <v>4900</v>
      </c>
      <c r="I260" s="7">
        <f t="shared" si="87"/>
        <v>4900</v>
      </c>
      <c r="J260" s="117"/>
    </row>
    <row r="261" spans="1:20" s="119" customFormat="1" ht="20" customHeight="1">
      <c r="A261" s="31"/>
      <c r="B261" s="114" t="s">
        <v>258</v>
      </c>
      <c r="C261" s="5">
        <f>(หลังริม!C261*2)+(หลังกลาง!C261*6)</f>
        <v>4000</v>
      </c>
      <c r="D261" s="31" t="s">
        <v>21</v>
      </c>
      <c r="E261" s="5">
        <v>0</v>
      </c>
      <c r="F261" s="5">
        <f t="shared" si="86"/>
        <v>0</v>
      </c>
      <c r="G261" s="116">
        <v>1.3333333333333333</v>
      </c>
      <c r="H261" s="5">
        <f t="shared" si="85"/>
        <v>5333.333333333333</v>
      </c>
      <c r="I261" s="7">
        <f t="shared" si="87"/>
        <v>5333.333333333333</v>
      </c>
      <c r="J261" s="117"/>
    </row>
    <row r="262" spans="1:20" s="119" customFormat="1" ht="20" customHeight="1">
      <c r="A262" s="209"/>
      <c r="B262" s="120" t="s">
        <v>259</v>
      </c>
      <c r="C262" s="5">
        <f>(หลังริม!C262*2)+(หลังกลาง!C262*6)</f>
        <v>280</v>
      </c>
      <c r="D262" s="34" t="s">
        <v>263</v>
      </c>
      <c r="E262" s="5">
        <v>0</v>
      </c>
      <c r="F262" s="5">
        <f t="shared" si="86"/>
        <v>0</v>
      </c>
      <c r="G262" s="125">
        <v>18.900000000000002</v>
      </c>
      <c r="H262" s="5">
        <f t="shared" si="85"/>
        <v>5292.0000000000009</v>
      </c>
      <c r="I262" s="7">
        <f t="shared" si="87"/>
        <v>5292.0000000000009</v>
      </c>
      <c r="J262" s="117"/>
    </row>
    <row r="263" spans="1:20" s="119" customFormat="1" ht="20" customHeight="1">
      <c r="A263" s="209"/>
      <c r="B263" s="122" t="s">
        <v>260</v>
      </c>
      <c r="C263" s="5">
        <f>(หลังริม!C263*2)+(หลังกลาง!C263*6)</f>
        <v>200</v>
      </c>
      <c r="D263" s="31" t="s">
        <v>263</v>
      </c>
      <c r="E263" s="5">
        <v>0</v>
      </c>
      <c r="F263" s="5">
        <f t="shared" si="86"/>
        <v>0</v>
      </c>
      <c r="G263" s="125">
        <v>18.900000000000002</v>
      </c>
      <c r="H263" s="5">
        <f t="shared" si="85"/>
        <v>3780.0000000000005</v>
      </c>
      <c r="I263" s="7">
        <f t="shared" si="87"/>
        <v>3780.0000000000005</v>
      </c>
      <c r="J263" s="117"/>
    </row>
    <row r="264" spans="1:20" s="119" customFormat="1" ht="20" customHeight="1">
      <c r="A264" s="209"/>
      <c r="B264" s="122" t="s">
        <v>261</v>
      </c>
      <c r="C264" s="5">
        <f>(หลังริม!C264*2)+(หลังกลาง!C264*6)</f>
        <v>2400</v>
      </c>
      <c r="D264" s="192" t="s">
        <v>264</v>
      </c>
      <c r="E264" s="5">
        <v>0</v>
      </c>
      <c r="F264" s="5">
        <f t="shared" si="86"/>
        <v>0</v>
      </c>
      <c r="G264" s="121">
        <v>1</v>
      </c>
      <c r="H264" s="5">
        <f t="shared" si="85"/>
        <v>2400</v>
      </c>
      <c r="I264" s="7">
        <f t="shared" si="87"/>
        <v>2400</v>
      </c>
      <c r="J264" s="117"/>
    </row>
    <row r="265" spans="1:20" s="119" customFormat="1" ht="20" customHeight="1">
      <c r="A265" s="209"/>
      <c r="B265" s="114" t="s">
        <v>262</v>
      </c>
      <c r="C265" s="5">
        <f>(หลังริม!C265*2)+(หลังกลาง!C265*6)</f>
        <v>440</v>
      </c>
      <c r="D265" s="34" t="s">
        <v>123</v>
      </c>
      <c r="E265" s="5">
        <v>0</v>
      </c>
      <c r="F265" s="5">
        <f t="shared" si="86"/>
        <v>0</v>
      </c>
      <c r="G265" s="116">
        <v>6.47</v>
      </c>
      <c r="H265" s="5">
        <f t="shared" si="85"/>
        <v>2846.7999999999997</v>
      </c>
      <c r="I265" s="7">
        <f t="shared" si="87"/>
        <v>2846.7999999999997</v>
      </c>
      <c r="J265" s="117"/>
    </row>
    <row r="266" spans="1:20" s="177" customFormat="1" ht="20" customHeight="1">
      <c r="A266" s="213">
        <v>4</v>
      </c>
      <c r="B266" s="173" t="s">
        <v>221</v>
      </c>
      <c r="C266" s="172"/>
      <c r="D266" s="173" t="s">
        <v>11</v>
      </c>
      <c r="E266" s="174"/>
      <c r="F266" s="174">
        <f>SUM(F244:F265)</f>
        <v>78696</v>
      </c>
      <c r="G266" s="174"/>
      <c r="H266" s="174">
        <f t="shared" ref="H266:I266" si="88">SUM(H244:H265)</f>
        <v>52365.466666666674</v>
      </c>
      <c r="I266" s="174">
        <f t="shared" si="88"/>
        <v>131061.46666666667</v>
      </c>
      <c r="J266" s="175"/>
      <c r="K266" s="151">
        <f>H266+F266</f>
        <v>131061.46666666667</v>
      </c>
      <c r="L266" s="176"/>
      <c r="M266" s="176"/>
      <c r="N266" s="176"/>
      <c r="O266" s="176"/>
      <c r="P266" s="176"/>
      <c r="Q266" s="176"/>
      <c r="R266" s="176"/>
      <c r="S266" s="176"/>
      <c r="T266" s="176"/>
    </row>
    <row r="267" spans="1:20" s="40" customFormat="1" ht="20" customHeight="1">
      <c r="A267" s="195"/>
      <c r="D267" s="195"/>
      <c r="E267" s="132"/>
    </row>
    <row r="268" spans="1:20" s="40" customFormat="1" ht="20" customHeight="1">
      <c r="A268" s="185"/>
      <c r="B268" s="43"/>
      <c r="C268" s="43"/>
      <c r="D268" s="185"/>
      <c r="E268" s="44"/>
      <c r="F268" s="43"/>
      <c r="G268" s="43"/>
      <c r="H268" s="43"/>
      <c r="I268" s="43"/>
      <c r="J268" s="43"/>
      <c r="K268" s="43"/>
    </row>
    <row r="269" spans="1:20" s="40" customFormat="1" ht="20" customHeight="1">
      <c r="A269" s="193">
        <f t="shared" ref="A269:I269" si="89">A66</f>
        <v>1</v>
      </c>
      <c r="B269" s="143" t="str">
        <f t="shared" si="89"/>
        <v>รวมค่างานโครงสร้างวิศวกรรมทั้งหมด</v>
      </c>
      <c r="C269" s="143">
        <f t="shared" si="89"/>
        <v>0</v>
      </c>
      <c r="D269" s="193" t="str">
        <f t="shared" si="89"/>
        <v>รวม</v>
      </c>
      <c r="E269" s="143">
        <f t="shared" si="89"/>
        <v>0</v>
      </c>
      <c r="F269" s="143">
        <f t="shared" si="89"/>
        <v>887311.12314719532</v>
      </c>
      <c r="G269" s="143">
        <f t="shared" si="89"/>
        <v>0</v>
      </c>
      <c r="H269" s="143">
        <f t="shared" si="89"/>
        <v>380226.73333333334</v>
      </c>
      <c r="I269" s="143">
        <f t="shared" si="89"/>
        <v>1267537.8564805288</v>
      </c>
      <c r="J269" s="143"/>
      <c r="K269" s="43"/>
    </row>
    <row r="270" spans="1:20" s="40" customFormat="1" ht="20" customHeight="1">
      <c r="A270" s="193">
        <f t="shared" ref="A270:I270" si="90">A215</f>
        <v>2</v>
      </c>
      <c r="B270" s="143" t="str">
        <f t="shared" si="90"/>
        <v>รวมค่างานสถาปัตยกรรมทั้งหมด</v>
      </c>
      <c r="C270" s="143">
        <f t="shared" si="90"/>
        <v>0</v>
      </c>
      <c r="D270" s="193" t="str">
        <f t="shared" si="90"/>
        <v>รวม</v>
      </c>
      <c r="E270" s="143">
        <f t="shared" si="90"/>
        <v>0</v>
      </c>
      <c r="F270" s="143">
        <f t="shared" si="90"/>
        <v>818708.49542941735</v>
      </c>
      <c r="G270" s="143">
        <f t="shared" si="90"/>
        <v>0</v>
      </c>
      <c r="H270" s="143">
        <f t="shared" si="90"/>
        <v>816000.3</v>
      </c>
      <c r="I270" s="143">
        <f t="shared" si="90"/>
        <v>1634708.7954294174</v>
      </c>
      <c r="J270" s="143"/>
      <c r="K270" s="43"/>
    </row>
    <row r="271" spans="1:20" s="40" customFormat="1" ht="20" customHeight="1">
      <c r="A271" s="193">
        <f t="shared" ref="A271:I271" si="91">A241</f>
        <v>3</v>
      </c>
      <c r="B271" s="143" t="str">
        <f t="shared" si="91"/>
        <v xml:space="preserve">รวมค่างานระบบไฟฟ้าและสื่อสารทั้งหมด </v>
      </c>
      <c r="C271" s="143">
        <f t="shared" si="91"/>
        <v>0</v>
      </c>
      <c r="D271" s="193" t="str">
        <f t="shared" si="91"/>
        <v>รวม</v>
      </c>
      <c r="E271" s="143">
        <f t="shared" si="91"/>
        <v>0</v>
      </c>
      <c r="F271" s="143">
        <f t="shared" si="91"/>
        <v>15704</v>
      </c>
      <c r="G271" s="143">
        <f t="shared" si="91"/>
        <v>0</v>
      </c>
      <c r="H271" s="143">
        <f t="shared" si="91"/>
        <v>238800</v>
      </c>
      <c r="I271" s="143">
        <f t="shared" si="91"/>
        <v>254504</v>
      </c>
      <c r="J271" s="143"/>
      <c r="K271" s="43"/>
    </row>
    <row r="272" spans="1:20" s="40" customFormat="1" ht="20" customHeight="1">
      <c r="A272" s="193">
        <f t="shared" ref="A272:I272" si="92">A266</f>
        <v>4</v>
      </c>
      <c r="B272" s="143" t="str">
        <f t="shared" si="92"/>
        <v xml:space="preserve">รวมค่างานต่อเติมหลังคาที่จอดรถหน้าทั้งหมด </v>
      </c>
      <c r="C272" s="143">
        <f t="shared" si="92"/>
        <v>0</v>
      </c>
      <c r="D272" s="193" t="str">
        <f t="shared" si="92"/>
        <v>รวม</v>
      </c>
      <c r="E272" s="143">
        <f t="shared" si="92"/>
        <v>0</v>
      </c>
      <c r="F272" s="143">
        <f t="shared" si="92"/>
        <v>78696</v>
      </c>
      <c r="G272" s="143">
        <f t="shared" si="92"/>
        <v>0</v>
      </c>
      <c r="H272" s="143">
        <f t="shared" si="92"/>
        <v>52365.466666666674</v>
      </c>
      <c r="I272" s="143">
        <f t="shared" si="92"/>
        <v>131061.46666666667</v>
      </c>
      <c r="J272" s="143"/>
      <c r="K272" s="43"/>
    </row>
    <row r="273" spans="1:11" s="179" customFormat="1" ht="20" customHeight="1">
      <c r="A273" s="232" t="s">
        <v>11</v>
      </c>
      <c r="B273" s="233"/>
      <c r="C273" s="234"/>
      <c r="D273" s="180"/>
      <c r="E273" s="181"/>
      <c r="F273" s="182">
        <f>SUM(F269:F272)</f>
        <v>1800419.6185766128</v>
      </c>
      <c r="G273" s="182"/>
      <c r="H273" s="182">
        <f t="shared" ref="H273" si="93">SUM(H269:H272)</f>
        <v>1487392.5</v>
      </c>
      <c r="I273" s="183">
        <f>SUM(I269:I272)</f>
        <v>3287812.1185766133</v>
      </c>
      <c r="J273" s="180"/>
      <c r="K273" s="178">
        <f>H273+F273</f>
        <v>3287812.1185766128</v>
      </c>
    </row>
  </sheetData>
  <mergeCells count="9">
    <mergeCell ref="A273:C273"/>
    <mergeCell ref="A1:J1"/>
    <mergeCell ref="A4:A5"/>
    <mergeCell ref="B4:B5"/>
    <mergeCell ref="C4:C5"/>
    <mergeCell ref="D4:D5"/>
    <mergeCell ref="E4:F4"/>
    <mergeCell ref="G4:H4"/>
    <mergeCell ref="J4:J5"/>
  </mergeCells>
  <pageMargins left="0.7" right="0.7" top="0.75" bottom="0.75" header="0.3" footer="0.3"/>
  <pageSetup paperSize="9" scale="5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06B7-8D88-4E21-8468-C8809B44DDA0}">
  <dimension ref="A1:T273"/>
  <sheetViews>
    <sheetView tabSelected="1" view="pageBreakPreview" zoomScale="60" zoomScaleNormal="100" workbookViewId="0">
      <selection activeCell="T26" sqref="T26"/>
    </sheetView>
  </sheetViews>
  <sheetFormatPr defaultRowHeight="14.25"/>
  <cols>
    <col min="1" max="1" width="6.59765625" customWidth="1"/>
    <col min="2" max="2" width="45.59765625" customWidth="1"/>
    <col min="3" max="4" width="8.59765625" customWidth="1"/>
    <col min="5" max="10" width="13.59765625" customWidth="1"/>
    <col min="11" max="11" width="11.33203125" customWidth="1"/>
  </cols>
  <sheetData>
    <row r="1" spans="1:11" ht="20" customHeight="1">
      <c r="A1" s="228" t="s">
        <v>285</v>
      </c>
      <c r="B1" s="228"/>
      <c r="C1" s="228"/>
      <c r="D1" s="228"/>
      <c r="E1" s="228"/>
      <c r="F1" s="228"/>
      <c r="G1" s="228"/>
      <c r="H1" s="228"/>
      <c r="I1" s="228"/>
      <c r="J1" s="228"/>
    </row>
    <row r="2" spans="1:11" ht="20" customHeight="1">
      <c r="A2" s="196"/>
      <c r="B2" s="41"/>
      <c r="C2" s="41"/>
      <c r="D2" s="184"/>
      <c r="E2" s="42"/>
      <c r="F2" s="41"/>
      <c r="G2" s="41"/>
      <c r="H2" s="41"/>
      <c r="I2" s="41"/>
      <c r="J2" s="41"/>
    </row>
    <row r="3" spans="1:11" ht="20" customHeight="1" thickBot="1">
      <c r="A3" s="185"/>
      <c r="B3" s="43"/>
      <c r="C3" s="43"/>
      <c r="D3" s="185"/>
      <c r="E3" s="44"/>
      <c r="F3" s="43"/>
      <c r="G3" s="43"/>
      <c r="H3" s="43"/>
      <c r="I3" s="43"/>
      <c r="J3" s="43"/>
    </row>
    <row r="4" spans="1:11" ht="20" customHeight="1" thickTop="1">
      <c r="A4" s="226" t="s">
        <v>0</v>
      </c>
      <c r="B4" s="226" t="s">
        <v>1</v>
      </c>
      <c r="C4" s="226" t="s">
        <v>2</v>
      </c>
      <c r="D4" s="226" t="s">
        <v>3</v>
      </c>
      <c r="E4" s="226" t="s">
        <v>4</v>
      </c>
      <c r="F4" s="226"/>
      <c r="G4" s="226" t="s">
        <v>5</v>
      </c>
      <c r="H4" s="226"/>
      <c r="I4" s="220" t="s">
        <v>6</v>
      </c>
      <c r="J4" s="226" t="s">
        <v>7</v>
      </c>
    </row>
    <row r="5" spans="1:11" ht="20" customHeight="1" thickBot="1">
      <c r="A5" s="227"/>
      <c r="B5" s="227"/>
      <c r="C5" s="227"/>
      <c r="D5" s="227"/>
      <c r="E5" s="221" t="s">
        <v>8</v>
      </c>
      <c r="F5" s="224" t="s">
        <v>9</v>
      </c>
      <c r="G5" s="224" t="s">
        <v>8</v>
      </c>
      <c r="H5" s="224" t="s">
        <v>9</v>
      </c>
      <c r="I5" s="222" t="s">
        <v>10</v>
      </c>
      <c r="J5" s="227"/>
    </row>
    <row r="6" spans="1:11" ht="20" customHeight="1" thickTop="1">
      <c r="A6" s="197">
        <v>1</v>
      </c>
      <c r="B6" s="1" t="s">
        <v>12</v>
      </c>
      <c r="C6" s="2"/>
      <c r="D6" s="186"/>
      <c r="E6" s="46"/>
      <c r="F6" s="2"/>
      <c r="G6" s="2"/>
      <c r="H6" s="2"/>
      <c r="I6" s="2"/>
      <c r="J6" s="2"/>
    </row>
    <row r="7" spans="1:11" ht="20" customHeight="1">
      <c r="A7" s="198"/>
      <c r="B7" s="3" t="s">
        <v>13</v>
      </c>
      <c r="C7" s="4"/>
      <c r="D7" s="6"/>
      <c r="E7" s="48"/>
      <c r="F7" s="4"/>
      <c r="G7" s="4"/>
      <c r="H7" s="4"/>
      <c r="I7" s="4"/>
      <c r="J7" s="4"/>
    </row>
    <row r="8" spans="1:11" ht="20" customHeight="1">
      <c r="A8" s="198"/>
      <c r="B8" s="4" t="s">
        <v>14</v>
      </c>
      <c r="C8" s="5">
        <f>(หลังริม!C8*1)+(หลังกลาง!C8*6)</f>
        <v>11.666666666666666</v>
      </c>
      <c r="D8" s="6" t="s">
        <v>15</v>
      </c>
      <c r="E8" s="11">
        <v>3500</v>
      </c>
      <c r="F8" s="5">
        <f>E8*C8</f>
        <v>40833.333333333328</v>
      </c>
      <c r="G8" s="5">
        <v>0</v>
      </c>
      <c r="H8" s="29">
        <f t="shared" ref="H8:H11" si="0">G8*E8</f>
        <v>0</v>
      </c>
      <c r="I8" s="49">
        <f t="shared" ref="I8:I11" si="1">H8+F8</f>
        <v>40833.333333333328</v>
      </c>
      <c r="J8" s="4"/>
    </row>
    <row r="9" spans="1:11" s="40" customFormat="1" ht="20" customHeight="1">
      <c r="A9" s="198"/>
      <c r="B9" s="4" t="s">
        <v>36</v>
      </c>
      <c r="C9" s="5">
        <f>(หลังริม!C9*1)+(หลังกลาง!C9*6)</f>
        <v>6.416666666666667</v>
      </c>
      <c r="D9" s="6" t="s">
        <v>16</v>
      </c>
      <c r="E9" s="11">
        <v>1500</v>
      </c>
      <c r="F9" s="5">
        <f t="shared" ref="F9:F11" si="2">E9*C9</f>
        <v>9625</v>
      </c>
      <c r="G9" s="5">
        <v>1</v>
      </c>
      <c r="H9" s="29">
        <f t="shared" si="0"/>
        <v>1500</v>
      </c>
      <c r="I9" s="49">
        <f t="shared" si="1"/>
        <v>11125</v>
      </c>
      <c r="J9" s="4"/>
    </row>
    <row r="10" spans="1:11" s="40" customFormat="1" ht="20" customHeight="1">
      <c r="A10" s="198"/>
      <c r="B10" s="4" t="s">
        <v>17</v>
      </c>
      <c r="C10" s="5">
        <f>(หลังริม!C10*1)+(หลังกลาง!C10*6)</f>
        <v>0</v>
      </c>
      <c r="D10" s="6" t="s">
        <v>16</v>
      </c>
      <c r="E10" s="11">
        <v>0</v>
      </c>
      <c r="F10" s="5">
        <f t="shared" si="2"/>
        <v>0</v>
      </c>
      <c r="G10" s="11">
        <v>2</v>
      </c>
      <c r="H10" s="29">
        <f t="shared" si="0"/>
        <v>0</v>
      </c>
      <c r="I10" s="49">
        <f t="shared" si="1"/>
        <v>0</v>
      </c>
      <c r="J10" s="4"/>
    </row>
    <row r="11" spans="1:11" s="40" customFormat="1" ht="20" customHeight="1">
      <c r="A11" s="198"/>
      <c r="B11" s="4" t="s">
        <v>18</v>
      </c>
      <c r="C11" s="5">
        <f>(หลังริม!C11*1)+(หลังกลาง!C11*6)</f>
        <v>46.666666666666664</v>
      </c>
      <c r="D11" s="6" t="s">
        <v>16</v>
      </c>
      <c r="E11" s="11">
        <v>100</v>
      </c>
      <c r="F11" s="5">
        <f t="shared" si="2"/>
        <v>4666.6666666666661</v>
      </c>
      <c r="G11" s="5">
        <v>3</v>
      </c>
      <c r="H11" s="29">
        <f t="shared" si="0"/>
        <v>300</v>
      </c>
      <c r="I11" s="49">
        <f t="shared" si="1"/>
        <v>4966.6666666666661</v>
      </c>
      <c r="J11" s="4"/>
    </row>
    <row r="12" spans="1:11" s="50" customFormat="1" ht="20" customHeight="1">
      <c r="A12" s="199"/>
      <c r="B12" s="12" t="s">
        <v>19</v>
      </c>
      <c r="C12" s="5">
        <f>(หลังริม!C12*1)+(หลังกลาง!C12*6)</f>
        <v>0</v>
      </c>
      <c r="D12" s="12"/>
      <c r="E12" s="100"/>
      <c r="F12" s="14">
        <f>SUM(F8:F11)</f>
        <v>55124.999999999993</v>
      </c>
      <c r="G12" s="14"/>
      <c r="H12" s="14">
        <f t="shared" ref="H12:I12" si="3">SUM(H8:H11)</f>
        <v>1800</v>
      </c>
      <c r="I12" s="14">
        <f t="shared" si="3"/>
        <v>56924.999999999993</v>
      </c>
      <c r="J12" s="13"/>
      <c r="K12" s="151">
        <f>H12+F12</f>
        <v>56924.999999999993</v>
      </c>
    </row>
    <row r="13" spans="1:11" s="40" customFormat="1" ht="20" customHeight="1">
      <c r="A13" s="198"/>
      <c r="B13" s="3" t="s">
        <v>20</v>
      </c>
      <c r="C13" s="5">
        <f>(หลังริม!C13*1)+(หลังกลาง!C13*6)</f>
        <v>0</v>
      </c>
      <c r="D13" s="6"/>
      <c r="E13" s="48"/>
      <c r="F13" s="4"/>
      <c r="G13" s="4"/>
      <c r="H13" s="4"/>
      <c r="I13" s="4"/>
      <c r="J13" s="4"/>
    </row>
    <row r="14" spans="1:11" s="40" customFormat="1" ht="20" customHeight="1">
      <c r="A14" s="198"/>
      <c r="B14" s="4" t="s">
        <v>110</v>
      </c>
      <c r="C14" s="5">
        <f>(หลังริม!C14*1)+(หลังกลาง!C14*6)</f>
        <v>61.833333333333336</v>
      </c>
      <c r="D14" s="6" t="s">
        <v>21</v>
      </c>
      <c r="E14" s="11">
        <v>2080</v>
      </c>
      <c r="F14" s="5">
        <f>E14*C14</f>
        <v>128613.33333333334</v>
      </c>
      <c r="G14" s="5">
        <v>750</v>
      </c>
      <c r="H14" s="5">
        <f>G14*C14</f>
        <v>46375</v>
      </c>
      <c r="I14" s="7">
        <f>H14+F14</f>
        <v>174988.33333333334</v>
      </c>
      <c r="J14" s="4"/>
    </row>
    <row r="15" spans="1:11" s="40" customFormat="1" ht="20" customHeight="1">
      <c r="A15" s="198"/>
      <c r="B15" s="4" t="s">
        <v>22</v>
      </c>
      <c r="C15" s="5">
        <f>(หลังริม!C15*1)+(หลังกลาง!C15*6)</f>
        <v>0</v>
      </c>
      <c r="D15" s="6" t="s">
        <v>21</v>
      </c>
      <c r="E15" s="11">
        <v>0</v>
      </c>
      <c r="F15" s="5">
        <f>E15*C15</f>
        <v>0</v>
      </c>
      <c r="G15" s="11">
        <v>0</v>
      </c>
      <c r="H15" s="5">
        <f>G15*C15</f>
        <v>0</v>
      </c>
      <c r="I15" s="7">
        <f>H15+F15</f>
        <v>0</v>
      </c>
      <c r="J15" s="4"/>
    </row>
    <row r="16" spans="1:11" s="50" customFormat="1" ht="20" customHeight="1">
      <c r="A16" s="199"/>
      <c r="B16" s="12" t="s">
        <v>23</v>
      </c>
      <c r="C16" s="5">
        <f>(หลังริม!C16*1)+(หลังกลาง!C16*6)</f>
        <v>0</v>
      </c>
      <c r="D16" s="12"/>
      <c r="E16" s="100"/>
      <c r="F16" s="14">
        <f>SUM(F14:F15)</f>
        <v>128613.33333333334</v>
      </c>
      <c r="G16" s="14"/>
      <c r="H16" s="14">
        <f t="shared" ref="H16:I16" si="4">SUM(H14:H15)</f>
        <v>46375</v>
      </c>
      <c r="I16" s="14">
        <f t="shared" si="4"/>
        <v>174988.33333333334</v>
      </c>
      <c r="J16" s="13"/>
      <c r="K16" s="151">
        <f>H16+F16</f>
        <v>174988.33333333334</v>
      </c>
    </row>
    <row r="17" spans="1:11" s="40" customFormat="1" ht="20" customHeight="1">
      <c r="A17" s="198"/>
      <c r="B17" s="3" t="s">
        <v>24</v>
      </c>
      <c r="C17" s="5">
        <f>(หลังริม!C17*1)+(หลังกลาง!C17*6)</f>
        <v>0</v>
      </c>
      <c r="D17" s="6"/>
      <c r="E17" s="48"/>
      <c r="F17" s="4"/>
      <c r="G17" s="4"/>
      <c r="H17" s="4"/>
      <c r="I17" s="4"/>
      <c r="J17" s="4"/>
    </row>
    <row r="18" spans="1:11" s="40" customFormat="1" ht="20" customHeight="1">
      <c r="A18" s="198"/>
      <c r="B18" s="4" t="s">
        <v>25</v>
      </c>
      <c r="C18" s="5">
        <f>(หลังริม!C18*1)+(หลังกลาง!C18*6)</f>
        <v>23.333333333333332</v>
      </c>
      <c r="D18" s="6" t="s">
        <v>60</v>
      </c>
      <c r="E18" s="11">
        <v>590</v>
      </c>
      <c r="F18" s="5">
        <f>E18*C18</f>
        <v>13766.666666666666</v>
      </c>
      <c r="G18" s="5">
        <v>0</v>
      </c>
      <c r="H18" s="29">
        <f>G18*E18</f>
        <v>0</v>
      </c>
      <c r="I18" s="49">
        <f>H18+F18</f>
        <v>13766.666666666666</v>
      </c>
      <c r="J18" s="4"/>
    </row>
    <row r="19" spans="1:11" s="40" customFormat="1" ht="20" customHeight="1">
      <c r="A19" s="198"/>
      <c r="B19" s="4" t="s">
        <v>27</v>
      </c>
      <c r="C19" s="5">
        <f>(หลังริม!C19*1)+(หลังกลาง!C19*6)</f>
        <v>0</v>
      </c>
      <c r="D19" s="6" t="s">
        <v>26</v>
      </c>
      <c r="E19" s="11">
        <v>0</v>
      </c>
      <c r="F19" s="5">
        <f t="shared" ref="F19:F22" si="5">E19*C19</f>
        <v>0</v>
      </c>
      <c r="G19" s="5">
        <v>0</v>
      </c>
      <c r="H19" s="29">
        <f t="shared" ref="H19:H22" si="6">G19*E19</f>
        <v>0</v>
      </c>
      <c r="I19" s="49">
        <f t="shared" ref="I19:I22" si="7">H19+F19</f>
        <v>0</v>
      </c>
      <c r="J19" s="4"/>
    </row>
    <row r="20" spans="1:11" s="40" customFormat="1" ht="20" customHeight="1">
      <c r="A20" s="6"/>
      <c r="B20" s="4" t="s">
        <v>28</v>
      </c>
      <c r="C20" s="5">
        <f>(หลังริม!C20*1)+(หลังกลาง!C20*6)</f>
        <v>233.33333333333334</v>
      </c>
      <c r="D20" s="6" t="s">
        <v>21</v>
      </c>
      <c r="E20" s="11">
        <v>25</v>
      </c>
      <c r="F20" s="5">
        <f t="shared" si="5"/>
        <v>5833.3333333333339</v>
      </c>
      <c r="G20" s="5">
        <v>0</v>
      </c>
      <c r="H20" s="29">
        <f t="shared" si="6"/>
        <v>0</v>
      </c>
      <c r="I20" s="49">
        <f t="shared" si="7"/>
        <v>5833.3333333333339</v>
      </c>
      <c r="J20" s="4"/>
    </row>
    <row r="21" spans="1:11" s="40" customFormat="1" ht="20" customHeight="1">
      <c r="A21" s="6"/>
      <c r="B21" s="4" t="s">
        <v>29</v>
      </c>
      <c r="C21" s="5">
        <f>(หลังริม!C21*1)+(หลังกลาง!C21*6)</f>
        <v>0</v>
      </c>
      <c r="D21" s="6" t="s">
        <v>30</v>
      </c>
      <c r="E21" s="11">
        <v>0</v>
      </c>
      <c r="F21" s="5">
        <f t="shared" si="5"/>
        <v>0</v>
      </c>
      <c r="G21" s="5">
        <v>0</v>
      </c>
      <c r="H21" s="29">
        <f t="shared" si="6"/>
        <v>0</v>
      </c>
      <c r="I21" s="49">
        <f t="shared" si="7"/>
        <v>0</v>
      </c>
      <c r="J21" s="4"/>
    </row>
    <row r="22" spans="1:11" s="40" customFormat="1" ht="20" customHeight="1">
      <c r="A22" s="198"/>
      <c r="B22" s="4" t="s">
        <v>31</v>
      </c>
      <c r="C22" s="5">
        <f>(หลังริม!C22*1)+(หลังกลาง!C22*6)</f>
        <v>0</v>
      </c>
      <c r="D22" s="6" t="s">
        <v>32</v>
      </c>
      <c r="E22" s="11">
        <v>0</v>
      </c>
      <c r="F22" s="5">
        <f t="shared" si="5"/>
        <v>0</v>
      </c>
      <c r="G22" s="5">
        <v>0</v>
      </c>
      <c r="H22" s="29">
        <f t="shared" si="6"/>
        <v>0</v>
      </c>
      <c r="I22" s="49">
        <f t="shared" si="7"/>
        <v>0</v>
      </c>
      <c r="J22" s="4"/>
    </row>
    <row r="23" spans="1:11" s="50" customFormat="1" ht="20" customHeight="1">
      <c r="A23" s="199"/>
      <c r="B23" s="12" t="s">
        <v>33</v>
      </c>
      <c r="C23" s="5">
        <f>(หลังริม!C23*1)+(หลังกลาง!C23*6)</f>
        <v>0</v>
      </c>
      <c r="D23" s="12"/>
      <c r="E23" s="100"/>
      <c r="F23" s="14">
        <f>SUM(F18:F22)</f>
        <v>19600</v>
      </c>
      <c r="G23" s="14"/>
      <c r="H23" s="14">
        <f t="shared" ref="H23:I23" si="8">SUM(H18:H22)</f>
        <v>0</v>
      </c>
      <c r="I23" s="14">
        <f t="shared" si="8"/>
        <v>19600</v>
      </c>
      <c r="J23" s="13"/>
      <c r="K23" s="151">
        <f>H23+F23</f>
        <v>19600</v>
      </c>
    </row>
    <row r="24" spans="1:11" s="40" customFormat="1" ht="20" customHeight="1">
      <c r="A24" s="198"/>
      <c r="B24" s="3" t="s">
        <v>34</v>
      </c>
      <c r="C24" s="5">
        <f>(หลังริม!C24*1)+(หลังกลาง!C24*6)</f>
        <v>0</v>
      </c>
      <c r="D24" s="6"/>
      <c r="E24" s="48"/>
      <c r="F24" s="4"/>
      <c r="G24" s="4"/>
      <c r="H24" s="4"/>
      <c r="I24" s="4"/>
      <c r="J24" s="4"/>
    </row>
    <row r="25" spans="1:11" s="40" customFormat="1" ht="20" customHeight="1">
      <c r="A25" s="198"/>
      <c r="B25" s="4" t="s">
        <v>35</v>
      </c>
      <c r="C25" s="5">
        <f>(หลังริม!C25*1)+(หลังกลาง!C25*6)</f>
        <v>17.5</v>
      </c>
      <c r="D25" s="6" t="s">
        <v>16</v>
      </c>
      <c r="E25" s="11">
        <v>1300</v>
      </c>
      <c r="F25" s="5">
        <f>E25*C25</f>
        <v>22750</v>
      </c>
      <c r="G25" s="5">
        <v>0</v>
      </c>
      <c r="H25" s="5">
        <f>G25*C25</f>
        <v>0</v>
      </c>
      <c r="I25" s="49">
        <f>H25+F25</f>
        <v>22750</v>
      </c>
      <c r="J25" s="4"/>
    </row>
    <row r="26" spans="1:11" s="40" customFormat="1" ht="20" customHeight="1">
      <c r="A26" s="198"/>
      <c r="B26" s="4" t="s">
        <v>36</v>
      </c>
      <c r="C26" s="5">
        <f>(หลังริม!C26*1)+(หลังกลาง!C26*6)</f>
        <v>64.166666666666671</v>
      </c>
      <c r="D26" s="6" t="s">
        <v>16</v>
      </c>
      <c r="E26" s="11">
        <v>1500</v>
      </c>
      <c r="F26" s="5">
        <f t="shared" ref="F26:F29" si="9">E26*C26</f>
        <v>96250</v>
      </c>
      <c r="G26" s="5">
        <v>0</v>
      </c>
      <c r="H26" s="5">
        <f t="shared" ref="H26:H29" si="10">G26*C26</f>
        <v>0</v>
      </c>
      <c r="I26" s="49">
        <f t="shared" ref="I26:I29" si="11">H26+F26</f>
        <v>96250</v>
      </c>
      <c r="J26" s="4"/>
    </row>
    <row r="27" spans="1:11" s="40" customFormat="1" ht="20" customHeight="1">
      <c r="A27" s="198"/>
      <c r="B27" s="4" t="s">
        <v>37</v>
      </c>
      <c r="C27" s="5">
        <f>(หลังริม!C27*1)+(หลังกลาง!C27*6)</f>
        <v>0</v>
      </c>
      <c r="D27" s="6" t="s">
        <v>16</v>
      </c>
      <c r="E27" s="11">
        <v>1600</v>
      </c>
      <c r="F27" s="5">
        <f t="shared" si="9"/>
        <v>0</v>
      </c>
      <c r="G27" s="5">
        <v>0</v>
      </c>
      <c r="H27" s="5">
        <f t="shared" si="10"/>
        <v>0</v>
      </c>
      <c r="I27" s="49">
        <f t="shared" si="11"/>
        <v>0</v>
      </c>
      <c r="J27" s="4"/>
    </row>
    <row r="28" spans="1:11" s="40" customFormat="1" ht="20" customHeight="1">
      <c r="A28" s="198"/>
      <c r="B28" s="4" t="s">
        <v>38</v>
      </c>
      <c r="C28" s="5">
        <f>(หลังริม!C28*1)+(หลังกลาง!C28*6)</f>
        <v>700</v>
      </c>
      <c r="D28" s="6" t="s">
        <v>32</v>
      </c>
      <c r="E28" s="11">
        <v>74.2</v>
      </c>
      <c r="F28" s="5">
        <f t="shared" si="9"/>
        <v>51940</v>
      </c>
      <c r="G28" s="5">
        <v>0</v>
      </c>
      <c r="H28" s="5">
        <f t="shared" si="10"/>
        <v>0</v>
      </c>
      <c r="I28" s="49">
        <f t="shared" si="11"/>
        <v>51940</v>
      </c>
      <c r="J28" s="4"/>
    </row>
    <row r="29" spans="1:11" s="40" customFormat="1" ht="20" customHeight="1">
      <c r="A29" s="198"/>
      <c r="B29" s="4" t="s">
        <v>286</v>
      </c>
      <c r="C29" s="5">
        <f>(หลังริม!C29*1)+(หลังกลาง!C29*6)</f>
        <v>700</v>
      </c>
      <c r="D29" s="6" t="s">
        <v>32</v>
      </c>
      <c r="E29" s="11">
        <v>0</v>
      </c>
      <c r="F29" s="5">
        <f t="shared" si="9"/>
        <v>0</v>
      </c>
      <c r="G29" s="223">
        <v>173.47</v>
      </c>
      <c r="H29" s="5">
        <f t="shared" si="10"/>
        <v>121429</v>
      </c>
      <c r="I29" s="49">
        <f t="shared" si="11"/>
        <v>121429</v>
      </c>
      <c r="J29" s="4"/>
    </row>
    <row r="30" spans="1:11" s="50" customFormat="1" ht="20" customHeight="1">
      <c r="A30" s="12"/>
      <c r="B30" s="12" t="s">
        <v>39</v>
      </c>
      <c r="C30" s="5">
        <f>(หลังริม!C30*1)+(หลังกลาง!C30*6)</f>
        <v>0</v>
      </c>
      <c r="D30" s="12"/>
      <c r="E30" s="100"/>
      <c r="F30" s="14">
        <f>SUM(F25:F29)</f>
        <v>170940</v>
      </c>
      <c r="G30" s="14"/>
      <c r="H30" s="14">
        <f t="shared" ref="H30:I30" si="12">SUM(H25:H29)</f>
        <v>121429</v>
      </c>
      <c r="I30" s="14">
        <f t="shared" si="12"/>
        <v>292369</v>
      </c>
      <c r="J30" s="13"/>
      <c r="K30" s="151">
        <f>H30+F30</f>
        <v>292369</v>
      </c>
    </row>
    <row r="31" spans="1:11" s="40" customFormat="1" ht="20" customHeight="1">
      <c r="A31" s="198"/>
      <c r="B31" s="3" t="s">
        <v>40</v>
      </c>
      <c r="C31" s="5">
        <f>(หลังริม!C31*1)+(หลังกลาง!C31*6)</f>
        <v>0</v>
      </c>
      <c r="D31" s="6"/>
      <c r="E31" s="48"/>
      <c r="F31" s="4"/>
      <c r="G31" s="8"/>
      <c r="H31" s="8"/>
      <c r="I31" s="8"/>
      <c r="J31" s="4"/>
    </row>
    <row r="32" spans="1:11" s="40" customFormat="1" ht="20" customHeight="1">
      <c r="A32" s="198"/>
      <c r="B32" s="4" t="s">
        <v>41</v>
      </c>
      <c r="C32" s="5">
        <f>(หลังริม!C32*1)+(หลังกลาง!C32*6)</f>
        <v>0.1295</v>
      </c>
      <c r="D32" s="6" t="s">
        <v>42</v>
      </c>
      <c r="E32" s="11">
        <v>64</v>
      </c>
      <c r="F32" s="5">
        <f>C32*1000/2.22*E32</f>
        <v>3733.333333333333</v>
      </c>
      <c r="G32" s="5">
        <v>0</v>
      </c>
      <c r="H32" s="5">
        <f>G32*C32</f>
        <v>0</v>
      </c>
      <c r="I32" s="49">
        <f>H32+F32</f>
        <v>3733.333333333333</v>
      </c>
      <c r="J32" s="4"/>
    </row>
    <row r="33" spans="1:11" s="40" customFormat="1" ht="20" customHeight="1">
      <c r="A33" s="198"/>
      <c r="B33" s="4" t="s">
        <v>43</v>
      </c>
      <c r="C33" s="5">
        <f>(หลังริม!C33*1)+(หลังกลาง!C33*6)</f>
        <v>0.37840833333333335</v>
      </c>
      <c r="D33" s="6" t="s">
        <v>42</v>
      </c>
      <c r="E33" s="11">
        <v>137</v>
      </c>
      <c r="F33" s="5">
        <f>C33*1000/4.99*E33</f>
        <v>10389.166666666666</v>
      </c>
      <c r="G33" s="5">
        <v>0</v>
      </c>
      <c r="H33" s="5">
        <f t="shared" ref="H33:H36" si="13">G33*C33</f>
        <v>0</v>
      </c>
      <c r="I33" s="49">
        <f t="shared" ref="I33:I36" si="14">H33+F33</f>
        <v>10389.166666666666</v>
      </c>
      <c r="J33" s="4"/>
    </row>
    <row r="34" spans="1:11" s="40" customFormat="1" ht="20" customHeight="1">
      <c r="A34" s="198"/>
      <c r="B34" s="4" t="s">
        <v>44</v>
      </c>
      <c r="C34" s="5">
        <f>(หลังริม!C34*1)+(หลังกลาง!C34*6)</f>
        <v>2.2274000000000003</v>
      </c>
      <c r="D34" s="6" t="s">
        <v>42</v>
      </c>
      <c r="E34" s="11">
        <v>240</v>
      </c>
      <c r="F34" s="5">
        <f>C34*1000/8.88*E34</f>
        <v>60199.999999999993</v>
      </c>
      <c r="G34" s="5">
        <v>0</v>
      </c>
      <c r="H34" s="5">
        <f t="shared" si="13"/>
        <v>0</v>
      </c>
      <c r="I34" s="49">
        <f t="shared" si="14"/>
        <v>60199.999999999993</v>
      </c>
      <c r="J34" s="4"/>
    </row>
    <row r="35" spans="1:11" s="40" customFormat="1" ht="20" customHeight="1">
      <c r="A35" s="198"/>
      <c r="B35" s="4" t="s">
        <v>45</v>
      </c>
      <c r="C35" s="5">
        <f>(หลังริม!C35*1)+(หลังกลาง!C35*6)</f>
        <v>0</v>
      </c>
      <c r="D35" s="6" t="s">
        <v>42</v>
      </c>
      <c r="E35" s="11">
        <v>425</v>
      </c>
      <c r="F35" s="5">
        <f>C35*1000/15.78*E35</f>
        <v>0</v>
      </c>
      <c r="G35" s="5">
        <v>0</v>
      </c>
      <c r="H35" s="5">
        <f t="shared" si="13"/>
        <v>0</v>
      </c>
      <c r="I35" s="49">
        <f t="shared" si="14"/>
        <v>0</v>
      </c>
      <c r="J35" s="4"/>
    </row>
    <row r="36" spans="1:11" s="40" customFormat="1" ht="20" customHeight="1">
      <c r="A36" s="198"/>
      <c r="B36" s="4" t="s">
        <v>46</v>
      </c>
      <c r="C36" s="5">
        <f>(หลังริม!C36*1)+(หลังกลาง!C36*6)</f>
        <v>0</v>
      </c>
      <c r="D36" s="6" t="s">
        <v>30</v>
      </c>
      <c r="E36" s="11">
        <v>0</v>
      </c>
      <c r="F36" s="5">
        <f t="shared" ref="F36" si="15">E36*C36</f>
        <v>0</v>
      </c>
      <c r="G36" s="5">
        <v>0</v>
      </c>
      <c r="H36" s="5">
        <f t="shared" si="13"/>
        <v>0</v>
      </c>
      <c r="I36" s="49">
        <f t="shared" si="14"/>
        <v>0</v>
      </c>
      <c r="J36" s="4"/>
    </row>
    <row r="37" spans="1:11" s="50" customFormat="1" ht="20" customHeight="1">
      <c r="A37" s="199"/>
      <c r="B37" s="12" t="s">
        <v>47</v>
      </c>
      <c r="C37" s="5">
        <f>(หลังริม!C37*1)+(หลังกลาง!C37*6)</f>
        <v>0</v>
      </c>
      <c r="D37" s="12"/>
      <c r="E37" s="21"/>
      <c r="F37" s="18">
        <f>SUM(F32:F36)</f>
        <v>74322.5</v>
      </c>
      <c r="G37" s="18"/>
      <c r="H37" s="18">
        <f t="shared" ref="H37:I37" si="16">SUM(H32:H36)</f>
        <v>0</v>
      </c>
      <c r="I37" s="18">
        <f t="shared" si="16"/>
        <v>74322.5</v>
      </c>
      <c r="J37" s="13"/>
      <c r="K37" s="151">
        <f>H37+F37</f>
        <v>74322.5</v>
      </c>
    </row>
    <row r="38" spans="1:11" s="40" customFormat="1" ht="20" customHeight="1">
      <c r="A38" s="198"/>
      <c r="B38" s="3" t="s">
        <v>48</v>
      </c>
      <c r="C38" s="5">
        <f>(หลังริม!C38*1)+(หลังกลาง!C38*6)</f>
        <v>0</v>
      </c>
      <c r="D38" s="6"/>
      <c r="E38" s="48"/>
      <c r="F38" s="4"/>
      <c r="G38" s="4"/>
      <c r="H38" s="4"/>
      <c r="I38" s="4"/>
      <c r="J38" s="4"/>
    </row>
    <row r="39" spans="1:11" s="40" customFormat="1" ht="20" customHeight="1">
      <c r="A39" s="198"/>
      <c r="B39" s="4" t="s">
        <v>43</v>
      </c>
      <c r="C39" s="5">
        <f>(หลังริม!C39*1)+(หลังกลาง!C39*6)</f>
        <v>0.34883333333333333</v>
      </c>
      <c r="D39" s="6" t="s">
        <v>42</v>
      </c>
      <c r="E39" s="11">
        <v>137</v>
      </c>
      <c r="F39" s="5">
        <f>C39*1000/4.99*E39</f>
        <v>9577.1877087508328</v>
      </c>
      <c r="G39" s="20">
        <v>0</v>
      </c>
      <c r="H39" s="5">
        <f>G39*C39</f>
        <v>0</v>
      </c>
      <c r="I39" s="49">
        <f>H39+F39</f>
        <v>9577.1877087508328</v>
      </c>
      <c r="J39" s="4"/>
    </row>
    <row r="40" spans="1:11" s="40" customFormat="1" ht="20" customHeight="1">
      <c r="A40" s="198"/>
      <c r="B40" s="4" t="s">
        <v>44</v>
      </c>
      <c r="C40" s="5">
        <f>(หลังริม!C40*1)+(หลังกลาง!C40*6)</f>
        <v>0.6183333333333334</v>
      </c>
      <c r="D40" s="6" t="s">
        <v>42</v>
      </c>
      <c r="E40" s="11">
        <v>240</v>
      </c>
      <c r="F40" s="5">
        <f>C40*1000/8.88*E40</f>
        <v>16711.711711711712</v>
      </c>
      <c r="G40" s="20">
        <v>0</v>
      </c>
      <c r="H40" s="5">
        <f t="shared" ref="H40:H43" si="17">G40*C40</f>
        <v>0</v>
      </c>
      <c r="I40" s="49">
        <f>H40+F40</f>
        <v>16711.711711711712</v>
      </c>
      <c r="J40" s="4"/>
    </row>
    <row r="41" spans="1:11" s="40" customFormat="1" ht="20" customHeight="1">
      <c r="A41" s="6"/>
      <c r="B41" s="4" t="s">
        <v>111</v>
      </c>
      <c r="C41" s="5">
        <f>(หลังริม!C41*1)+(หลังกลาง!C41*6)</f>
        <v>68.833333333333329</v>
      </c>
      <c r="D41" s="6" t="s">
        <v>16</v>
      </c>
      <c r="E41" s="11">
        <v>1600</v>
      </c>
      <c r="F41" s="5">
        <f>E41*C41</f>
        <v>110133.33333333333</v>
      </c>
      <c r="G41" s="20">
        <v>0</v>
      </c>
      <c r="H41" s="5">
        <f t="shared" si="17"/>
        <v>0</v>
      </c>
      <c r="I41" s="49">
        <f t="shared" ref="I41:I43" si="18">H41+F41</f>
        <v>110133.33333333333</v>
      </c>
      <c r="J41" s="4"/>
    </row>
    <row r="42" spans="1:11" s="40" customFormat="1" ht="20" customHeight="1">
      <c r="A42" s="6"/>
      <c r="B42" s="4" t="s">
        <v>49</v>
      </c>
      <c r="C42" s="5">
        <f>(หลังริม!C42*1)+(หลังกลาง!C42*6)</f>
        <v>700</v>
      </c>
      <c r="D42" s="6" t="s">
        <v>32</v>
      </c>
      <c r="E42" s="11">
        <v>74.2</v>
      </c>
      <c r="F42" s="5">
        <f>E42*C42</f>
        <v>51940</v>
      </c>
      <c r="G42" s="20">
        <v>0</v>
      </c>
      <c r="H42" s="5">
        <f t="shared" si="17"/>
        <v>0</v>
      </c>
      <c r="I42" s="49">
        <f t="shared" si="18"/>
        <v>51940</v>
      </c>
      <c r="J42" s="4"/>
    </row>
    <row r="43" spans="1:11" s="40" customFormat="1" ht="20" customHeight="1">
      <c r="A43" s="198"/>
      <c r="B43" s="4" t="s">
        <v>287</v>
      </c>
      <c r="C43" s="5">
        <f>(หลังริม!C43*1)+(หลังกลาง!C43*6)</f>
        <v>700</v>
      </c>
      <c r="D43" s="6" t="s">
        <v>32</v>
      </c>
      <c r="E43" s="11">
        <v>0</v>
      </c>
      <c r="F43" s="5">
        <v>0</v>
      </c>
      <c r="G43" s="20">
        <v>115</v>
      </c>
      <c r="H43" s="5">
        <f t="shared" si="17"/>
        <v>80500</v>
      </c>
      <c r="I43" s="49">
        <f t="shared" si="18"/>
        <v>80500</v>
      </c>
      <c r="J43" s="4"/>
    </row>
    <row r="44" spans="1:11" s="50" customFormat="1" ht="20" customHeight="1" thickBot="1">
      <c r="A44" s="12"/>
      <c r="B44" s="12" t="s">
        <v>50</v>
      </c>
      <c r="C44" s="5">
        <f>(หลังริม!C44*1)+(หลังกลาง!C44*6)</f>
        <v>0</v>
      </c>
      <c r="D44" s="12"/>
      <c r="E44" s="21"/>
      <c r="F44" s="18">
        <f>SUM(F39:F43)</f>
        <v>188362.23275379586</v>
      </c>
      <c r="G44" s="18"/>
      <c r="H44" s="18">
        <f t="shared" ref="H44:I44" si="19">SUM(H39:H43)</f>
        <v>80500</v>
      </c>
      <c r="I44" s="18">
        <f t="shared" si="19"/>
        <v>268862.23275379586</v>
      </c>
      <c r="J44" s="13"/>
      <c r="K44" s="151">
        <f>H44+F44</f>
        <v>268862.23275379586</v>
      </c>
    </row>
    <row r="45" spans="1:11" s="40" customFormat="1" ht="20" customHeight="1" thickTop="1">
      <c r="A45" s="200"/>
      <c r="B45" s="22" t="s">
        <v>51</v>
      </c>
      <c r="C45" s="5">
        <f>(หลังริม!C45*1)+(หลังกลาง!C45*6)</f>
        <v>0</v>
      </c>
      <c r="D45" s="187"/>
      <c r="E45" s="51"/>
      <c r="F45" s="23"/>
      <c r="G45" s="23"/>
      <c r="H45" s="23"/>
      <c r="I45" s="23"/>
      <c r="J45" s="23"/>
    </row>
    <row r="46" spans="1:11" s="40" customFormat="1" ht="20" customHeight="1">
      <c r="A46" s="198"/>
      <c r="B46" s="4" t="s">
        <v>52</v>
      </c>
      <c r="C46" s="5">
        <f>(หลังริม!C46*1)+(หลังกลาง!C46*6)</f>
        <v>14</v>
      </c>
      <c r="D46" s="6" t="s">
        <v>53</v>
      </c>
      <c r="E46" s="11">
        <v>225</v>
      </c>
      <c r="F46" s="5">
        <f>E46*C46</f>
        <v>3150</v>
      </c>
      <c r="G46" s="20">
        <v>0</v>
      </c>
      <c r="H46" s="5">
        <f>G46*C46</f>
        <v>0</v>
      </c>
      <c r="I46" s="49">
        <f>H46+F46</f>
        <v>3150</v>
      </c>
      <c r="J46" s="24"/>
    </row>
    <row r="47" spans="1:11" s="40" customFormat="1" ht="20" customHeight="1">
      <c r="A47" s="198"/>
      <c r="B47" s="4" t="s">
        <v>54</v>
      </c>
      <c r="C47" s="5">
        <f>(หลังริม!C47*1)+(หลังกลาง!C47*6)</f>
        <v>85.166666666666671</v>
      </c>
      <c r="D47" s="6" t="s">
        <v>53</v>
      </c>
      <c r="E47" s="11">
        <v>500</v>
      </c>
      <c r="F47" s="5">
        <f t="shared" ref="F47:F64" si="20">E47*C47</f>
        <v>42583.333333333336</v>
      </c>
      <c r="G47" s="20">
        <v>0</v>
      </c>
      <c r="H47" s="5">
        <f t="shared" ref="H47:H64" si="21">G47*C47</f>
        <v>0</v>
      </c>
      <c r="I47" s="49">
        <f t="shared" ref="I47:I64" si="22">H47+F47</f>
        <v>42583.333333333336</v>
      </c>
      <c r="J47" s="24"/>
    </row>
    <row r="48" spans="1:11" s="40" customFormat="1" ht="20" customHeight="1">
      <c r="A48" s="6"/>
      <c r="B48" s="4" t="s">
        <v>112</v>
      </c>
      <c r="C48" s="5">
        <f>(หลังริม!C48*1)+(หลังกลาง!C48*6)</f>
        <v>53.666666666666664</v>
      </c>
      <c r="D48" s="6" t="s">
        <v>53</v>
      </c>
      <c r="E48" s="11">
        <v>650</v>
      </c>
      <c r="F48" s="5">
        <f t="shared" si="20"/>
        <v>34883.333333333328</v>
      </c>
      <c r="G48" s="20">
        <v>0</v>
      </c>
      <c r="H48" s="5">
        <f t="shared" si="21"/>
        <v>0</v>
      </c>
      <c r="I48" s="49">
        <f t="shared" si="22"/>
        <v>34883.333333333328</v>
      </c>
      <c r="J48" s="24"/>
    </row>
    <row r="49" spans="1:10" s="40" customFormat="1" ht="20" customHeight="1">
      <c r="A49" s="198"/>
      <c r="B49" s="4" t="s">
        <v>55</v>
      </c>
      <c r="C49" s="5">
        <f>(หลังริม!C49*1)+(หลังกลาง!C49*6)</f>
        <v>32.666666666666664</v>
      </c>
      <c r="D49" s="6" t="s">
        <v>53</v>
      </c>
      <c r="E49" s="11">
        <v>740</v>
      </c>
      <c r="F49" s="5">
        <f t="shared" si="20"/>
        <v>24173.333333333332</v>
      </c>
      <c r="G49" s="20">
        <v>0</v>
      </c>
      <c r="H49" s="5">
        <f t="shared" si="21"/>
        <v>0</v>
      </c>
      <c r="I49" s="49">
        <f t="shared" si="22"/>
        <v>24173.333333333332</v>
      </c>
      <c r="J49" s="24"/>
    </row>
    <row r="50" spans="1:10" s="40" customFormat="1" ht="20" customHeight="1">
      <c r="A50" s="198"/>
      <c r="B50" s="4" t="s">
        <v>56</v>
      </c>
      <c r="C50" s="5">
        <f>(หลังริม!C50*1)+(หลังกลาง!C50*6)</f>
        <v>2.3333333333333335</v>
      </c>
      <c r="D50" s="6" t="s">
        <v>53</v>
      </c>
      <c r="E50" s="11">
        <v>1900</v>
      </c>
      <c r="F50" s="5">
        <f t="shared" si="20"/>
        <v>4433.3333333333339</v>
      </c>
      <c r="G50" s="20">
        <v>0</v>
      </c>
      <c r="H50" s="5">
        <f t="shared" si="21"/>
        <v>0</v>
      </c>
      <c r="I50" s="49">
        <f t="shared" si="22"/>
        <v>4433.3333333333339</v>
      </c>
      <c r="J50" s="24"/>
    </row>
    <row r="51" spans="1:10" s="40" customFormat="1" ht="20" customHeight="1">
      <c r="A51" s="198"/>
      <c r="B51" s="4" t="s">
        <v>57</v>
      </c>
      <c r="C51" s="5">
        <f>(หลังริม!C51*1)+(หลังกลาง!C51*6)</f>
        <v>1.1666666666666667</v>
      </c>
      <c r="D51" s="6" t="s">
        <v>53</v>
      </c>
      <c r="E51" s="11">
        <v>905</v>
      </c>
      <c r="F51" s="5">
        <f t="shared" si="20"/>
        <v>1055.8333333333335</v>
      </c>
      <c r="G51" s="20">
        <v>0</v>
      </c>
      <c r="H51" s="5">
        <f t="shared" si="21"/>
        <v>0</v>
      </c>
      <c r="I51" s="49">
        <f t="shared" si="22"/>
        <v>1055.8333333333335</v>
      </c>
      <c r="J51" s="24"/>
    </row>
    <row r="52" spans="1:10" s="40" customFormat="1" ht="20" customHeight="1">
      <c r="A52" s="198"/>
      <c r="B52" s="4" t="s">
        <v>58</v>
      </c>
      <c r="C52" s="5">
        <f>(หลังริม!C52*1)+(หลังกลาง!C52*6)</f>
        <v>9.3333333333333339</v>
      </c>
      <c r="D52" s="6" t="s">
        <v>53</v>
      </c>
      <c r="E52" s="11">
        <v>1040</v>
      </c>
      <c r="F52" s="5">
        <f t="shared" si="20"/>
        <v>9706.6666666666679</v>
      </c>
      <c r="G52" s="20">
        <v>0</v>
      </c>
      <c r="H52" s="5">
        <f t="shared" si="21"/>
        <v>0</v>
      </c>
      <c r="I52" s="49">
        <f t="shared" si="22"/>
        <v>9706.6666666666679</v>
      </c>
      <c r="J52" s="24"/>
    </row>
    <row r="53" spans="1:10" s="40" customFormat="1" ht="20" customHeight="1">
      <c r="A53" s="198"/>
      <c r="B53" s="4" t="s">
        <v>59</v>
      </c>
      <c r="C53" s="5">
        <f>(หลังริม!C53*1)+(หลังกลาง!C53*6)</f>
        <v>7</v>
      </c>
      <c r="D53" s="6" t="s">
        <v>60</v>
      </c>
      <c r="E53" s="11">
        <v>109</v>
      </c>
      <c r="F53" s="5">
        <f t="shared" si="20"/>
        <v>763</v>
      </c>
      <c r="G53" s="20">
        <v>0</v>
      </c>
      <c r="H53" s="5">
        <f t="shared" si="21"/>
        <v>0</v>
      </c>
      <c r="I53" s="49">
        <f t="shared" si="22"/>
        <v>763</v>
      </c>
      <c r="J53" s="24"/>
    </row>
    <row r="54" spans="1:10" s="40" customFormat="1" ht="20" customHeight="1">
      <c r="A54" s="6"/>
      <c r="B54" s="4" t="s">
        <v>61</v>
      </c>
      <c r="C54" s="5">
        <f>(หลังริม!C54*1)+(หลังกลาง!C54*6)</f>
        <v>16.333333333333332</v>
      </c>
      <c r="D54" s="6" t="s">
        <v>60</v>
      </c>
      <c r="E54" s="11">
        <v>53</v>
      </c>
      <c r="F54" s="5">
        <f t="shared" si="20"/>
        <v>865.66666666666663</v>
      </c>
      <c r="G54" s="20">
        <v>0</v>
      </c>
      <c r="H54" s="5">
        <f t="shared" si="21"/>
        <v>0</v>
      </c>
      <c r="I54" s="49">
        <f t="shared" si="22"/>
        <v>865.66666666666663</v>
      </c>
      <c r="J54" s="24"/>
    </row>
    <row r="55" spans="1:10" s="40" customFormat="1" ht="20" customHeight="1">
      <c r="A55" s="6"/>
      <c r="B55" s="4" t="s">
        <v>62</v>
      </c>
      <c r="C55" s="5">
        <f>(หลังริม!C55*1)+(หลังกลาง!C55*6)</f>
        <v>1.1666666666666667</v>
      </c>
      <c r="D55" s="6" t="s">
        <v>60</v>
      </c>
      <c r="E55" s="11">
        <v>670</v>
      </c>
      <c r="F55" s="5">
        <f t="shared" si="20"/>
        <v>781.66666666666674</v>
      </c>
      <c r="G55" s="20">
        <v>0</v>
      </c>
      <c r="H55" s="5">
        <f t="shared" si="21"/>
        <v>0</v>
      </c>
      <c r="I55" s="49">
        <f t="shared" si="22"/>
        <v>781.66666666666674</v>
      </c>
      <c r="J55" s="24"/>
    </row>
    <row r="56" spans="1:10" s="40" customFormat="1" ht="20" customHeight="1">
      <c r="A56" s="198"/>
      <c r="B56" s="4" t="s">
        <v>63</v>
      </c>
      <c r="C56" s="5">
        <f>(หลังริม!C56*1)+(หลังกลาง!C56*6)</f>
        <v>1.1666666666666667</v>
      </c>
      <c r="D56" s="6" t="s">
        <v>64</v>
      </c>
      <c r="E56" s="11">
        <v>1500</v>
      </c>
      <c r="F56" s="5">
        <f t="shared" si="20"/>
        <v>1750</v>
      </c>
      <c r="G56" s="20">
        <v>0</v>
      </c>
      <c r="H56" s="5">
        <f t="shared" si="21"/>
        <v>0</v>
      </c>
      <c r="I56" s="49">
        <f t="shared" si="22"/>
        <v>1750</v>
      </c>
      <c r="J56" s="4"/>
    </row>
    <row r="57" spans="1:10" s="40" customFormat="1" ht="20" customHeight="1">
      <c r="A57" s="198"/>
      <c r="B57" s="4" t="s">
        <v>65</v>
      </c>
      <c r="C57" s="5">
        <f>(หลังริม!C57*1)+(หลังกลาง!C57*6)</f>
        <v>7</v>
      </c>
      <c r="D57" s="6" t="s">
        <v>66</v>
      </c>
      <c r="E57" s="11">
        <v>1189</v>
      </c>
      <c r="F57" s="5">
        <f t="shared" si="20"/>
        <v>8323</v>
      </c>
      <c r="G57" s="20">
        <v>0</v>
      </c>
      <c r="H57" s="5">
        <f t="shared" si="21"/>
        <v>0</v>
      </c>
      <c r="I57" s="49">
        <f t="shared" si="22"/>
        <v>8323</v>
      </c>
      <c r="J57" s="4"/>
    </row>
    <row r="58" spans="1:10" s="40" customFormat="1" ht="20" customHeight="1">
      <c r="A58" s="198"/>
      <c r="B58" s="4" t="s">
        <v>67</v>
      </c>
      <c r="C58" s="5">
        <f>(หลังริม!C58*1)+(หลังกลาง!C58*6)</f>
        <v>11.666666666666666</v>
      </c>
      <c r="D58" s="6" t="s">
        <v>66</v>
      </c>
      <c r="E58" s="11">
        <v>499</v>
      </c>
      <c r="F58" s="5">
        <f t="shared" si="20"/>
        <v>5821.6666666666661</v>
      </c>
      <c r="G58" s="20">
        <v>0</v>
      </c>
      <c r="H58" s="5">
        <f t="shared" si="21"/>
        <v>0</v>
      </c>
      <c r="I58" s="49">
        <f t="shared" si="22"/>
        <v>5821.6666666666661</v>
      </c>
      <c r="J58" s="4"/>
    </row>
    <row r="59" spans="1:10" s="40" customFormat="1" ht="20" customHeight="1">
      <c r="A59" s="198"/>
      <c r="B59" s="4" t="s">
        <v>68</v>
      </c>
      <c r="C59" s="5">
        <f>(หลังริม!C59*1)+(หลังกลาง!C59*6)</f>
        <v>11.666666666666666</v>
      </c>
      <c r="D59" s="16" t="s">
        <v>69</v>
      </c>
      <c r="E59" s="11">
        <v>98</v>
      </c>
      <c r="F59" s="5">
        <f t="shared" si="20"/>
        <v>1143.3333333333333</v>
      </c>
      <c r="G59" s="20">
        <v>0</v>
      </c>
      <c r="H59" s="5">
        <f t="shared" si="21"/>
        <v>0</v>
      </c>
      <c r="I59" s="49">
        <f t="shared" si="22"/>
        <v>1143.3333333333333</v>
      </c>
      <c r="J59" s="4"/>
    </row>
    <row r="60" spans="1:10" s="40" customFormat="1" ht="20" customHeight="1">
      <c r="A60" s="198"/>
      <c r="B60" s="39" t="s">
        <v>255</v>
      </c>
      <c r="C60" s="5">
        <f>(หลังริม!C60*1)+(หลังกลาง!C60*6)</f>
        <v>520.83500000000004</v>
      </c>
      <c r="D60" s="27" t="s">
        <v>263</v>
      </c>
      <c r="E60" s="28">
        <v>0</v>
      </c>
      <c r="F60" s="5">
        <f t="shared" si="20"/>
        <v>0</v>
      </c>
      <c r="G60" s="11">
        <v>135</v>
      </c>
      <c r="H60" s="5">
        <f t="shared" si="21"/>
        <v>70312.725000000006</v>
      </c>
      <c r="I60" s="49">
        <f t="shared" si="22"/>
        <v>70312.725000000006</v>
      </c>
      <c r="J60" s="24"/>
    </row>
    <row r="61" spans="1:10" s="40" customFormat="1" ht="20" customHeight="1">
      <c r="A61" s="198"/>
      <c r="B61" s="4" t="s">
        <v>266</v>
      </c>
      <c r="C61" s="5">
        <f>(หลังริม!C61*1)+(หลังกลาง!C61*6)</f>
        <v>1</v>
      </c>
      <c r="D61" s="31" t="s">
        <v>264</v>
      </c>
      <c r="E61" s="28">
        <v>0</v>
      </c>
      <c r="F61" s="5">
        <f t="shared" si="20"/>
        <v>0</v>
      </c>
      <c r="G61" s="32">
        <v>1000</v>
      </c>
      <c r="H61" s="5">
        <f t="shared" si="21"/>
        <v>1000</v>
      </c>
      <c r="I61" s="49">
        <f t="shared" si="22"/>
        <v>1000</v>
      </c>
      <c r="J61" s="24"/>
    </row>
    <row r="62" spans="1:10" s="40" customFormat="1" ht="20" customHeight="1">
      <c r="A62" s="198"/>
      <c r="B62" s="4" t="s">
        <v>258</v>
      </c>
      <c r="C62" s="5">
        <f>(หลังริม!C62*1)+(หลังกลาง!C62*6)</f>
        <v>12.833333333333334</v>
      </c>
      <c r="D62" s="31" t="s">
        <v>21</v>
      </c>
      <c r="E62" s="28">
        <v>0</v>
      </c>
      <c r="F62" s="5">
        <f t="shared" si="20"/>
        <v>0</v>
      </c>
      <c r="G62" s="33">
        <v>300</v>
      </c>
      <c r="H62" s="5">
        <f t="shared" si="21"/>
        <v>3850</v>
      </c>
      <c r="I62" s="49">
        <f t="shared" si="22"/>
        <v>3850</v>
      </c>
      <c r="J62" s="24"/>
    </row>
    <row r="63" spans="1:10" s="40" customFormat="1" ht="20" customHeight="1">
      <c r="A63" s="6"/>
      <c r="B63" s="4" t="s">
        <v>267</v>
      </c>
      <c r="C63" s="5">
        <f>(หลังริม!C63*1)+(หลังกลาง!C63*6)</f>
        <v>9.3333333333333339</v>
      </c>
      <c r="D63" s="31" t="s">
        <v>21</v>
      </c>
      <c r="E63" s="28">
        <v>0</v>
      </c>
      <c r="F63" s="5">
        <f t="shared" si="20"/>
        <v>0</v>
      </c>
      <c r="G63" s="11">
        <v>500</v>
      </c>
      <c r="H63" s="5">
        <f t="shared" si="21"/>
        <v>4666.666666666667</v>
      </c>
      <c r="I63" s="49">
        <f t="shared" si="22"/>
        <v>4666.666666666667</v>
      </c>
      <c r="J63" s="24"/>
    </row>
    <row r="64" spans="1:10" s="40" customFormat="1" ht="20" customHeight="1">
      <c r="A64" s="6"/>
      <c r="B64" s="39" t="s">
        <v>268</v>
      </c>
      <c r="C64" s="5">
        <f>(หลังริม!C64*1)+(หลังกลาง!C64*6)</f>
        <v>28</v>
      </c>
      <c r="D64" s="34" t="s">
        <v>123</v>
      </c>
      <c r="E64" s="28">
        <v>0</v>
      </c>
      <c r="F64" s="5">
        <f t="shared" si="20"/>
        <v>0</v>
      </c>
      <c r="G64" s="11">
        <v>80</v>
      </c>
      <c r="H64" s="5">
        <f t="shared" si="21"/>
        <v>2240</v>
      </c>
      <c r="I64" s="49">
        <f t="shared" si="22"/>
        <v>2240</v>
      </c>
      <c r="J64" s="24"/>
    </row>
    <row r="65" spans="1:11" s="50" customFormat="1" ht="20" customHeight="1">
      <c r="A65" s="199"/>
      <c r="B65" s="12" t="s">
        <v>70</v>
      </c>
      <c r="C65" s="5">
        <f>(หลังริม!C65*1)+(หลังกลาง!C65*6)</f>
        <v>0</v>
      </c>
      <c r="D65" s="12"/>
      <c r="E65" s="100"/>
      <c r="F65" s="14">
        <f>SUM(F46:F64)</f>
        <v>139434.16666666666</v>
      </c>
      <c r="G65" s="14"/>
      <c r="H65" s="14">
        <f t="shared" ref="H65:I65" si="23">SUM(H46:H64)</f>
        <v>82069.391666666677</v>
      </c>
      <c r="I65" s="14">
        <f t="shared" si="23"/>
        <v>221503.55833333332</v>
      </c>
      <c r="J65" s="13"/>
      <c r="K65" s="151">
        <f>H65+F65</f>
        <v>221503.55833333335</v>
      </c>
    </row>
    <row r="66" spans="1:11" s="152" customFormat="1" ht="20" customHeight="1">
      <c r="A66" s="211">
        <v>1</v>
      </c>
      <c r="B66" s="36" t="s">
        <v>71</v>
      </c>
      <c r="C66" s="5">
        <f>(หลังริม!C66*1)+(หลังกลาง!C66*6)</f>
        <v>0</v>
      </c>
      <c r="D66" s="36" t="s">
        <v>11</v>
      </c>
      <c r="E66" s="37"/>
      <c r="F66" s="37">
        <f>F12+F16+F23+F30+F37+F44+F65</f>
        <v>776397.23275379592</v>
      </c>
      <c r="G66" s="37"/>
      <c r="H66" s="37">
        <f t="shared" ref="H66:I66" si="24">H12+H16+H23+H30+H37+H44+H65</f>
        <v>332173.39166666666</v>
      </c>
      <c r="I66" s="37">
        <f t="shared" si="24"/>
        <v>1108570.6244204626</v>
      </c>
      <c r="J66" s="38"/>
      <c r="K66" s="151">
        <f>H66+F66</f>
        <v>1108570.6244204626</v>
      </c>
    </row>
    <row r="67" spans="1:11" s="91" customFormat="1" ht="20" customHeight="1" thickBot="1">
      <c r="A67" s="205"/>
      <c r="B67" s="87"/>
      <c r="C67" s="5">
        <f>(หลังริม!C67*1)+(หลังกลาง!C67*6)</f>
        <v>0</v>
      </c>
      <c r="D67" s="87"/>
      <c r="E67" s="88"/>
      <c r="F67" s="88"/>
      <c r="G67" s="88"/>
      <c r="H67" s="88"/>
      <c r="I67" s="153"/>
      <c r="J67" s="89"/>
    </row>
    <row r="68" spans="1:11" s="69" customFormat="1" ht="20" customHeight="1" thickTop="1">
      <c r="A68" s="203">
        <v>2</v>
      </c>
      <c r="B68" s="66" t="s">
        <v>72</v>
      </c>
      <c r="C68" s="5">
        <f>(หลังริม!C68*1)+(หลังกลาง!C68*6)</f>
        <v>0</v>
      </c>
      <c r="D68" s="188"/>
      <c r="E68" s="68"/>
      <c r="F68" s="67"/>
      <c r="G68" s="67"/>
      <c r="H68" s="67"/>
      <c r="I68" s="67"/>
      <c r="J68" s="67"/>
    </row>
    <row r="69" spans="1:11" s="40" customFormat="1" ht="20" customHeight="1">
      <c r="A69" s="198"/>
      <c r="B69" s="3" t="s">
        <v>73</v>
      </c>
      <c r="C69" s="5">
        <f>(หลังริม!C69*1)+(หลังกลาง!C69*6)</f>
        <v>0</v>
      </c>
      <c r="D69" s="6"/>
      <c r="E69" s="48"/>
      <c r="F69" s="4"/>
      <c r="G69" s="4"/>
      <c r="H69" s="4"/>
      <c r="I69" s="4"/>
      <c r="J69" s="4"/>
    </row>
    <row r="70" spans="1:11" s="40" customFormat="1" ht="20" customHeight="1">
      <c r="A70" s="198"/>
      <c r="B70" s="4" t="s">
        <v>74</v>
      </c>
      <c r="C70" s="5">
        <f>(หลังริม!C70*1)+(หลังกลาง!C70*6)</f>
        <v>35</v>
      </c>
      <c r="D70" s="6" t="s">
        <v>53</v>
      </c>
      <c r="E70" s="11">
        <v>1090</v>
      </c>
      <c r="F70" s="5">
        <f>E70*C70</f>
        <v>38150</v>
      </c>
      <c r="G70" s="20">
        <v>0</v>
      </c>
      <c r="H70" s="5">
        <f>G70*C70</f>
        <v>0</v>
      </c>
      <c r="I70" s="49">
        <f>H70+F70</f>
        <v>38150</v>
      </c>
      <c r="J70" s="4"/>
    </row>
    <row r="71" spans="1:11" s="40" customFormat="1" ht="20" customHeight="1">
      <c r="A71" s="198"/>
      <c r="B71" s="4" t="s">
        <v>75</v>
      </c>
      <c r="C71" s="5">
        <f>(หลังริม!C71*1)+(หลังกลาง!C71*6)</f>
        <v>14</v>
      </c>
      <c r="D71" s="6" t="s">
        <v>53</v>
      </c>
      <c r="E71" s="11">
        <v>510</v>
      </c>
      <c r="F71" s="5">
        <f t="shared" ref="F71:F95" si="25">E71*C71</f>
        <v>7140</v>
      </c>
      <c r="G71" s="20">
        <v>0</v>
      </c>
      <c r="H71" s="5">
        <f t="shared" ref="H71:H95" si="26">G71*C71</f>
        <v>0</v>
      </c>
      <c r="I71" s="49">
        <f t="shared" ref="I71:I95" si="27">H71+F71</f>
        <v>7140</v>
      </c>
      <c r="J71" s="4"/>
    </row>
    <row r="72" spans="1:11" s="40" customFormat="1" ht="20" customHeight="1">
      <c r="A72" s="6"/>
      <c r="B72" s="4" t="s">
        <v>76</v>
      </c>
      <c r="C72" s="5">
        <f>(หลังริม!C72*1)+(หลังกลาง!C72*6)</f>
        <v>7</v>
      </c>
      <c r="D72" s="6" t="s">
        <v>53</v>
      </c>
      <c r="E72" s="11">
        <v>234</v>
      </c>
      <c r="F72" s="5">
        <f t="shared" si="25"/>
        <v>1638</v>
      </c>
      <c r="G72" s="20">
        <v>0</v>
      </c>
      <c r="H72" s="5">
        <f t="shared" si="26"/>
        <v>0</v>
      </c>
      <c r="I72" s="49">
        <f t="shared" si="27"/>
        <v>1638</v>
      </c>
      <c r="J72" s="4"/>
    </row>
    <row r="73" spans="1:11" s="40" customFormat="1" ht="20" customHeight="1">
      <c r="A73" s="198"/>
      <c r="B73" s="4" t="s">
        <v>77</v>
      </c>
      <c r="C73" s="5">
        <f>(หลังริม!C73*1)+(หลังกลาง!C73*6)</f>
        <v>14</v>
      </c>
      <c r="D73" s="6" t="s">
        <v>53</v>
      </c>
      <c r="E73" s="11">
        <v>144</v>
      </c>
      <c r="F73" s="5">
        <f t="shared" si="25"/>
        <v>2016</v>
      </c>
      <c r="G73" s="20">
        <v>0</v>
      </c>
      <c r="H73" s="5">
        <f t="shared" si="26"/>
        <v>0</v>
      </c>
      <c r="I73" s="49">
        <f t="shared" si="27"/>
        <v>2016</v>
      </c>
      <c r="J73" s="4"/>
    </row>
    <row r="74" spans="1:11" s="40" customFormat="1" ht="20" customHeight="1">
      <c r="A74" s="198"/>
      <c r="B74" s="4" t="s">
        <v>78</v>
      </c>
      <c r="C74" s="5">
        <f>(หลังริม!C74*1)+(หลังกลาง!C74*6)</f>
        <v>7</v>
      </c>
      <c r="D74" s="6" t="s">
        <v>53</v>
      </c>
      <c r="E74" s="11">
        <v>53</v>
      </c>
      <c r="F74" s="5">
        <f t="shared" si="25"/>
        <v>371</v>
      </c>
      <c r="G74" s="20">
        <v>0</v>
      </c>
      <c r="H74" s="5">
        <f t="shared" si="26"/>
        <v>0</v>
      </c>
      <c r="I74" s="49">
        <f t="shared" si="27"/>
        <v>371</v>
      </c>
      <c r="J74" s="4"/>
    </row>
    <row r="75" spans="1:11" s="40" customFormat="1" ht="20" customHeight="1">
      <c r="A75" s="6"/>
      <c r="B75" s="4" t="s">
        <v>79</v>
      </c>
      <c r="C75" s="5">
        <f>(หลังริม!C75*1)+(หลังกลาง!C75*6)</f>
        <v>7</v>
      </c>
      <c r="D75" s="6" t="s">
        <v>53</v>
      </c>
      <c r="E75" s="11">
        <v>48</v>
      </c>
      <c r="F75" s="5">
        <f t="shared" si="25"/>
        <v>336</v>
      </c>
      <c r="G75" s="20">
        <v>0</v>
      </c>
      <c r="H75" s="5">
        <f t="shared" si="26"/>
        <v>0</v>
      </c>
      <c r="I75" s="49">
        <f t="shared" si="27"/>
        <v>336</v>
      </c>
      <c r="J75" s="4"/>
    </row>
    <row r="76" spans="1:11" s="40" customFormat="1" ht="20" customHeight="1">
      <c r="A76" s="6"/>
      <c r="B76" s="4" t="s">
        <v>80</v>
      </c>
      <c r="C76" s="5">
        <f>(หลังริม!C76*1)+(หลังกลาง!C76*6)</f>
        <v>7</v>
      </c>
      <c r="D76" s="6" t="s">
        <v>53</v>
      </c>
      <c r="E76" s="11">
        <v>64</v>
      </c>
      <c r="F76" s="5">
        <f t="shared" si="25"/>
        <v>448</v>
      </c>
      <c r="G76" s="20">
        <v>0</v>
      </c>
      <c r="H76" s="5">
        <f t="shared" si="26"/>
        <v>0</v>
      </c>
      <c r="I76" s="49">
        <f t="shared" si="27"/>
        <v>448</v>
      </c>
      <c r="J76" s="4"/>
    </row>
    <row r="77" spans="1:11" s="40" customFormat="1" ht="20" customHeight="1">
      <c r="A77" s="198"/>
      <c r="B77" s="4" t="s">
        <v>81</v>
      </c>
      <c r="C77" s="5">
        <f>(หลังริม!C77*1)+(หลังกลาง!C77*6)</f>
        <v>7</v>
      </c>
      <c r="D77" s="6" t="s">
        <v>82</v>
      </c>
      <c r="E77" s="11">
        <v>84.6</v>
      </c>
      <c r="F77" s="5">
        <f t="shared" si="25"/>
        <v>592.19999999999993</v>
      </c>
      <c r="G77" s="20">
        <v>0</v>
      </c>
      <c r="H77" s="5">
        <f t="shared" si="26"/>
        <v>0</v>
      </c>
      <c r="I77" s="49">
        <f t="shared" si="27"/>
        <v>592.19999999999993</v>
      </c>
      <c r="J77" s="4"/>
    </row>
    <row r="78" spans="1:11" s="40" customFormat="1" ht="20" customHeight="1">
      <c r="A78" s="198"/>
      <c r="B78" s="4" t="s">
        <v>83</v>
      </c>
      <c r="C78" s="5">
        <f>(หลังริม!C78*1)+(หลังกลาง!C78*6)</f>
        <v>21</v>
      </c>
      <c r="D78" s="6" t="s">
        <v>82</v>
      </c>
      <c r="E78" s="11">
        <v>84.6</v>
      </c>
      <c r="F78" s="5">
        <f t="shared" si="25"/>
        <v>1776.6</v>
      </c>
      <c r="G78" s="20">
        <v>0</v>
      </c>
      <c r="H78" s="5">
        <f t="shared" si="26"/>
        <v>0</v>
      </c>
      <c r="I78" s="49">
        <f t="shared" si="27"/>
        <v>1776.6</v>
      </c>
      <c r="J78" s="4"/>
    </row>
    <row r="79" spans="1:11" s="40" customFormat="1" ht="20" customHeight="1">
      <c r="A79" s="198"/>
      <c r="B79" s="4" t="s">
        <v>84</v>
      </c>
      <c r="C79" s="5">
        <f>(หลังริม!C79*1)+(หลังกลาง!C79*6)</f>
        <v>28</v>
      </c>
      <c r="D79" s="6" t="s">
        <v>82</v>
      </c>
      <c r="E79" s="11">
        <v>22.8</v>
      </c>
      <c r="F79" s="5">
        <f t="shared" si="25"/>
        <v>638.4</v>
      </c>
      <c r="G79" s="20">
        <v>0</v>
      </c>
      <c r="H79" s="5">
        <f t="shared" si="26"/>
        <v>0</v>
      </c>
      <c r="I79" s="49">
        <f t="shared" si="27"/>
        <v>638.4</v>
      </c>
      <c r="J79" s="4"/>
    </row>
    <row r="80" spans="1:11" s="40" customFormat="1" ht="20" customHeight="1">
      <c r="A80" s="198"/>
      <c r="B80" s="4" t="s">
        <v>85</v>
      </c>
      <c r="C80" s="5">
        <f>(หลังริม!C80*1)+(หลังกลาง!C80*6)</f>
        <v>14</v>
      </c>
      <c r="D80" s="6" t="s">
        <v>82</v>
      </c>
      <c r="E80" s="11">
        <v>31.3</v>
      </c>
      <c r="F80" s="5">
        <f t="shared" si="25"/>
        <v>438.2</v>
      </c>
      <c r="G80" s="20">
        <v>0</v>
      </c>
      <c r="H80" s="5">
        <f t="shared" si="26"/>
        <v>0</v>
      </c>
      <c r="I80" s="49">
        <f t="shared" si="27"/>
        <v>438.2</v>
      </c>
      <c r="J80" s="4"/>
    </row>
    <row r="81" spans="1:11" s="40" customFormat="1" ht="20" customHeight="1">
      <c r="A81" s="198"/>
      <c r="B81" s="4" t="s">
        <v>86</v>
      </c>
      <c r="C81" s="5">
        <f>(หลังริม!C81*1)+(หลังกลาง!C81*6)</f>
        <v>28</v>
      </c>
      <c r="D81" s="6" t="s">
        <v>82</v>
      </c>
      <c r="E81" s="11">
        <v>13.9</v>
      </c>
      <c r="F81" s="5">
        <f t="shared" si="25"/>
        <v>389.2</v>
      </c>
      <c r="G81" s="20">
        <v>0</v>
      </c>
      <c r="H81" s="5">
        <f t="shared" si="26"/>
        <v>0</v>
      </c>
      <c r="I81" s="49">
        <f t="shared" si="27"/>
        <v>389.2</v>
      </c>
      <c r="J81" s="4"/>
    </row>
    <row r="82" spans="1:11" s="40" customFormat="1" ht="20" customHeight="1">
      <c r="A82" s="198"/>
      <c r="B82" s="4" t="s">
        <v>87</v>
      </c>
      <c r="C82" s="5">
        <f>(หลังริม!C82*1)+(หลังกลาง!C82*6)</f>
        <v>7</v>
      </c>
      <c r="D82" s="6" t="s">
        <v>82</v>
      </c>
      <c r="E82" s="11">
        <v>8.0500000000000007</v>
      </c>
      <c r="F82" s="5">
        <f t="shared" si="25"/>
        <v>56.350000000000009</v>
      </c>
      <c r="G82" s="20">
        <v>0</v>
      </c>
      <c r="H82" s="5">
        <f t="shared" si="26"/>
        <v>0</v>
      </c>
      <c r="I82" s="49">
        <f t="shared" si="27"/>
        <v>56.350000000000009</v>
      </c>
      <c r="J82" s="4"/>
    </row>
    <row r="83" spans="1:11" s="40" customFormat="1" ht="20" customHeight="1">
      <c r="A83" s="198"/>
      <c r="B83" s="4" t="s">
        <v>88</v>
      </c>
      <c r="C83" s="5">
        <f>(หลังริม!C83*1)+(หลังกลาง!C83*6)</f>
        <v>14</v>
      </c>
      <c r="D83" s="6" t="s">
        <v>82</v>
      </c>
      <c r="E83" s="11">
        <v>18.600000000000001</v>
      </c>
      <c r="F83" s="5">
        <f t="shared" si="25"/>
        <v>260.40000000000003</v>
      </c>
      <c r="G83" s="20">
        <v>0</v>
      </c>
      <c r="H83" s="5">
        <f t="shared" si="26"/>
        <v>0</v>
      </c>
      <c r="I83" s="49">
        <f t="shared" si="27"/>
        <v>260.40000000000003</v>
      </c>
      <c r="J83" s="4"/>
    </row>
    <row r="84" spans="1:11" s="40" customFormat="1" ht="20" customHeight="1">
      <c r="A84" s="198"/>
      <c r="B84" s="4" t="s">
        <v>89</v>
      </c>
      <c r="C84" s="5">
        <f>(หลังริม!C84*1)+(หลังกลาง!C84*6)</f>
        <v>7</v>
      </c>
      <c r="D84" s="6" t="s">
        <v>82</v>
      </c>
      <c r="E84" s="11">
        <v>13.8</v>
      </c>
      <c r="F84" s="5">
        <f t="shared" si="25"/>
        <v>96.600000000000009</v>
      </c>
      <c r="G84" s="20">
        <v>0</v>
      </c>
      <c r="H84" s="5">
        <f t="shared" si="26"/>
        <v>0</v>
      </c>
      <c r="I84" s="49">
        <f t="shared" si="27"/>
        <v>96.600000000000009</v>
      </c>
      <c r="J84" s="4"/>
    </row>
    <row r="85" spans="1:11" s="40" customFormat="1" ht="20" customHeight="1">
      <c r="A85" s="198"/>
      <c r="B85" s="4" t="s">
        <v>90</v>
      </c>
      <c r="C85" s="5">
        <f>(หลังริม!C85*1)+(หลังกลาง!C85*6)</f>
        <v>7</v>
      </c>
      <c r="D85" s="6" t="s">
        <v>82</v>
      </c>
      <c r="E85" s="11">
        <v>15</v>
      </c>
      <c r="F85" s="5">
        <f t="shared" si="25"/>
        <v>105</v>
      </c>
      <c r="G85" s="20">
        <v>0</v>
      </c>
      <c r="H85" s="5">
        <f t="shared" si="26"/>
        <v>0</v>
      </c>
      <c r="I85" s="49">
        <f t="shared" si="27"/>
        <v>105</v>
      </c>
      <c r="J85" s="4"/>
    </row>
    <row r="86" spans="1:11" s="40" customFormat="1" ht="20" customHeight="1">
      <c r="A86" s="198"/>
      <c r="B86" s="4" t="s">
        <v>91</v>
      </c>
      <c r="C86" s="5">
        <f>(หลังริม!C86*1)+(หลังกลาง!C86*6)</f>
        <v>7</v>
      </c>
      <c r="D86" s="6" t="s">
        <v>82</v>
      </c>
      <c r="E86" s="11">
        <v>13</v>
      </c>
      <c r="F86" s="5">
        <f t="shared" si="25"/>
        <v>91</v>
      </c>
      <c r="G86" s="20">
        <v>0</v>
      </c>
      <c r="H86" s="5">
        <f t="shared" si="26"/>
        <v>0</v>
      </c>
      <c r="I86" s="49">
        <f t="shared" si="27"/>
        <v>91</v>
      </c>
      <c r="J86" s="4"/>
    </row>
    <row r="87" spans="1:11" s="40" customFormat="1" ht="20" customHeight="1">
      <c r="A87" s="198"/>
      <c r="B87" s="4" t="s">
        <v>92</v>
      </c>
      <c r="C87" s="5">
        <f>(หลังริม!C87*1)+(หลังกลาง!C87*6)</f>
        <v>7</v>
      </c>
      <c r="D87" s="6" t="s">
        <v>82</v>
      </c>
      <c r="E87" s="11">
        <v>12</v>
      </c>
      <c r="F87" s="5">
        <f t="shared" si="25"/>
        <v>84</v>
      </c>
      <c r="G87" s="20">
        <v>0</v>
      </c>
      <c r="H87" s="5">
        <f t="shared" si="26"/>
        <v>0</v>
      </c>
      <c r="I87" s="49">
        <f t="shared" si="27"/>
        <v>84</v>
      </c>
      <c r="J87" s="4"/>
    </row>
    <row r="88" spans="1:11" s="40" customFormat="1" ht="20" customHeight="1">
      <c r="A88" s="198"/>
      <c r="B88" s="4" t="s">
        <v>93</v>
      </c>
      <c r="C88" s="5">
        <f>(หลังริม!C88*1)+(หลังกลาง!C88*6)</f>
        <v>7</v>
      </c>
      <c r="D88" s="6" t="s">
        <v>82</v>
      </c>
      <c r="E88" s="11">
        <v>4.7</v>
      </c>
      <c r="F88" s="5">
        <f t="shared" si="25"/>
        <v>32.9</v>
      </c>
      <c r="G88" s="20">
        <v>0</v>
      </c>
      <c r="H88" s="5">
        <f t="shared" si="26"/>
        <v>0</v>
      </c>
      <c r="I88" s="49">
        <f t="shared" si="27"/>
        <v>32.9</v>
      </c>
      <c r="J88" s="4"/>
    </row>
    <row r="89" spans="1:11" s="40" customFormat="1" ht="20" customHeight="1">
      <c r="A89" s="6"/>
      <c r="B89" s="4" t="s">
        <v>94</v>
      </c>
      <c r="C89" s="5">
        <f>(หลังริม!C89*1)+(หลังกลาง!C89*6)</f>
        <v>8.75</v>
      </c>
      <c r="D89" s="6" t="s">
        <v>95</v>
      </c>
      <c r="E89" s="11">
        <v>434</v>
      </c>
      <c r="F89" s="5">
        <f t="shared" si="25"/>
        <v>3797.5</v>
      </c>
      <c r="G89" s="20">
        <v>0</v>
      </c>
      <c r="H89" s="5">
        <f t="shared" si="26"/>
        <v>0</v>
      </c>
      <c r="I89" s="49">
        <f t="shared" si="27"/>
        <v>3797.5</v>
      </c>
      <c r="J89" s="4"/>
    </row>
    <row r="90" spans="1:11" s="40" customFormat="1" ht="20" customHeight="1">
      <c r="A90" s="6"/>
      <c r="B90" s="4" t="s">
        <v>96</v>
      </c>
      <c r="C90" s="5">
        <f>(หลังริม!C90*1)+(หลังกลาง!C90*6)</f>
        <v>7</v>
      </c>
      <c r="D90" s="6" t="s">
        <v>66</v>
      </c>
      <c r="E90" s="11">
        <v>3600</v>
      </c>
      <c r="F90" s="5">
        <f t="shared" si="25"/>
        <v>25200</v>
      </c>
      <c r="G90" s="20">
        <v>0</v>
      </c>
      <c r="H90" s="5">
        <f t="shared" si="26"/>
        <v>0</v>
      </c>
      <c r="I90" s="49">
        <f t="shared" si="27"/>
        <v>25200</v>
      </c>
      <c r="J90" s="4"/>
    </row>
    <row r="91" spans="1:11" s="40" customFormat="1" ht="20" customHeight="1">
      <c r="A91" s="198"/>
      <c r="B91" s="3" t="s">
        <v>280</v>
      </c>
      <c r="C91" s="5">
        <f>(หลังริม!C91*1)+(หลังกลาง!C91*6)</f>
        <v>2.3333333333333335</v>
      </c>
      <c r="D91" s="6" t="s">
        <v>97</v>
      </c>
      <c r="E91" s="11">
        <v>600</v>
      </c>
      <c r="F91" s="5">
        <f t="shared" si="25"/>
        <v>1400</v>
      </c>
      <c r="G91" s="20">
        <v>0</v>
      </c>
      <c r="H91" s="5">
        <f t="shared" si="26"/>
        <v>0</v>
      </c>
      <c r="I91" s="49">
        <f t="shared" si="27"/>
        <v>1400</v>
      </c>
      <c r="J91" s="4"/>
    </row>
    <row r="92" spans="1:11" s="40" customFormat="1" ht="20" customHeight="1">
      <c r="A92" s="198"/>
      <c r="B92" s="4" t="s">
        <v>113</v>
      </c>
      <c r="C92" s="5">
        <f>(หลังริม!C92*1)+(หลังกลาง!C92*6)</f>
        <v>7</v>
      </c>
      <c r="D92" s="6" t="s">
        <v>66</v>
      </c>
      <c r="E92" s="11">
        <v>1100</v>
      </c>
      <c r="F92" s="5">
        <f t="shared" si="25"/>
        <v>7700</v>
      </c>
      <c r="G92" s="20">
        <v>0</v>
      </c>
      <c r="H92" s="5">
        <f t="shared" si="26"/>
        <v>0</v>
      </c>
      <c r="I92" s="49">
        <f t="shared" si="27"/>
        <v>7700</v>
      </c>
      <c r="J92" s="4"/>
    </row>
    <row r="93" spans="1:11" s="40" customFormat="1" ht="20" customHeight="1">
      <c r="A93" s="198"/>
      <c r="B93" s="4" t="s">
        <v>98</v>
      </c>
      <c r="C93" s="5">
        <f>(หลังริม!C93*1)+(หลังกลาง!C93*6)</f>
        <v>4.083333333333333</v>
      </c>
      <c r="D93" s="6" t="s">
        <v>97</v>
      </c>
      <c r="E93" s="11">
        <v>160</v>
      </c>
      <c r="F93" s="5">
        <f t="shared" si="25"/>
        <v>653.33333333333326</v>
      </c>
      <c r="G93" s="20">
        <v>0</v>
      </c>
      <c r="H93" s="5">
        <f t="shared" si="26"/>
        <v>0</v>
      </c>
      <c r="I93" s="49">
        <f t="shared" si="27"/>
        <v>653.33333333333326</v>
      </c>
      <c r="J93" s="4"/>
    </row>
    <row r="94" spans="1:11" s="40" customFormat="1" ht="20" customHeight="1">
      <c r="A94" s="6"/>
      <c r="B94" s="4" t="s">
        <v>99</v>
      </c>
      <c r="C94" s="5">
        <f>(หลังริม!C94*1)+(หลังกลาง!C94*6)</f>
        <v>14</v>
      </c>
      <c r="D94" s="6" t="s">
        <v>100</v>
      </c>
      <c r="E94" s="11">
        <v>108</v>
      </c>
      <c r="F94" s="5">
        <f t="shared" si="25"/>
        <v>1512</v>
      </c>
      <c r="G94" s="20">
        <v>0</v>
      </c>
      <c r="H94" s="5">
        <f t="shared" si="26"/>
        <v>0</v>
      </c>
      <c r="I94" s="49">
        <f t="shared" si="27"/>
        <v>1512</v>
      </c>
      <c r="J94" s="4"/>
    </row>
    <row r="95" spans="1:11" s="40" customFormat="1" ht="20" customHeight="1">
      <c r="A95" s="6"/>
      <c r="B95" s="4" t="s">
        <v>101</v>
      </c>
      <c r="C95" s="5">
        <f>(หลังริม!C95*1)+(หลังกลาง!C95*6)</f>
        <v>14</v>
      </c>
      <c r="D95" s="6" t="s">
        <v>102</v>
      </c>
      <c r="E95" s="11">
        <v>42</v>
      </c>
      <c r="F95" s="5">
        <f t="shared" si="25"/>
        <v>588</v>
      </c>
      <c r="G95" s="20">
        <v>0</v>
      </c>
      <c r="H95" s="5">
        <f t="shared" si="26"/>
        <v>0</v>
      </c>
      <c r="I95" s="49">
        <f t="shared" si="27"/>
        <v>588</v>
      </c>
      <c r="J95" s="4"/>
    </row>
    <row r="96" spans="1:11" s="50" customFormat="1" ht="20" customHeight="1">
      <c r="A96" s="199"/>
      <c r="B96" s="12" t="s">
        <v>103</v>
      </c>
      <c r="C96" s="5">
        <f>(หลังริม!C96*1)+(หลังกลาง!C96*6)</f>
        <v>0</v>
      </c>
      <c r="D96" s="12"/>
      <c r="E96" s="21"/>
      <c r="F96" s="18">
        <f>SUM(F70:F95)</f>
        <v>95510.68333333332</v>
      </c>
      <c r="G96" s="18"/>
      <c r="H96" s="18">
        <f t="shared" ref="H96:I96" si="28">SUM(H70:H95)</f>
        <v>0</v>
      </c>
      <c r="I96" s="18">
        <f t="shared" si="28"/>
        <v>95510.68333333332</v>
      </c>
      <c r="J96" s="13"/>
      <c r="K96" s="151">
        <f>H96+F96</f>
        <v>95510.68333333332</v>
      </c>
    </row>
    <row r="97" spans="1:11" s="40" customFormat="1" ht="20" customHeight="1">
      <c r="A97" s="6"/>
      <c r="B97" s="3" t="s">
        <v>114</v>
      </c>
      <c r="C97" s="5">
        <f>(หลังริม!C97*1)+(หลังกลาง!C97*6)</f>
        <v>0</v>
      </c>
      <c r="D97" s="6"/>
      <c r="E97" s="11"/>
      <c r="F97" s="5"/>
      <c r="G97" s="10"/>
      <c r="H97" s="5"/>
      <c r="I97" s="7"/>
      <c r="J97" s="4"/>
    </row>
    <row r="98" spans="1:11" s="40" customFormat="1" ht="20" customHeight="1">
      <c r="A98" s="198"/>
      <c r="B98" s="4" t="s">
        <v>104</v>
      </c>
      <c r="C98" s="5">
        <f>(หลังริม!C98*1)+(หลังกลาง!C98*6)</f>
        <v>7</v>
      </c>
      <c r="D98" s="6" t="s">
        <v>105</v>
      </c>
      <c r="E98" s="11">
        <v>109</v>
      </c>
      <c r="F98" s="5">
        <f>E98*C98</f>
        <v>763</v>
      </c>
      <c r="G98" s="20">
        <v>6000</v>
      </c>
      <c r="H98" s="5">
        <f t="shared" ref="H98:H99" si="29">G98*C98</f>
        <v>42000</v>
      </c>
      <c r="I98" s="49">
        <f t="shared" ref="I98:I99" si="30">H98+F98</f>
        <v>42763</v>
      </c>
      <c r="J98" s="4"/>
    </row>
    <row r="99" spans="1:11" s="40" customFormat="1" ht="20" customHeight="1">
      <c r="A99" s="198"/>
      <c r="B99" s="4" t="s">
        <v>106</v>
      </c>
      <c r="C99" s="5">
        <f>(หลังริม!C99*1)+(หลังกลาง!C99*6)</f>
        <v>23.333333333333332</v>
      </c>
      <c r="D99" s="6" t="s">
        <v>105</v>
      </c>
      <c r="E99" s="11">
        <v>75</v>
      </c>
      <c r="F99" s="5">
        <f>E99*C99</f>
        <v>1750</v>
      </c>
      <c r="G99" s="20">
        <v>0</v>
      </c>
      <c r="H99" s="5">
        <f t="shared" si="29"/>
        <v>0</v>
      </c>
      <c r="I99" s="49">
        <f t="shared" si="30"/>
        <v>1750</v>
      </c>
      <c r="J99" s="4"/>
    </row>
    <row r="100" spans="1:11" s="50" customFormat="1" ht="20" customHeight="1">
      <c r="A100" s="12"/>
      <c r="B100" s="12" t="s">
        <v>115</v>
      </c>
      <c r="C100" s="5">
        <f>(หลังริม!C100*1)+(หลังกลาง!C100*6)</f>
        <v>0</v>
      </c>
      <c r="D100" s="12"/>
      <c r="E100" s="100"/>
      <c r="F100" s="14">
        <f>SUM(F98:F99)</f>
        <v>2513</v>
      </c>
      <c r="G100" s="14"/>
      <c r="H100" s="14">
        <f t="shared" ref="H100:I100" si="31">SUM(H98:H99)</f>
        <v>42000</v>
      </c>
      <c r="I100" s="14">
        <f t="shared" si="31"/>
        <v>44513</v>
      </c>
      <c r="J100" s="13"/>
      <c r="K100" s="151">
        <f>H100+F100</f>
        <v>44513</v>
      </c>
    </row>
    <row r="101" spans="1:11" s="40" customFormat="1" ht="20" customHeight="1">
      <c r="A101" s="198"/>
      <c r="B101" s="3" t="s">
        <v>210</v>
      </c>
      <c r="C101" s="5">
        <f>(หลังริม!C101*1)+(หลังกลาง!C101*6)</f>
        <v>0</v>
      </c>
      <c r="D101" s="6"/>
      <c r="E101" s="48"/>
      <c r="F101" s="4"/>
      <c r="G101" s="4"/>
      <c r="H101" s="4"/>
      <c r="I101" s="4"/>
      <c r="J101" s="4"/>
    </row>
    <row r="102" spans="1:11" s="40" customFormat="1" ht="20" customHeight="1">
      <c r="A102" s="198"/>
      <c r="B102" s="4" t="s">
        <v>211</v>
      </c>
      <c r="C102" s="5">
        <f>(หลังริม!C102*1)+(หลังกลาง!C102*6)</f>
        <v>612.5</v>
      </c>
      <c r="D102" s="6" t="s">
        <v>246</v>
      </c>
      <c r="E102" s="11">
        <v>5.5</v>
      </c>
      <c r="F102" s="5">
        <f>E102*C102</f>
        <v>3368.75</v>
      </c>
      <c r="G102" s="20">
        <v>0</v>
      </c>
      <c r="H102" s="5">
        <f t="shared" ref="H102:H109" si="32">G102*C102</f>
        <v>0</v>
      </c>
      <c r="I102" s="49">
        <f>H102+F102</f>
        <v>3368.75</v>
      </c>
      <c r="J102" s="4"/>
    </row>
    <row r="103" spans="1:11" s="40" customFormat="1" ht="20" customHeight="1">
      <c r="A103" s="198"/>
      <c r="B103" s="4" t="s">
        <v>212</v>
      </c>
      <c r="C103" s="5">
        <f>(หลังริม!C103*1)+(หลังกลาง!C103*6)</f>
        <v>2.3333333333333335</v>
      </c>
      <c r="D103" s="6" t="s">
        <v>214</v>
      </c>
      <c r="E103" s="11">
        <v>500</v>
      </c>
      <c r="F103" s="5">
        <f t="shared" ref="F103:F110" si="33">E103*C103</f>
        <v>1166.6666666666667</v>
      </c>
      <c r="G103" s="20">
        <v>0</v>
      </c>
      <c r="H103" s="5">
        <f t="shared" si="32"/>
        <v>0</v>
      </c>
      <c r="I103" s="49">
        <f t="shared" ref="I103:I110" si="34">H103+F103</f>
        <v>1166.6666666666667</v>
      </c>
      <c r="J103" s="4"/>
    </row>
    <row r="104" spans="1:11" s="40" customFormat="1" ht="20" customHeight="1">
      <c r="A104" s="198"/>
      <c r="B104" s="4" t="s">
        <v>213</v>
      </c>
      <c r="C104" s="5">
        <f>(หลังริม!C104*1)+(หลังกลาง!C104*6)</f>
        <v>2.3333333333333335</v>
      </c>
      <c r="D104" s="6" t="s">
        <v>214</v>
      </c>
      <c r="E104" s="11">
        <v>400</v>
      </c>
      <c r="F104" s="5">
        <f t="shared" si="33"/>
        <v>933.33333333333337</v>
      </c>
      <c r="G104" s="20">
        <v>0</v>
      </c>
      <c r="H104" s="5">
        <f t="shared" si="32"/>
        <v>0</v>
      </c>
      <c r="I104" s="49">
        <f t="shared" si="34"/>
        <v>933.33333333333337</v>
      </c>
      <c r="J104" s="4"/>
    </row>
    <row r="105" spans="1:11" s="40" customFormat="1" ht="20" customHeight="1">
      <c r="A105" s="198"/>
      <c r="B105" s="4" t="s">
        <v>107</v>
      </c>
      <c r="C105" s="5">
        <f>(หลังริม!C105*1)+(หลังกลาง!C105*6)</f>
        <v>23.333333333333332</v>
      </c>
      <c r="D105" s="6" t="s">
        <v>105</v>
      </c>
      <c r="E105" s="11">
        <v>92</v>
      </c>
      <c r="F105" s="5">
        <f t="shared" si="33"/>
        <v>2146.6666666666665</v>
      </c>
      <c r="G105" s="20">
        <v>0</v>
      </c>
      <c r="H105" s="5">
        <f t="shared" si="32"/>
        <v>0</v>
      </c>
      <c r="I105" s="49">
        <f t="shared" si="34"/>
        <v>2146.6666666666665</v>
      </c>
      <c r="J105" s="4"/>
    </row>
    <row r="106" spans="1:11" s="40" customFormat="1" ht="20" customHeight="1">
      <c r="A106" s="198"/>
      <c r="B106" s="4" t="s">
        <v>108</v>
      </c>
      <c r="C106" s="5">
        <f>(หลังริม!C106*1)+(หลังกลาง!C106*6)</f>
        <v>70</v>
      </c>
      <c r="D106" s="6" t="s">
        <v>105</v>
      </c>
      <c r="E106" s="11">
        <v>61</v>
      </c>
      <c r="F106" s="5">
        <f t="shared" si="33"/>
        <v>4270</v>
      </c>
      <c r="G106" s="20">
        <v>0</v>
      </c>
      <c r="H106" s="5">
        <f t="shared" si="32"/>
        <v>0</v>
      </c>
      <c r="I106" s="49">
        <f t="shared" si="34"/>
        <v>4270</v>
      </c>
      <c r="J106" s="4"/>
    </row>
    <row r="107" spans="1:11" s="40" customFormat="1" ht="20" customHeight="1">
      <c r="A107" s="198"/>
      <c r="B107" s="4" t="s">
        <v>245</v>
      </c>
      <c r="C107" s="5">
        <f>(หลังริม!C107*1)+(หลังกลาง!C107*6)</f>
        <v>11.666666666666666</v>
      </c>
      <c r="D107" s="6" t="s">
        <v>53</v>
      </c>
      <c r="E107" s="11">
        <v>110</v>
      </c>
      <c r="F107" s="5">
        <f t="shared" si="33"/>
        <v>1283.3333333333333</v>
      </c>
      <c r="G107" s="20">
        <v>0</v>
      </c>
      <c r="H107" s="5">
        <f t="shared" si="32"/>
        <v>0</v>
      </c>
      <c r="I107" s="49">
        <f t="shared" si="34"/>
        <v>1283.3333333333333</v>
      </c>
      <c r="J107" s="4"/>
    </row>
    <row r="108" spans="1:11" s="40" customFormat="1" ht="20" customHeight="1">
      <c r="A108" s="198"/>
      <c r="B108" s="4" t="s">
        <v>41</v>
      </c>
      <c r="C108" s="5">
        <f>(หลังริม!C108*1)+(หลังกลาง!C108*6)</f>
        <v>11.666666666666666</v>
      </c>
      <c r="D108" s="6" t="s">
        <v>53</v>
      </c>
      <c r="E108" s="11">
        <v>64</v>
      </c>
      <c r="F108" s="5">
        <f t="shared" si="33"/>
        <v>746.66666666666663</v>
      </c>
      <c r="G108" s="20">
        <v>0</v>
      </c>
      <c r="H108" s="5">
        <f t="shared" si="32"/>
        <v>0</v>
      </c>
      <c r="I108" s="49">
        <f t="shared" si="34"/>
        <v>746.66666666666663</v>
      </c>
      <c r="J108" s="4"/>
    </row>
    <row r="109" spans="1:11" s="40" customFormat="1" ht="20" customHeight="1">
      <c r="A109" s="198"/>
      <c r="B109" s="4" t="s">
        <v>215</v>
      </c>
      <c r="C109" s="5">
        <f>(หลังริม!C109*1)+(หลังกลาง!C109*6)</f>
        <v>1.1666666666666667</v>
      </c>
      <c r="D109" s="6" t="s">
        <v>97</v>
      </c>
      <c r="E109" s="11">
        <v>0</v>
      </c>
      <c r="F109" s="5">
        <f t="shared" si="33"/>
        <v>0</v>
      </c>
      <c r="G109" s="20">
        <v>0</v>
      </c>
      <c r="H109" s="5">
        <f t="shared" si="32"/>
        <v>0</v>
      </c>
      <c r="I109" s="49">
        <f t="shared" si="34"/>
        <v>0</v>
      </c>
      <c r="J109" s="4"/>
    </row>
    <row r="110" spans="1:11" s="43" customFormat="1" ht="20" customHeight="1">
      <c r="A110" s="6"/>
      <c r="B110" s="4" t="s">
        <v>281</v>
      </c>
      <c r="C110" s="5">
        <f>(หลังริม!C110*1)+(หลังกลาง!C110*6)</f>
        <v>7</v>
      </c>
      <c r="D110" s="6" t="s">
        <v>264</v>
      </c>
      <c r="E110" s="5">
        <v>0</v>
      </c>
      <c r="F110" s="5">
        <f t="shared" si="33"/>
        <v>0</v>
      </c>
      <c r="G110" s="70">
        <v>1012</v>
      </c>
      <c r="H110" s="5">
        <f>G110*C110</f>
        <v>7084</v>
      </c>
      <c r="I110" s="49">
        <f t="shared" si="34"/>
        <v>7084</v>
      </c>
      <c r="J110" s="4"/>
      <c r="K110" s="73"/>
    </row>
    <row r="111" spans="1:11" s="72" customFormat="1" ht="20" customHeight="1">
      <c r="A111" s="12"/>
      <c r="B111" s="12" t="s">
        <v>128</v>
      </c>
      <c r="C111" s="5">
        <f>(หลังริม!C111*1)+(หลังกลาง!C111*6)</f>
        <v>0</v>
      </c>
      <c r="D111" s="12"/>
      <c r="E111" s="99"/>
      <c r="F111" s="71">
        <f>SUM(F102:F110)</f>
        <v>13915.416666666666</v>
      </c>
      <c r="G111" s="71"/>
      <c r="H111" s="71">
        <f t="shared" ref="H111:I111" si="35">SUM(H102:H110)</f>
        <v>7084</v>
      </c>
      <c r="I111" s="71">
        <f t="shared" si="35"/>
        <v>20999.416666666664</v>
      </c>
      <c r="J111" s="12"/>
      <c r="K111" s="151">
        <f>H111+F111</f>
        <v>20999.416666666664</v>
      </c>
    </row>
    <row r="112" spans="1:11" s="40" customFormat="1" ht="20" customHeight="1">
      <c r="A112" s="198"/>
      <c r="B112" s="3" t="s">
        <v>216</v>
      </c>
      <c r="C112" s="5">
        <f>(หลังริม!C112*1)+(หลังกลาง!C112*6)</f>
        <v>0</v>
      </c>
      <c r="D112" s="6"/>
      <c r="E112" s="48"/>
      <c r="F112" s="4"/>
      <c r="G112" s="4"/>
      <c r="H112" s="4"/>
      <c r="I112" s="4"/>
      <c r="J112" s="4"/>
    </row>
    <row r="113" spans="1:20" s="40" customFormat="1" ht="20" customHeight="1">
      <c r="A113" s="198"/>
      <c r="B113" s="4" t="s">
        <v>217</v>
      </c>
      <c r="C113" s="5">
        <f>(หลังริม!C113*1)+(หลังกลาง!C113*6)</f>
        <v>168</v>
      </c>
      <c r="D113" s="6" t="s">
        <v>32</v>
      </c>
      <c r="E113" s="11">
        <v>45</v>
      </c>
      <c r="F113" s="5">
        <f>E113*C113</f>
        <v>7560</v>
      </c>
      <c r="G113" s="5">
        <v>80</v>
      </c>
      <c r="H113" s="5">
        <f>G113*C113</f>
        <v>13440</v>
      </c>
      <c r="I113" s="7">
        <f>F113+H113</f>
        <v>21000</v>
      </c>
      <c r="J113" s="4"/>
    </row>
    <row r="114" spans="1:20" s="40" customFormat="1" ht="20" customHeight="1">
      <c r="A114" s="198"/>
      <c r="B114" s="4" t="s">
        <v>36</v>
      </c>
      <c r="C114" s="5">
        <f>(หลังริม!C114*1)+(หลังกลาง!C114*6)</f>
        <v>19.833333333333332</v>
      </c>
      <c r="D114" s="6" t="s">
        <v>16</v>
      </c>
      <c r="E114" s="11">
        <v>1500</v>
      </c>
      <c r="F114" s="5">
        <f>E114*C114</f>
        <v>29750</v>
      </c>
      <c r="G114" s="20">
        <v>0</v>
      </c>
      <c r="H114" s="5">
        <f>G114*C114</f>
        <v>0</v>
      </c>
      <c r="I114" s="7">
        <f>F114+H114</f>
        <v>29750</v>
      </c>
      <c r="J114" s="4"/>
    </row>
    <row r="115" spans="1:20" s="72" customFormat="1" ht="20" customHeight="1">
      <c r="A115" s="12"/>
      <c r="B115" s="12" t="s">
        <v>134</v>
      </c>
      <c r="C115" s="5">
        <f>(หลังริม!C115*1)+(หลังกลาง!C115*6)</f>
        <v>0</v>
      </c>
      <c r="D115" s="12"/>
      <c r="E115" s="99"/>
      <c r="F115" s="71">
        <f>SUM(F113:F114)</f>
        <v>37310</v>
      </c>
      <c r="G115" s="71"/>
      <c r="H115" s="71">
        <f t="shared" ref="H115:I115" si="36">SUM(H113:H114)</f>
        <v>13440</v>
      </c>
      <c r="I115" s="71">
        <f t="shared" si="36"/>
        <v>50750</v>
      </c>
      <c r="J115" s="12"/>
      <c r="K115" s="151">
        <f>H115+F115</f>
        <v>50750</v>
      </c>
    </row>
    <row r="116" spans="1:20" s="40" customFormat="1" ht="20" customHeight="1">
      <c r="A116" s="198"/>
      <c r="B116" s="3" t="s">
        <v>247</v>
      </c>
      <c r="C116" s="5">
        <f>(หลังริม!C116*1)+(หลังกลาง!C116*6)</f>
        <v>0</v>
      </c>
      <c r="D116" s="6"/>
      <c r="E116" s="11"/>
      <c r="F116" s="5"/>
      <c r="G116" s="5"/>
      <c r="H116" s="5"/>
      <c r="I116" s="7"/>
      <c r="J116" s="4"/>
    </row>
    <row r="117" spans="1:20" s="40" customFormat="1" ht="20" customHeight="1">
      <c r="A117" s="198"/>
      <c r="B117" s="4" t="s">
        <v>43</v>
      </c>
      <c r="C117" s="5">
        <f>(หลังริม!C117*1)+(หลังกลาง!C117*6)</f>
        <v>5.8333333333333334E-2</v>
      </c>
      <c r="D117" s="6" t="s">
        <v>42</v>
      </c>
      <c r="E117" s="11">
        <v>137</v>
      </c>
      <c r="F117" s="5">
        <f>C117*1000/4.99*E117</f>
        <v>1601.5364061456246</v>
      </c>
      <c r="G117" s="20">
        <v>0</v>
      </c>
      <c r="H117" s="5">
        <f>G117*C117</f>
        <v>0</v>
      </c>
      <c r="I117" s="49">
        <f>H117+F117</f>
        <v>1601.5364061456246</v>
      </c>
      <c r="J117" s="4"/>
    </row>
    <row r="118" spans="1:20" s="40" customFormat="1" ht="20" customHeight="1">
      <c r="A118" s="198"/>
      <c r="B118" s="4" t="s">
        <v>44</v>
      </c>
      <c r="C118" s="5">
        <f>(หลังริม!C118*1)+(หลังกลาง!C118*6)</f>
        <v>4.6666666666666669E-2</v>
      </c>
      <c r="D118" s="6" t="s">
        <v>42</v>
      </c>
      <c r="E118" s="11">
        <v>240</v>
      </c>
      <c r="F118" s="5">
        <f>C118*1000/8.88*E118</f>
        <v>1261.2612612612613</v>
      </c>
      <c r="G118" s="20">
        <v>0</v>
      </c>
      <c r="H118" s="5">
        <f t="shared" ref="H118:H121" si="37">G118*C118</f>
        <v>0</v>
      </c>
      <c r="I118" s="49">
        <f t="shared" ref="I118:I121" si="38">H118+F118</f>
        <v>1261.2612612612613</v>
      </c>
      <c r="J118" s="4"/>
    </row>
    <row r="119" spans="1:20" s="40" customFormat="1" ht="20" customHeight="1">
      <c r="A119" s="6"/>
      <c r="B119" s="4" t="s">
        <v>111</v>
      </c>
      <c r="C119" s="5">
        <f>(หลังริม!C119*1)+(หลังกลาง!C119*6)</f>
        <v>15.166666666666666</v>
      </c>
      <c r="D119" s="6" t="s">
        <v>16</v>
      </c>
      <c r="E119" s="11">
        <v>1600</v>
      </c>
      <c r="F119" s="5">
        <f>E119*C119</f>
        <v>24266.666666666664</v>
      </c>
      <c r="G119" s="20">
        <v>0</v>
      </c>
      <c r="H119" s="5">
        <f t="shared" si="37"/>
        <v>0</v>
      </c>
      <c r="I119" s="49">
        <f t="shared" si="38"/>
        <v>24266.666666666664</v>
      </c>
      <c r="J119" s="4"/>
    </row>
    <row r="120" spans="1:20" s="40" customFormat="1" ht="20" customHeight="1">
      <c r="A120" s="6"/>
      <c r="B120" s="4" t="s">
        <v>49</v>
      </c>
      <c r="C120" s="5">
        <f>(หลังริม!C120*1)+(หลังกลาง!C120*6)</f>
        <v>151.66666666666666</v>
      </c>
      <c r="D120" s="6" t="s">
        <v>32</v>
      </c>
      <c r="E120" s="11">
        <v>74.2</v>
      </c>
      <c r="F120" s="5">
        <f>E120*C120</f>
        <v>11253.666666666666</v>
      </c>
      <c r="G120" s="20">
        <v>0</v>
      </c>
      <c r="H120" s="5">
        <f t="shared" si="37"/>
        <v>0</v>
      </c>
      <c r="I120" s="49">
        <f t="shared" si="38"/>
        <v>11253.666666666666</v>
      </c>
      <c r="J120" s="4"/>
    </row>
    <row r="121" spans="1:20" s="43" customFormat="1" ht="20" customHeight="1">
      <c r="A121" s="6"/>
      <c r="B121" s="4" t="s">
        <v>275</v>
      </c>
      <c r="C121" s="5">
        <f>(หลังริม!C121*1)+(หลังกลาง!C121*6)</f>
        <v>7</v>
      </c>
      <c r="D121" s="6" t="s">
        <v>264</v>
      </c>
      <c r="E121" s="5">
        <v>0</v>
      </c>
      <c r="F121" s="5">
        <f>E121*C121</f>
        <v>0</v>
      </c>
      <c r="G121" s="70">
        <v>2500</v>
      </c>
      <c r="H121" s="5">
        <f t="shared" si="37"/>
        <v>17500</v>
      </c>
      <c r="I121" s="49">
        <f t="shared" si="38"/>
        <v>17500</v>
      </c>
      <c r="J121" s="4"/>
      <c r="K121" s="73"/>
    </row>
    <row r="122" spans="1:20" s="72" customFormat="1" ht="20" customHeight="1">
      <c r="A122" s="12"/>
      <c r="B122" s="12" t="s">
        <v>162</v>
      </c>
      <c r="C122" s="5">
        <f>(หลังริม!C122*1)+(หลังกลาง!C122*6)</f>
        <v>0</v>
      </c>
      <c r="D122" s="12"/>
      <c r="E122" s="99"/>
      <c r="F122" s="71">
        <f>SUM(F117:F121)</f>
        <v>38383.131000740213</v>
      </c>
      <c r="G122" s="71"/>
      <c r="H122" s="71">
        <f t="shared" ref="H122:I122" si="39">SUM(H117:H121)</f>
        <v>17500</v>
      </c>
      <c r="I122" s="71">
        <f t="shared" si="39"/>
        <v>55883.131000740213</v>
      </c>
      <c r="J122" s="12"/>
      <c r="K122" s="151">
        <f>H122+F122</f>
        <v>55883.131000740213</v>
      </c>
    </row>
    <row r="123" spans="1:20" s="40" customFormat="1" ht="20" customHeight="1">
      <c r="A123" s="198"/>
      <c r="B123" s="3" t="s">
        <v>223</v>
      </c>
      <c r="C123" s="5">
        <f>(หลังริม!C123*1)+(หลังกลาง!C123*6)</f>
        <v>0</v>
      </c>
      <c r="D123" s="6"/>
      <c r="E123" s="48"/>
      <c r="F123" s="4"/>
      <c r="G123" s="4"/>
      <c r="H123" s="4"/>
      <c r="I123" s="4"/>
      <c r="J123" s="4"/>
      <c r="K123" s="43"/>
      <c r="L123" s="43"/>
      <c r="M123" s="43"/>
      <c r="N123" s="43"/>
      <c r="O123" s="43"/>
      <c r="P123" s="43"/>
      <c r="Q123" s="43"/>
      <c r="R123" s="43"/>
      <c r="S123" s="43"/>
      <c r="T123" s="43"/>
    </row>
    <row r="124" spans="1:20" s="40" customFormat="1" ht="20" customHeight="1">
      <c r="A124" s="198"/>
      <c r="B124" s="4" t="s">
        <v>117</v>
      </c>
      <c r="C124" s="5">
        <f>(หลังริม!C124*1)+(หลังกลาง!C124*6)</f>
        <v>728</v>
      </c>
      <c r="D124" s="6" t="s">
        <v>60</v>
      </c>
      <c r="E124" s="11">
        <v>67</v>
      </c>
      <c r="F124" s="5">
        <f>E124*C124</f>
        <v>48776</v>
      </c>
      <c r="G124" s="20">
        <v>0</v>
      </c>
      <c r="H124" s="5">
        <f>G124*C124</f>
        <v>0</v>
      </c>
      <c r="I124" s="49">
        <f>H124+F124</f>
        <v>48776</v>
      </c>
      <c r="J124" s="4"/>
      <c r="K124" s="43"/>
      <c r="L124" s="43"/>
      <c r="M124" s="43"/>
      <c r="N124" s="43"/>
      <c r="O124" s="43"/>
      <c r="P124" s="43"/>
      <c r="Q124" s="43"/>
      <c r="R124" s="43"/>
      <c r="S124" s="43"/>
      <c r="T124" s="43"/>
    </row>
    <row r="125" spans="1:20" s="40" customFormat="1" ht="20" customHeight="1">
      <c r="A125" s="198"/>
      <c r="B125" s="4" t="s">
        <v>118</v>
      </c>
      <c r="C125" s="5">
        <f>(หลังริม!C125*1)+(หลังกลาง!C125*6)</f>
        <v>182</v>
      </c>
      <c r="D125" s="6" t="s">
        <v>60</v>
      </c>
      <c r="E125" s="11">
        <v>82</v>
      </c>
      <c r="F125" s="5">
        <f t="shared" ref="F125:F136" si="40">E125*C125</f>
        <v>14924</v>
      </c>
      <c r="G125" s="20">
        <v>0</v>
      </c>
      <c r="H125" s="5">
        <f t="shared" ref="H125:H136" si="41">G125*C125</f>
        <v>0</v>
      </c>
      <c r="I125" s="49">
        <f t="shared" ref="I125:I136" si="42">H125+F125</f>
        <v>14924</v>
      </c>
      <c r="J125" s="4"/>
      <c r="K125" s="43"/>
      <c r="L125" s="43"/>
      <c r="M125" s="43"/>
      <c r="N125" s="43"/>
      <c r="O125" s="43"/>
      <c r="P125" s="43"/>
      <c r="Q125" s="43"/>
      <c r="R125" s="43"/>
      <c r="S125" s="43"/>
      <c r="T125" s="43"/>
    </row>
    <row r="126" spans="1:20" s="40" customFormat="1" ht="20" customHeight="1">
      <c r="A126" s="6"/>
      <c r="B126" s="4" t="s">
        <v>156</v>
      </c>
      <c r="C126" s="5">
        <f>(หลังริม!C126*1)+(หลังกลาง!C126*6)</f>
        <v>17.5</v>
      </c>
      <c r="D126" s="6" t="s">
        <v>125</v>
      </c>
      <c r="E126" s="11">
        <v>870</v>
      </c>
      <c r="F126" s="5">
        <f t="shared" si="40"/>
        <v>15225</v>
      </c>
      <c r="G126" s="20">
        <v>0</v>
      </c>
      <c r="H126" s="5">
        <f t="shared" si="41"/>
        <v>0</v>
      </c>
      <c r="I126" s="49">
        <f t="shared" si="42"/>
        <v>15225</v>
      </c>
      <c r="J126" s="4"/>
      <c r="K126" s="43"/>
      <c r="L126" s="43"/>
      <c r="M126" s="43"/>
      <c r="N126" s="43"/>
      <c r="O126" s="43"/>
      <c r="P126" s="43"/>
      <c r="Q126" s="43"/>
      <c r="R126" s="43"/>
      <c r="S126" s="43"/>
      <c r="T126" s="43"/>
    </row>
    <row r="127" spans="1:20" s="40" customFormat="1" ht="20" customHeight="1">
      <c r="A127" s="198"/>
      <c r="B127" s="4" t="s">
        <v>126</v>
      </c>
      <c r="C127" s="5">
        <f>(หลังริม!C127*1)+(หลังกลาง!C127*6)</f>
        <v>7</v>
      </c>
      <c r="D127" s="6" t="s">
        <v>60</v>
      </c>
      <c r="E127" s="11">
        <v>53</v>
      </c>
      <c r="F127" s="5">
        <f t="shared" si="40"/>
        <v>371</v>
      </c>
      <c r="G127" s="20">
        <v>0</v>
      </c>
      <c r="H127" s="5">
        <f t="shared" si="41"/>
        <v>0</v>
      </c>
      <c r="I127" s="49">
        <f t="shared" si="42"/>
        <v>371</v>
      </c>
      <c r="J127" s="4"/>
      <c r="K127" s="43"/>
      <c r="L127" s="43"/>
      <c r="M127" s="43"/>
      <c r="N127" s="43"/>
      <c r="O127" s="43"/>
      <c r="P127" s="43"/>
      <c r="Q127" s="43"/>
      <c r="R127" s="43"/>
      <c r="S127" s="43"/>
      <c r="T127" s="43"/>
    </row>
    <row r="128" spans="1:20" s="40" customFormat="1" ht="20" customHeight="1">
      <c r="A128" s="198"/>
      <c r="B128" s="4" t="s">
        <v>127</v>
      </c>
      <c r="C128" s="5">
        <f>(หลังริม!C128*1)+(หลังกลาง!C128*6)</f>
        <v>14</v>
      </c>
      <c r="D128" s="6" t="s">
        <v>60</v>
      </c>
      <c r="E128" s="11">
        <v>63</v>
      </c>
      <c r="F128" s="5">
        <f t="shared" si="40"/>
        <v>882</v>
      </c>
      <c r="G128" s="20">
        <v>0</v>
      </c>
      <c r="H128" s="5">
        <f t="shared" si="41"/>
        <v>0</v>
      </c>
      <c r="I128" s="49">
        <f t="shared" si="42"/>
        <v>882</v>
      </c>
      <c r="J128" s="4"/>
      <c r="K128" s="43"/>
      <c r="L128" s="43"/>
      <c r="M128" s="43"/>
      <c r="N128" s="43"/>
      <c r="O128" s="43"/>
      <c r="P128" s="43"/>
      <c r="Q128" s="43"/>
      <c r="R128" s="43"/>
      <c r="S128" s="43"/>
      <c r="T128" s="43"/>
    </row>
    <row r="129" spans="1:20" s="40" customFormat="1" ht="20" customHeight="1">
      <c r="A129" s="198"/>
      <c r="B129" s="4" t="s">
        <v>116</v>
      </c>
      <c r="C129" s="5">
        <f>(หลังริม!C129*1)+(หลังกลาง!C129*6)</f>
        <v>28</v>
      </c>
      <c r="D129" s="6" t="s">
        <v>60</v>
      </c>
      <c r="E129" s="11">
        <v>137</v>
      </c>
      <c r="F129" s="5">
        <f t="shared" si="40"/>
        <v>3836</v>
      </c>
      <c r="G129" s="20">
        <v>0</v>
      </c>
      <c r="H129" s="5">
        <f t="shared" si="41"/>
        <v>0</v>
      </c>
      <c r="I129" s="49">
        <f t="shared" si="42"/>
        <v>3836</v>
      </c>
      <c r="J129" s="4"/>
      <c r="K129" s="43"/>
      <c r="L129" s="43"/>
      <c r="M129" s="43"/>
      <c r="N129" s="43"/>
      <c r="O129" s="43"/>
      <c r="P129" s="43"/>
      <c r="Q129" s="43"/>
      <c r="R129" s="43"/>
      <c r="S129" s="43"/>
      <c r="T129" s="43"/>
    </row>
    <row r="130" spans="1:20" s="40" customFormat="1" ht="20" customHeight="1">
      <c r="A130" s="6"/>
      <c r="B130" s="4" t="s">
        <v>119</v>
      </c>
      <c r="C130" s="5">
        <f>(หลังริม!C130*1)+(หลังกลาง!C130*6)</f>
        <v>123.66666666666667</v>
      </c>
      <c r="D130" s="6" t="s">
        <v>60</v>
      </c>
      <c r="E130" s="11">
        <v>39</v>
      </c>
      <c r="F130" s="5">
        <f t="shared" si="40"/>
        <v>4823</v>
      </c>
      <c r="G130" s="20">
        <v>0</v>
      </c>
      <c r="H130" s="5">
        <f t="shared" si="41"/>
        <v>0</v>
      </c>
      <c r="I130" s="49">
        <f t="shared" si="42"/>
        <v>4823</v>
      </c>
      <c r="J130" s="4"/>
      <c r="K130" s="43"/>
      <c r="L130" s="43"/>
      <c r="M130" s="43"/>
      <c r="N130" s="43"/>
      <c r="O130" s="43"/>
      <c r="P130" s="43"/>
      <c r="Q130" s="43"/>
      <c r="R130" s="43"/>
      <c r="S130" s="43"/>
      <c r="T130" s="43"/>
    </row>
    <row r="131" spans="1:20" s="40" customFormat="1" ht="20" customHeight="1">
      <c r="A131" s="6"/>
      <c r="B131" s="4" t="s">
        <v>120</v>
      </c>
      <c r="C131" s="5">
        <f>(หลังริม!C131*1)+(หลังกลาง!C131*6)</f>
        <v>44</v>
      </c>
      <c r="D131" s="6" t="s">
        <v>60</v>
      </c>
      <c r="E131" s="11">
        <v>39</v>
      </c>
      <c r="F131" s="5">
        <f t="shared" si="40"/>
        <v>1716</v>
      </c>
      <c r="G131" s="20">
        <v>0</v>
      </c>
      <c r="H131" s="5">
        <f t="shared" si="41"/>
        <v>0</v>
      </c>
      <c r="I131" s="49">
        <f t="shared" si="42"/>
        <v>1716</v>
      </c>
      <c r="J131" s="4"/>
      <c r="K131" s="43"/>
      <c r="L131" s="43"/>
      <c r="M131" s="43"/>
      <c r="N131" s="43"/>
      <c r="O131" s="43"/>
      <c r="P131" s="43"/>
      <c r="Q131" s="43"/>
      <c r="R131" s="43"/>
      <c r="S131" s="43"/>
      <c r="T131" s="43"/>
    </row>
    <row r="132" spans="1:20" s="40" customFormat="1" ht="20" customHeight="1">
      <c r="A132" s="6"/>
      <c r="B132" s="4" t="s">
        <v>121</v>
      </c>
      <c r="C132" s="5">
        <f>(หลังริม!C132*1)+(หลังกลาง!C132*6)</f>
        <v>1</v>
      </c>
      <c r="D132" s="6" t="s">
        <v>60</v>
      </c>
      <c r="E132" s="11">
        <v>52</v>
      </c>
      <c r="F132" s="5">
        <f t="shared" si="40"/>
        <v>52</v>
      </c>
      <c r="G132" s="20">
        <v>0</v>
      </c>
      <c r="H132" s="5">
        <f t="shared" si="41"/>
        <v>0</v>
      </c>
      <c r="I132" s="49">
        <f t="shared" si="42"/>
        <v>52</v>
      </c>
      <c r="J132" s="4"/>
      <c r="K132" s="43"/>
      <c r="L132" s="43"/>
      <c r="M132" s="43"/>
      <c r="N132" s="43"/>
      <c r="O132" s="43"/>
      <c r="P132" s="43"/>
      <c r="Q132" s="43"/>
      <c r="R132" s="43"/>
      <c r="S132" s="43"/>
      <c r="T132" s="43"/>
    </row>
    <row r="133" spans="1:20" s="40" customFormat="1" ht="20" customHeight="1">
      <c r="A133" s="6"/>
      <c r="B133" s="4" t="s">
        <v>124</v>
      </c>
      <c r="C133" s="5">
        <f>(หลังริม!C133*1)+(หลังกลาง!C133*6)</f>
        <v>16.333333333333332</v>
      </c>
      <c r="D133" s="6" t="s">
        <v>125</v>
      </c>
      <c r="E133" s="11">
        <v>170</v>
      </c>
      <c r="F133" s="5">
        <f t="shared" si="40"/>
        <v>2776.6666666666665</v>
      </c>
      <c r="G133" s="20">
        <v>0</v>
      </c>
      <c r="H133" s="5">
        <f t="shared" si="41"/>
        <v>0</v>
      </c>
      <c r="I133" s="49">
        <f t="shared" si="42"/>
        <v>2776.6666666666665</v>
      </c>
      <c r="J133" s="4"/>
      <c r="K133" s="43"/>
      <c r="L133" s="43"/>
      <c r="M133" s="43"/>
      <c r="N133" s="43"/>
      <c r="O133" s="43"/>
      <c r="P133" s="43"/>
      <c r="Q133" s="43"/>
      <c r="R133" s="43"/>
      <c r="S133" s="43"/>
      <c r="T133" s="43"/>
    </row>
    <row r="134" spans="1:20" s="40" customFormat="1" ht="20" customHeight="1">
      <c r="A134" s="6"/>
      <c r="B134" s="4" t="s">
        <v>155</v>
      </c>
      <c r="C134" s="5">
        <f>(หลังริม!C134*1)+(หลังกลาง!C134*6)</f>
        <v>3.5</v>
      </c>
      <c r="D134" s="6" t="s">
        <v>97</v>
      </c>
      <c r="E134" s="11">
        <v>1359</v>
      </c>
      <c r="F134" s="5">
        <f t="shared" si="40"/>
        <v>4756.5</v>
      </c>
      <c r="G134" s="20">
        <v>0</v>
      </c>
      <c r="H134" s="5">
        <f t="shared" si="41"/>
        <v>0</v>
      </c>
      <c r="I134" s="49">
        <f t="shared" si="42"/>
        <v>4756.5</v>
      </c>
      <c r="J134" s="4"/>
      <c r="K134" s="43"/>
      <c r="L134" s="43"/>
      <c r="M134" s="43"/>
      <c r="N134" s="43"/>
      <c r="O134" s="43"/>
      <c r="P134" s="43"/>
      <c r="Q134" s="43"/>
      <c r="R134" s="43"/>
      <c r="S134" s="43"/>
      <c r="T134" s="43"/>
    </row>
    <row r="135" spans="1:20" s="40" customFormat="1" ht="20" customHeight="1">
      <c r="A135" s="6"/>
      <c r="B135" s="4" t="s">
        <v>122</v>
      </c>
      <c r="C135" s="5">
        <f>(หลังริม!C135*1)+(หลังกลาง!C135*6)</f>
        <v>9.6</v>
      </c>
      <c r="D135" s="6" t="s">
        <v>123</v>
      </c>
      <c r="E135" s="5">
        <v>0</v>
      </c>
      <c r="F135" s="5">
        <f t="shared" si="40"/>
        <v>0</v>
      </c>
      <c r="G135" s="5">
        <v>400</v>
      </c>
      <c r="H135" s="5">
        <f t="shared" si="41"/>
        <v>3840</v>
      </c>
      <c r="I135" s="49">
        <f t="shared" si="42"/>
        <v>3840</v>
      </c>
      <c r="J135" s="4"/>
      <c r="K135" s="43"/>
      <c r="L135" s="43"/>
      <c r="M135" s="43"/>
      <c r="N135" s="43"/>
      <c r="O135" s="43"/>
      <c r="P135" s="43"/>
      <c r="Q135" s="43"/>
      <c r="R135" s="43"/>
      <c r="S135" s="43"/>
      <c r="T135" s="43"/>
    </row>
    <row r="136" spans="1:20" s="43" customFormat="1" ht="20" customHeight="1">
      <c r="A136" s="6"/>
      <c r="B136" s="4" t="s">
        <v>274</v>
      </c>
      <c r="C136" s="5">
        <f>(หลังริม!C136*1)+(หลังกลาง!C136*6)</f>
        <v>63.5</v>
      </c>
      <c r="D136" s="6" t="s">
        <v>264</v>
      </c>
      <c r="E136" s="5">
        <v>0</v>
      </c>
      <c r="F136" s="5">
        <f t="shared" si="40"/>
        <v>0</v>
      </c>
      <c r="G136" s="70">
        <v>70</v>
      </c>
      <c r="H136" s="5">
        <f t="shared" si="41"/>
        <v>4445</v>
      </c>
      <c r="I136" s="49">
        <f t="shared" si="42"/>
        <v>4445</v>
      </c>
      <c r="J136" s="4"/>
      <c r="K136" s="73"/>
    </row>
    <row r="137" spans="1:20" s="50" customFormat="1" ht="20" customHeight="1">
      <c r="A137" s="12"/>
      <c r="B137" s="12" t="s">
        <v>218</v>
      </c>
      <c r="C137" s="5">
        <f>(หลังริม!C137*1)+(หลังกลาง!C137*6)</f>
        <v>0</v>
      </c>
      <c r="D137" s="12"/>
      <c r="E137" s="100"/>
      <c r="F137" s="14">
        <f>SUM(F124:F136)</f>
        <v>98138.166666666672</v>
      </c>
      <c r="G137" s="14"/>
      <c r="H137" s="14">
        <f t="shared" ref="H137:I137" si="43">SUM(H124:H136)</f>
        <v>8285</v>
      </c>
      <c r="I137" s="14">
        <f t="shared" si="43"/>
        <v>106423.16666666667</v>
      </c>
      <c r="J137" s="13"/>
      <c r="K137" s="151">
        <f>H137+F137</f>
        <v>106423.16666666667</v>
      </c>
    </row>
    <row r="138" spans="1:20" s="40" customFormat="1" ht="20" customHeight="1">
      <c r="A138" s="198"/>
      <c r="B138" s="3" t="s">
        <v>224</v>
      </c>
      <c r="C138" s="5">
        <f>(หลังริม!C138*1)+(หลังกลาง!C138*6)</f>
        <v>0</v>
      </c>
      <c r="D138" s="6"/>
      <c r="E138" s="48"/>
      <c r="F138" s="4"/>
      <c r="G138" s="4"/>
      <c r="H138" s="4"/>
      <c r="I138" s="4"/>
      <c r="J138" s="4"/>
      <c r="K138" s="43"/>
      <c r="L138" s="43"/>
      <c r="M138" s="43"/>
      <c r="N138" s="43"/>
      <c r="O138" s="43"/>
      <c r="P138" s="43"/>
      <c r="Q138" s="43"/>
      <c r="R138" s="43"/>
      <c r="S138" s="43"/>
      <c r="T138" s="43"/>
    </row>
    <row r="139" spans="1:20" s="40" customFormat="1" ht="20" customHeight="1">
      <c r="A139" s="198"/>
      <c r="B139" s="4" t="s">
        <v>130</v>
      </c>
      <c r="C139" s="5">
        <f>(หลังริม!C139*1)+(หลังกลาง!C139*6)</f>
        <v>49</v>
      </c>
      <c r="D139" s="6" t="s">
        <v>32</v>
      </c>
      <c r="E139" s="5">
        <v>0</v>
      </c>
      <c r="F139" s="5">
        <f>E139*C139</f>
        <v>0</v>
      </c>
      <c r="G139" s="5">
        <f>320</f>
        <v>320</v>
      </c>
      <c r="H139" s="20">
        <f>G139*C139</f>
        <v>15680</v>
      </c>
      <c r="I139" s="49">
        <f>H139+F139</f>
        <v>15680</v>
      </c>
      <c r="J139" s="24" t="s">
        <v>132</v>
      </c>
      <c r="K139" s="43"/>
      <c r="L139" s="43"/>
      <c r="M139" s="43"/>
      <c r="N139" s="43"/>
      <c r="O139" s="43"/>
      <c r="P139" s="43"/>
      <c r="Q139" s="43"/>
      <c r="R139" s="43"/>
      <c r="S139" s="43"/>
      <c r="T139" s="43"/>
    </row>
    <row r="140" spans="1:20" s="40" customFormat="1" ht="20" customHeight="1">
      <c r="A140" s="198"/>
      <c r="B140" s="4" t="s">
        <v>131</v>
      </c>
      <c r="C140" s="5">
        <f>(หลังริม!C140*1)+(หลังกลาง!C140*6)</f>
        <v>126</v>
      </c>
      <c r="D140" s="6" t="s">
        <v>32</v>
      </c>
      <c r="E140" s="5">
        <v>0</v>
      </c>
      <c r="F140" s="5">
        <f t="shared" ref="F140:F145" si="44">E140*C140</f>
        <v>0</v>
      </c>
      <c r="G140" s="5">
        <v>280</v>
      </c>
      <c r="H140" s="20">
        <f t="shared" ref="H140:H145" si="45">G140*C140</f>
        <v>35280</v>
      </c>
      <c r="I140" s="49">
        <f t="shared" ref="I140:I145" si="46">H140+F140</f>
        <v>35280</v>
      </c>
      <c r="J140" s="24" t="s">
        <v>133</v>
      </c>
      <c r="K140" s="43"/>
      <c r="L140" s="43"/>
      <c r="M140" s="43"/>
      <c r="N140" s="43"/>
      <c r="O140" s="43"/>
      <c r="P140" s="43"/>
      <c r="Q140" s="43"/>
      <c r="R140" s="43"/>
      <c r="S140" s="43"/>
      <c r="T140" s="43"/>
    </row>
    <row r="141" spans="1:20" s="40" customFormat="1" ht="20" customHeight="1">
      <c r="A141" s="198"/>
      <c r="B141" s="4" t="s">
        <v>129</v>
      </c>
      <c r="C141" s="5">
        <f>(หลังริม!C141*1)+(หลังกลาง!C141*6)</f>
        <v>210</v>
      </c>
      <c r="D141" s="6" t="s">
        <v>32</v>
      </c>
      <c r="E141" s="5">
        <v>0</v>
      </c>
      <c r="F141" s="5">
        <f t="shared" si="44"/>
        <v>0</v>
      </c>
      <c r="G141" s="5">
        <v>240</v>
      </c>
      <c r="H141" s="20">
        <f t="shared" si="45"/>
        <v>50400</v>
      </c>
      <c r="I141" s="49">
        <f t="shared" si="46"/>
        <v>50400</v>
      </c>
      <c r="J141" s="24" t="s">
        <v>133</v>
      </c>
      <c r="K141" s="43"/>
      <c r="L141" s="43"/>
      <c r="M141" s="43"/>
      <c r="N141" s="43"/>
      <c r="O141" s="43"/>
      <c r="P141" s="43"/>
      <c r="Q141" s="43"/>
      <c r="R141" s="43"/>
      <c r="S141" s="43"/>
      <c r="T141" s="43"/>
    </row>
    <row r="142" spans="1:20" s="40" customFormat="1" ht="20" customHeight="1">
      <c r="A142" s="198"/>
      <c r="B142" s="4" t="s">
        <v>135</v>
      </c>
      <c r="C142" s="5">
        <f>(หลังริม!C142*1)+(หลังกลาง!C142*6)</f>
        <v>403.20000000000005</v>
      </c>
      <c r="D142" s="6" t="s">
        <v>123</v>
      </c>
      <c r="E142" s="5">
        <v>0</v>
      </c>
      <c r="F142" s="5">
        <f t="shared" si="44"/>
        <v>0</v>
      </c>
      <c r="G142" s="5">
        <v>70</v>
      </c>
      <c r="H142" s="20">
        <f t="shared" si="45"/>
        <v>28224.000000000004</v>
      </c>
      <c r="I142" s="49">
        <f t="shared" si="46"/>
        <v>28224.000000000004</v>
      </c>
      <c r="J142" s="4"/>
      <c r="K142" s="43"/>
      <c r="L142" s="43"/>
      <c r="M142" s="43"/>
      <c r="N142" s="43"/>
      <c r="O142" s="43"/>
      <c r="P142" s="43"/>
      <c r="Q142" s="43"/>
      <c r="R142" s="43"/>
      <c r="S142" s="43"/>
      <c r="T142" s="43"/>
    </row>
    <row r="143" spans="1:20" s="40" customFormat="1" ht="20" customHeight="1">
      <c r="A143" s="198"/>
      <c r="B143" s="4" t="s">
        <v>137</v>
      </c>
      <c r="C143" s="5">
        <f>(หลังริม!C143*1)+(หลังกลาง!C143*6)</f>
        <v>7</v>
      </c>
      <c r="D143" s="6" t="s">
        <v>136</v>
      </c>
      <c r="E143" s="11">
        <v>8067</v>
      </c>
      <c r="F143" s="5">
        <f t="shared" si="44"/>
        <v>56469</v>
      </c>
      <c r="G143" s="5">
        <v>2000</v>
      </c>
      <c r="H143" s="20">
        <f t="shared" si="45"/>
        <v>14000</v>
      </c>
      <c r="I143" s="49">
        <f t="shared" si="46"/>
        <v>70469</v>
      </c>
      <c r="J143" s="4"/>
      <c r="K143" s="43"/>
      <c r="L143" s="43"/>
      <c r="M143" s="43"/>
      <c r="N143" s="43"/>
      <c r="O143" s="43"/>
      <c r="P143" s="43"/>
      <c r="Q143" s="43"/>
      <c r="R143" s="43"/>
      <c r="S143" s="43"/>
      <c r="T143" s="43"/>
    </row>
    <row r="144" spans="1:20" s="40" customFormat="1" ht="20" customHeight="1">
      <c r="A144" s="198"/>
      <c r="B144" s="4" t="s">
        <v>139</v>
      </c>
      <c r="C144" s="5">
        <f>(หลังริม!C144*1)+(หลังกลาง!C144*6)</f>
        <v>8</v>
      </c>
      <c r="D144" s="6" t="s">
        <v>32</v>
      </c>
      <c r="E144" s="5">
        <v>0</v>
      </c>
      <c r="F144" s="5">
        <f t="shared" si="44"/>
        <v>0</v>
      </c>
      <c r="G144" s="5">
        <v>280</v>
      </c>
      <c r="H144" s="20">
        <f t="shared" si="45"/>
        <v>2240</v>
      </c>
      <c r="I144" s="49">
        <f t="shared" si="46"/>
        <v>2240</v>
      </c>
      <c r="J144" s="4"/>
      <c r="K144" s="43"/>
      <c r="L144" s="43"/>
      <c r="M144" s="43"/>
      <c r="N144" s="43"/>
      <c r="O144" s="43"/>
      <c r="P144" s="43"/>
      <c r="Q144" s="43"/>
      <c r="R144" s="43"/>
      <c r="S144" s="43"/>
      <c r="T144" s="43"/>
    </row>
    <row r="145" spans="1:20" s="40" customFormat="1" ht="20" customHeight="1">
      <c r="A145" s="6"/>
      <c r="B145" s="4" t="s">
        <v>138</v>
      </c>
      <c r="C145" s="5">
        <f>(หลังริม!C145*1)+(หลังกลาง!C145*6)</f>
        <v>8</v>
      </c>
      <c r="D145" s="6" t="s">
        <v>32</v>
      </c>
      <c r="E145" s="5">
        <v>0</v>
      </c>
      <c r="F145" s="5">
        <f t="shared" si="44"/>
        <v>0</v>
      </c>
      <c r="G145" s="5">
        <v>965</v>
      </c>
      <c r="H145" s="20">
        <f t="shared" si="45"/>
        <v>7720</v>
      </c>
      <c r="I145" s="49">
        <f t="shared" si="46"/>
        <v>7720</v>
      </c>
      <c r="J145" s="4"/>
      <c r="K145" s="43"/>
      <c r="L145" s="43"/>
      <c r="M145" s="43"/>
      <c r="N145" s="43"/>
      <c r="O145" s="43"/>
      <c r="P145" s="43"/>
      <c r="Q145" s="43"/>
      <c r="R145" s="43"/>
      <c r="S145" s="43"/>
      <c r="T145" s="43"/>
    </row>
    <row r="146" spans="1:20" s="50" customFormat="1" ht="20" customHeight="1">
      <c r="A146" s="12"/>
      <c r="B146" s="12" t="s">
        <v>177</v>
      </c>
      <c r="C146" s="5">
        <f>(หลังริม!C146*1)+(หลังกลาง!C146*6)</f>
        <v>0</v>
      </c>
      <c r="D146" s="12"/>
      <c r="E146" s="100"/>
      <c r="F146" s="14">
        <f>SUM(F139:F145)</f>
        <v>56469</v>
      </c>
      <c r="G146" s="14"/>
      <c r="H146" s="14">
        <f t="shared" ref="H146:I146" si="47">SUM(H139:H145)</f>
        <v>153544</v>
      </c>
      <c r="I146" s="14">
        <f t="shared" si="47"/>
        <v>210013</v>
      </c>
      <c r="J146" s="13"/>
      <c r="K146" s="151">
        <f>H146+F146</f>
        <v>210013</v>
      </c>
    </row>
    <row r="147" spans="1:20" s="40" customFormat="1" ht="20" customHeight="1">
      <c r="A147" s="198"/>
      <c r="B147" s="3" t="s">
        <v>225</v>
      </c>
      <c r="C147" s="5">
        <f>(หลังริม!C147*1)+(หลังกลาง!C147*6)</f>
        <v>0</v>
      </c>
      <c r="D147" s="6"/>
      <c r="E147" s="48"/>
      <c r="F147" s="4"/>
      <c r="G147" s="4"/>
      <c r="H147" s="4"/>
      <c r="I147" s="4"/>
      <c r="J147" s="4"/>
      <c r="K147" s="43"/>
      <c r="L147" s="43"/>
      <c r="M147" s="43"/>
      <c r="N147" s="43"/>
      <c r="O147" s="43"/>
      <c r="P147" s="43"/>
      <c r="Q147" s="43"/>
      <c r="R147" s="43"/>
      <c r="S147" s="43"/>
      <c r="T147" s="43"/>
    </row>
    <row r="148" spans="1:20" s="40" customFormat="1" ht="20" customHeight="1">
      <c r="A148" s="198"/>
      <c r="B148" s="4" t="s">
        <v>140</v>
      </c>
      <c r="C148" s="5">
        <f>(หลังริม!C148*1)+(หลังกลาง!C148*6)</f>
        <v>7</v>
      </c>
      <c r="D148" s="6" t="s">
        <v>141</v>
      </c>
      <c r="E148" s="11">
        <v>1869</v>
      </c>
      <c r="F148" s="5">
        <f>E148*C148</f>
        <v>13083</v>
      </c>
      <c r="G148" s="20">
        <v>0</v>
      </c>
      <c r="H148" s="20">
        <f>G148*C148</f>
        <v>0</v>
      </c>
      <c r="I148" s="49">
        <f>H148+F148</f>
        <v>13083</v>
      </c>
      <c r="J148" s="4"/>
      <c r="K148" s="43"/>
      <c r="L148" s="43"/>
      <c r="M148" s="43"/>
      <c r="N148" s="43"/>
      <c r="O148" s="43"/>
      <c r="P148" s="43"/>
      <c r="Q148" s="43"/>
      <c r="R148" s="43"/>
      <c r="S148" s="43"/>
      <c r="T148" s="43"/>
    </row>
    <row r="149" spans="1:20" s="40" customFormat="1" ht="20" customHeight="1">
      <c r="A149" s="198"/>
      <c r="B149" s="4" t="s">
        <v>142</v>
      </c>
      <c r="C149" s="5">
        <f>(หลังริม!C149*1)+(หลังกลาง!C149*6)</f>
        <v>7</v>
      </c>
      <c r="D149" s="6" t="s">
        <v>141</v>
      </c>
      <c r="E149" s="11">
        <v>640</v>
      </c>
      <c r="F149" s="5">
        <f t="shared" ref="F149:F165" si="48">E149*C149</f>
        <v>4480</v>
      </c>
      <c r="G149" s="20">
        <v>0</v>
      </c>
      <c r="H149" s="20">
        <f t="shared" ref="H149:H165" si="49">G149*C149</f>
        <v>0</v>
      </c>
      <c r="I149" s="49">
        <f t="shared" ref="I149:I165" si="50">H149+F149</f>
        <v>4480</v>
      </c>
      <c r="J149" s="4"/>
      <c r="K149" s="43"/>
      <c r="L149" s="43"/>
      <c r="M149" s="43"/>
      <c r="N149" s="43"/>
      <c r="O149" s="43"/>
      <c r="P149" s="43"/>
      <c r="Q149" s="43"/>
      <c r="R149" s="43"/>
      <c r="S149" s="43"/>
      <c r="T149" s="43"/>
    </row>
    <row r="150" spans="1:20" s="40" customFormat="1" ht="20" customHeight="1">
      <c r="A150" s="198"/>
      <c r="B150" s="4" t="s">
        <v>158</v>
      </c>
      <c r="C150" s="5">
        <f>(หลังริม!C150*1)+(หลังกลาง!C150*6)</f>
        <v>7</v>
      </c>
      <c r="D150" s="6" t="s">
        <v>141</v>
      </c>
      <c r="E150" s="11">
        <v>664</v>
      </c>
      <c r="F150" s="5">
        <f t="shared" si="48"/>
        <v>4648</v>
      </c>
      <c r="G150" s="20">
        <v>0</v>
      </c>
      <c r="H150" s="20">
        <f t="shared" si="49"/>
        <v>0</v>
      </c>
      <c r="I150" s="49">
        <f t="shared" si="50"/>
        <v>4648</v>
      </c>
      <c r="J150" s="4"/>
      <c r="K150" s="43"/>
      <c r="L150" s="43"/>
      <c r="M150" s="43"/>
      <c r="N150" s="43"/>
      <c r="O150" s="43"/>
      <c r="P150" s="43"/>
      <c r="Q150" s="43"/>
      <c r="R150" s="43"/>
      <c r="S150" s="43"/>
      <c r="T150" s="43"/>
    </row>
    <row r="151" spans="1:20" s="40" customFormat="1" ht="20" customHeight="1">
      <c r="A151" s="198"/>
      <c r="B151" s="4" t="s">
        <v>157</v>
      </c>
      <c r="C151" s="5">
        <f>(หลังริม!C151*1)+(หลังกลาง!C151*6)</f>
        <v>7</v>
      </c>
      <c r="D151" s="6" t="s">
        <v>141</v>
      </c>
      <c r="E151" s="11">
        <v>159</v>
      </c>
      <c r="F151" s="5">
        <f t="shared" si="48"/>
        <v>1113</v>
      </c>
      <c r="G151" s="20">
        <v>0</v>
      </c>
      <c r="H151" s="20">
        <f t="shared" si="49"/>
        <v>0</v>
      </c>
      <c r="I151" s="49">
        <f t="shared" si="50"/>
        <v>1113</v>
      </c>
      <c r="J151" s="4"/>
      <c r="K151" s="43"/>
      <c r="L151" s="43"/>
      <c r="M151" s="43"/>
      <c r="N151" s="43"/>
      <c r="O151" s="43"/>
      <c r="P151" s="43"/>
      <c r="Q151" s="43"/>
      <c r="R151" s="43"/>
      <c r="S151" s="43"/>
      <c r="T151" s="43"/>
    </row>
    <row r="152" spans="1:20" s="40" customFormat="1" ht="20" customHeight="1">
      <c r="A152" s="198"/>
      <c r="B152" s="4" t="s">
        <v>159</v>
      </c>
      <c r="C152" s="5">
        <f>(หลังริม!C152*1)+(หลังกลาง!C152*6)</f>
        <v>7</v>
      </c>
      <c r="D152" s="6" t="s">
        <v>141</v>
      </c>
      <c r="E152" s="11">
        <v>425</v>
      </c>
      <c r="F152" s="5">
        <f t="shared" si="48"/>
        <v>2975</v>
      </c>
      <c r="G152" s="20">
        <v>0</v>
      </c>
      <c r="H152" s="20">
        <f t="shared" si="49"/>
        <v>0</v>
      </c>
      <c r="I152" s="49">
        <f t="shared" si="50"/>
        <v>2975</v>
      </c>
      <c r="J152" s="4"/>
      <c r="K152" s="43"/>
      <c r="L152" s="43"/>
      <c r="M152" s="43"/>
      <c r="N152" s="43"/>
      <c r="O152" s="43"/>
      <c r="P152" s="43"/>
      <c r="Q152" s="43"/>
      <c r="R152" s="43"/>
      <c r="S152" s="43"/>
      <c r="T152" s="43"/>
    </row>
    <row r="153" spans="1:20" s="40" customFormat="1" ht="20" customHeight="1">
      <c r="A153" s="198"/>
      <c r="B153" s="4" t="s">
        <v>143</v>
      </c>
      <c r="C153" s="5">
        <f>(หลังริม!C153*1)+(หลังกลาง!C153*6)</f>
        <v>7</v>
      </c>
      <c r="D153" s="6" t="s">
        <v>141</v>
      </c>
      <c r="E153" s="11">
        <v>183</v>
      </c>
      <c r="F153" s="5">
        <f t="shared" si="48"/>
        <v>1281</v>
      </c>
      <c r="G153" s="20">
        <v>0</v>
      </c>
      <c r="H153" s="20">
        <f t="shared" si="49"/>
        <v>0</v>
      </c>
      <c r="I153" s="49">
        <f t="shared" si="50"/>
        <v>1281</v>
      </c>
      <c r="J153" s="4"/>
      <c r="K153" s="43"/>
      <c r="L153" s="43"/>
      <c r="M153" s="43"/>
      <c r="N153" s="43"/>
      <c r="O153" s="43"/>
      <c r="P153" s="43"/>
      <c r="Q153" s="43"/>
      <c r="R153" s="43"/>
      <c r="S153" s="43"/>
      <c r="T153" s="43"/>
    </row>
    <row r="154" spans="1:20" s="40" customFormat="1" ht="20" customHeight="1">
      <c r="A154" s="198"/>
      <c r="B154" s="4" t="s">
        <v>144</v>
      </c>
      <c r="C154" s="5">
        <f>(หลังริม!C154*1)+(หลังกลาง!C154*6)</f>
        <v>7</v>
      </c>
      <c r="D154" s="6" t="s">
        <v>100</v>
      </c>
      <c r="E154" s="11">
        <v>151</v>
      </c>
      <c r="F154" s="5">
        <f t="shared" si="48"/>
        <v>1057</v>
      </c>
      <c r="G154" s="20">
        <v>0</v>
      </c>
      <c r="H154" s="20">
        <f t="shared" si="49"/>
        <v>0</v>
      </c>
      <c r="I154" s="49">
        <f t="shared" si="50"/>
        <v>1057</v>
      </c>
      <c r="J154" s="4"/>
      <c r="K154" s="43"/>
      <c r="L154" s="43"/>
      <c r="M154" s="43"/>
      <c r="N154" s="43"/>
      <c r="O154" s="43"/>
      <c r="P154" s="43"/>
      <c r="Q154" s="43"/>
      <c r="R154" s="43"/>
      <c r="S154" s="43"/>
      <c r="T154" s="43"/>
    </row>
    <row r="155" spans="1:20" s="40" customFormat="1" ht="20" customHeight="1">
      <c r="A155" s="198"/>
      <c r="B155" s="4" t="s">
        <v>145</v>
      </c>
      <c r="C155" s="5">
        <f>(หลังริม!C155*1)+(หลังกลาง!C155*6)</f>
        <v>7</v>
      </c>
      <c r="D155" s="6" t="s">
        <v>146</v>
      </c>
      <c r="E155" s="11"/>
      <c r="F155" s="5">
        <f t="shared" si="48"/>
        <v>0</v>
      </c>
      <c r="G155" s="20">
        <v>0</v>
      </c>
      <c r="H155" s="20">
        <f t="shared" si="49"/>
        <v>0</v>
      </c>
      <c r="I155" s="49">
        <f t="shared" si="50"/>
        <v>0</v>
      </c>
      <c r="J155" s="4"/>
      <c r="K155" s="43"/>
      <c r="L155" s="43"/>
      <c r="M155" s="43"/>
      <c r="N155" s="43"/>
      <c r="O155" s="43"/>
      <c r="P155" s="43"/>
      <c r="Q155" s="43"/>
      <c r="R155" s="43"/>
      <c r="S155" s="43"/>
      <c r="T155" s="43"/>
    </row>
    <row r="156" spans="1:20" s="40" customFormat="1" ht="20" customHeight="1">
      <c r="A156" s="198"/>
      <c r="B156" s="4" t="s">
        <v>160</v>
      </c>
      <c r="C156" s="5">
        <f>(หลังริม!C156*1)+(หลังกลาง!C156*6)</f>
        <v>7</v>
      </c>
      <c r="D156" s="6" t="s">
        <v>100</v>
      </c>
      <c r="E156" s="11">
        <v>77</v>
      </c>
      <c r="F156" s="5">
        <f t="shared" si="48"/>
        <v>539</v>
      </c>
      <c r="G156" s="20">
        <v>0</v>
      </c>
      <c r="H156" s="20">
        <f t="shared" si="49"/>
        <v>0</v>
      </c>
      <c r="I156" s="49">
        <f t="shared" si="50"/>
        <v>539</v>
      </c>
      <c r="J156" s="4"/>
      <c r="K156" s="43"/>
      <c r="L156" s="43"/>
      <c r="M156" s="43"/>
      <c r="N156" s="43"/>
      <c r="O156" s="43"/>
      <c r="P156" s="43"/>
      <c r="Q156" s="43"/>
      <c r="R156" s="43"/>
      <c r="S156" s="43"/>
      <c r="T156" s="43"/>
    </row>
    <row r="157" spans="1:20" s="40" customFormat="1" ht="20" customHeight="1">
      <c r="A157" s="198"/>
      <c r="B157" s="4" t="s">
        <v>147</v>
      </c>
      <c r="C157" s="5">
        <f>(หลังริม!C157*1)+(หลังกลาง!C157*6)</f>
        <v>7</v>
      </c>
      <c r="D157" s="6" t="s">
        <v>100</v>
      </c>
      <c r="E157" s="11">
        <v>234</v>
      </c>
      <c r="F157" s="5">
        <f t="shared" si="48"/>
        <v>1638</v>
      </c>
      <c r="G157" s="20">
        <v>0</v>
      </c>
      <c r="H157" s="20">
        <f t="shared" si="49"/>
        <v>0</v>
      </c>
      <c r="I157" s="49">
        <f t="shared" si="50"/>
        <v>1638</v>
      </c>
      <c r="J157" s="4"/>
      <c r="K157" s="43"/>
      <c r="L157" s="43"/>
      <c r="M157" s="43"/>
      <c r="N157" s="43"/>
      <c r="O157" s="43"/>
      <c r="P157" s="43"/>
      <c r="Q157" s="43"/>
      <c r="R157" s="43"/>
      <c r="S157" s="43"/>
      <c r="T157" s="43"/>
    </row>
    <row r="158" spans="1:20" s="40" customFormat="1" ht="20" customHeight="1">
      <c r="A158" s="198"/>
      <c r="B158" s="4" t="s">
        <v>161</v>
      </c>
      <c r="C158" s="5">
        <f>(หลังริม!C158*1)+(หลังกลาง!C158*6)</f>
        <v>7</v>
      </c>
      <c r="D158" s="6" t="s">
        <v>100</v>
      </c>
      <c r="E158" s="11">
        <v>151</v>
      </c>
      <c r="F158" s="5">
        <f t="shared" si="48"/>
        <v>1057</v>
      </c>
      <c r="G158" s="20">
        <v>0</v>
      </c>
      <c r="H158" s="20">
        <f t="shared" si="49"/>
        <v>0</v>
      </c>
      <c r="I158" s="49">
        <f t="shared" si="50"/>
        <v>1057</v>
      </c>
      <c r="J158" s="4"/>
      <c r="K158" s="43"/>
      <c r="L158" s="43"/>
      <c r="M158" s="43"/>
      <c r="N158" s="43"/>
      <c r="O158" s="43"/>
      <c r="P158" s="43"/>
      <c r="Q158" s="43"/>
      <c r="R158" s="43"/>
      <c r="S158" s="43"/>
      <c r="T158" s="43"/>
    </row>
    <row r="159" spans="1:20" s="40" customFormat="1" ht="20" customHeight="1">
      <c r="A159" s="198"/>
      <c r="B159" s="4" t="s">
        <v>148</v>
      </c>
      <c r="C159" s="5">
        <f>(หลังริม!C159*1)+(หลังกลาง!C159*6)</f>
        <v>7</v>
      </c>
      <c r="D159" s="6" t="s">
        <v>100</v>
      </c>
      <c r="E159" s="11">
        <v>584</v>
      </c>
      <c r="F159" s="5">
        <f t="shared" si="48"/>
        <v>4088</v>
      </c>
      <c r="G159" s="20">
        <v>0</v>
      </c>
      <c r="H159" s="20">
        <f t="shared" si="49"/>
        <v>0</v>
      </c>
      <c r="I159" s="49">
        <f t="shared" si="50"/>
        <v>4088</v>
      </c>
      <c r="J159" s="4"/>
      <c r="K159" s="43"/>
      <c r="L159" s="43"/>
      <c r="M159" s="43"/>
      <c r="N159" s="43"/>
      <c r="O159" s="43"/>
      <c r="P159" s="43"/>
      <c r="Q159" s="43"/>
      <c r="R159" s="43"/>
      <c r="S159" s="43"/>
      <c r="T159" s="43"/>
    </row>
    <row r="160" spans="1:20" s="43" customFormat="1" ht="20" customHeight="1">
      <c r="A160" s="198"/>
      <c r="B160" s="4" t="s">
        <v>149</v>
      </c>
      <c r="C160" s="5">
        <f>(หลังริม!C160*1)+(หลังกลาง!C160*6)</f>
        <v>14</v>
      </c>
      <c r="D160" s="6" t="s">
        <v>100</v>
      </c>
      <c r="E160" s="5">
        <v>140</v>
      </c>
      <c r="F160" s="5">
        <f t="shared" si="48"/>
        <v>1960</v>
      </c>
      <c r="G160" s="20">
        <v>0</v>
      </c>
      <c r="H160" s="20">
        <f t="shared" si="49"/>
        <v>0</v>
      </c>
      <c r="I160" s="49">
        <f t="shared" si="50"/>
        <v>1960</v>
      </c>
      <c r="J160" s="4"/>
      <c r="K160" s="73"/>
    </row>
    <row r="161" spans="1:20" s="43" customFormat="1" ht="20" customHeight="1">
      <c r="A161" s="198"/>
      <c r="B161" s="4" t="s">
        <v>150</v>
      </c>
      <c r="C161" s="5">
        <f>(หลังริม!C161*1)+(หลังกลาง!C161*6)</f>
        <v>7</v>
      </c>
      <c r="D161" s="6" t="s">
        <v>100</v>
      </c>
      <c r="E161" s="5">
        <v>45</v>
      </c>
      <c r="F161" s="5">
        <f t="shared" si="48"/>
        <v>315</v>
      </c>
      <c r="G161" s="5">
        <v>0</v>
      </c>
      <c r="H161" s="20">
        <f t="shared" si="49"/>
        <v>0</v>
      </c>
      <c r="I161" s="49">
        <f t="shared" si="50"/>
        <v>315</v>
      </c>
      <c r="J161" s="4"/>
      <c r="K161" s="73"/>
    </row>
    <row r="162" spans="1:20" s="43" customFormat="1" ht="20" customHeight="1">
      <c r="A162" s="198"/>
      <c r="B162" s="4" t="s">
        <v>151</v>
      </c>
      <c r="C162" s="5">
        <f>(หลังริม!C162*1)+(หลังกลาง!C162*6)</f>
        <v>7</v>
      </c>
      <c r="D162" s="6" t="s">
        <v>100</v>
      </c>
      <c r="E162" s="5">
        <v>215</v>
      </c>
      <c r="F162" s="5">
        <f t="shared" si="48"/>
        <v>1505</v>
      </c>
      <c r="G162" s="5">
        <v>0</v>
      </c>
      <c r="H162" s="20">
        <f t="shared" si="49"/>
        <v>0</v>
      </c>
      <c r="I162" s="49">
        <f t="shared" si="50"/>
        <v>1505</v>
      </c>
      <c r="J162" s="4"/>
      <c r="K162" s="73"/>
    </row>
    <row r="163" spans="1:20" s="43" customFormat="1" ht="20" customHeight="1">
      <c r="A163" s="198"/>
      <c r="B163" s="4" t="s">
        <v>152</v>
      </c>
      <c r="C163" s="5">
        <f>(หลังริม!C163*1)+(หลังกลาง!C163*6)</f>
        <v>7</v>
      </c>
      <c r="D163" s="6" t="s">
        <v>100</v>
      </c>
      <c r="E163" s="5">
        <v>0</v>
      </c>
      <c r="F163" s="5">
        <f t="shared" si="48"/>
        <v>0</v>
      </c>
      <c r="G163" s="5">
        <v>0</v>
      </c>
      <c r="H163" s="20">
        <f t="shared" si="49"/>
        <v>0</v>
      </c>
      <c r="I163" s="49">
        <f t="shared" si="50"/>
        <v>0</v>
      </c>
      <c r="J163" s="4"/>
      <c r="K163" s="73"/>
    </row>
    <row r="164" spans="1:20" s="43" customFormat="1" ht="20" customHeight="1">
      <c r="A164" s="6"/>
      <c r="B164" s="4" t="s">
        <v>153</v>
      </c>
      <c r="C164" s="5">
        <f>(หลังริม!C164*1)+(หลังกลาง!C164*6)</f>
        <v>14</v>
      </c>
      <c r="D164" s="6" t="s">
        <v>100</v>
      </c>
      <c r="E164" s="4">
        <v>110</v>
      </c>
      <c r="F164" s="5">
        <f t="shared" si="48"/>
        <v>1540</v>
      </c>
      <c r="G164" s="5">
        <v>0</v>
      </c>
      <c r="H164" s="20">
        <f t="shared" si="49"/>
        <v>0</v>
      </c>
      <c r="I164" s="49">
        <f t="shared" si="50"/>
        <v>1540</v>
      </c>
      <c r="J164" s="4"/>
      <c r="K164" s="73"/>
    </row>
    <row r="165" spans="1:20" s="43" customFormat="1" ht="20" customHeight="1">
      <c r="A165" s="6"/>
      <c r="B165" s="4" t="s">
        <v>273</v>
      </c>
      <c r="C165" s="5">
        <f>(หลังริม!C165*1)+(หลังกลาง!C165*6)</f>
        <v>7</v>
      </c>
      <c r="D165" s="6" t="s">
        <v>264</v>
      </c>
      <c r="E165" s="5">
        <v>0</v>
      </c>
      <c r="F165" s="5">
        <f t="shared" si="48"/>
        <v>0</v>
      </c>
      <c r="G165" s="70">
        <v>810</v>
      </c>
      <c r="H165" s="20">
        <f t="shared" si="49"/>
        <v>5670</v>
      </c>
      <c r="I165" s="49">
        <f t="shared" si="50"/>
        <v>5670</v>
      </c>
      <c r="J165" s="4"/>
      <c r="K165" s="73"/>
    </row>
    <row r="166" spans="1:20" s="50" customFormat="1" ht="20" customHeight="1">
      <c r="A166" s="12"/>
      <c r="B166" s="12" t="s">
        <v>154</v>
      </c>
      <c r="C166" s="5">
        <f>(หลังริม!C166*1)+(หลังกลาง!C166*6)</f>
        <v>0</v>
      </c>
      <c r="D166" s="12"/>
      <c r="E166" s="100"/>
      <c r="F166" s="14">
        <f>SUM(F148:F165)</f>
        <v>41279</v>
      </c>
      <c r="G166" s="14"/>
      <c r="H166" s="14">
        <f t="shared" ref="H166:I166" si="51">SUM(H148:H165)</f>
        <v>5670</v>
      </c>
      <c r="I166" s="14">
        <f t="shared" si="51"/>
        <v>46949</v>
      </c>
      <c r="J166" s="13"/>
      <c r="K166" s="151">
        <f>H166+F166</f>
        <v>46949</v>
      </c>
    </row>
    <row r="167" spans="1:20" s="40" customFormat="1" ht="20" customHeight="1">
      <c r="A167" s="198"/>
      <c r="B167" s="3" t="s">
        <v>226</v>
      </c>
      <c r="C167" s="5">
        <f>(หลังริม!C167*1)+(หลังกลาง!C167*6)</f>
        <v>0</v>
      </c>
      <c r="D167" s="6"/>
      <c r="E167" s="48"/>
      <c r="F167" s="4"/>
      <c r="G167" s="4"/>
      <c r="H167" s="4"/>
      <c r="I167" s="4"/>
      <c r="J167" s="4"/>
      <c r="K167" s="43"/>
      <c r="L167" s="43"/>
      <c r="M167" s="43"/>
      <c r="N167" s="43"/>
      <c r="O167" s="43"/>
      <c r="P167" s="43"/>
      <c r="Q167" s="43"/>
      <c r="R167" s="43"/>
      <c r="S167" s="43"/>
      <c r="T167" s="43"/>
    </row>
    <row r="168" spans="1:20" s="40" customFormat="1" ht="20" customHeight="1">
      <c r="A168" s="198"/>
      <c r="B168" s="4" t="s">
        <v>163</v>
      </c>
      <c r="C168" s="5">
        <f>(หลังริม!C168*1)+(หลังกลาง!C168*6)</f>
        <v>7</v>
      </c>
      <c r="D168" s="6" t="s">
        <v>141</v>
      </c>
      <c r="E168" s="11">
        <v>0</v>
      </c>
      <c r="F168" s="5">
        <f>E168*C168</f>
        <v>0</v>
      </c>
      <c r="G168" s="5">
        <v>8000</v>
      </c>
      <c r="H168" s="5">
        <f>G168*C168</f>
        <v>56000</v>
      </c>
      <c r="I168" s="49">
        <f>H168+F168</f>
        <v>56000</v>
      </c>
      <c r="J168" s="24" t="s">
        <v>172</v>
      </c>
      <c r="K168" s="43"/>
      <c r="L168" s="43"/>
      <c r="M168" s="43"/>
      <c r="N168" s="43"/>
      <c r="O168" s="43"/>
      <c r="P168" s="43"/>
      <c r="Q168" s="43"/>
      <c r="R168" s="43"/>
      <c r="S168" s="43"/>
      <c r="T168" s="43"/>
    </row>
    <row r="169" spans="1:20" s="40" customFormat="1" ht="20" customHeight="1">
      <c r="A169" s="198"/>
      <c r="B169" s="4" t="s">
        <v>164</v>
      </c>
      <c r="C169" s="5">
        <f>(หลังริม!C169*1)+(หลังกลาง!C169*6)</f>
        <v>7</v>
      </c>
      <c r="D169" s="6" t="s">
        <v>141</v>
      </c>
      <c r="E169" s="11">
        <v>2670</v>
      </c>
      <c r="F169" s="5">
        <f t="shared" ref="F169:F176" si="52">E169*C169</f>
        <v>18690</v>
      </c>
      <c r="G169" s="5">
        <v>400</v>
      </c>
      <c r="H169" s="5">
        <f t="shared" ref="H169:H176" si="53">G169*C169</f>
        <v>2800</v>
      </c>
      <c r="I169" s="49">
        <f t="shared" ref="I169:I176" si="54">H169+F169</f>
        <v>21490</v>
      </c>
      <c r="J169" s="4"/>
      <c r="K169" s="43"/>
      <c r="L169" s="43"/>
      <c r="M169" s="43"/>
      <c r="N169" s="43"/>
      <c r="O169" s="43"/>
      <c r="P169" s="43"/>
      <c r="Q169" s="43"/>
      <c r="R169" s="43"/>
      <c r="S169" s="43"/>
      <c r="T169" s="43"/>
    </row>
    <row r="170" spans="1:20" s="40" customFormat="1" ht="20" customHeight="1">
      <c r="A170" s="198"/>
      <c r="B170" s="4" t="s">
        <v>165</v>
      </c>
      <c r="C170" s="5">
        <f>(หลังริม!C170*1)+(หลังกลาง!C170*6)</f>
        <v>7</v>
      </c>
      <c r="D170" s="6" t="s">
        <v>141</v>
      </c>
      <c r="E170" s="11">
        <v>2670</v>
      </c>
      <c r="F170" s="5">
        <f t="shared" si="52"/>
        <v>18690</v>
      </c>
      <c r="G170" s="5">
        <v>400</v>
      </c>
      <c r="H170" s="5">
        <f t="shared" si="53"/>
        <v>2800</v>
      </c>
      <c r="I170" s="49">
        <f t="shared" si="54"/>
        <v>21490</v>
      </c>
      <c r="J170" s="4"/>
      <c r="K170" s="43"/>
      <c r="L170" s="43"/>
      <c r="M170" s="43"/>
      <c r="N170" s="43"/>
      <c r="O170" s="43"/>
      <c r="P170" s="43"/>
      <c r="Q170" s="43"/>
      <c r="R170" s="43"/>
      <c r="S170" s="43"/>
      <c r="T170" s="43"/>
    </row>
    <row r="171" spans="1:20" s="40" customFormat="1" ht="20" customHeight="1">
      <c r="A171" s="198"/>
      <c r="B171" s="4" t="s">
        <v>166</v>
      </c>
      <c r="C171" s="5">
        <f>(หลังริม!C171*1)+(หลังกลาง!C171*6)</f>
        <v>14</v>
      </c>
      <c r="D171" s="6" t="s">
        <v>141</v>
      </c>
      <c r="E171" s="11">
        <v>1458</v>
      </c>
      <c r="F171" s="5">
        <f t="shared" si="52"/>
        <v>20412</v>
      </c>
      <c r="G171" s="5">
        <v>400</v>
      </c>
      <c r="H171" s="5">
        <f t="shared" si="53"/>
        <v>5600</v>
      </c>
      <c r="I171" s="49">
        <f t="shared" si="54"/>
        <v>26012</v>
      </c>
      <c r="J171" s="4"/>
      <c r="K171" s="43"/>
      <c r="L171" s="43"/>
      <c r="M171" s="43"/>
      <c r="N171" s="43"/>
      <c r="O171" s="43"/>
      <c r="P171" s="43"/>
      <c r="Q171" s="43"/>
      <c r="R171" s="43"/>
      <c r="S171" s="43"/>
      <c r="T171" s="43"/>
    </row>
    <row r="172" spans="1:20" s="40" customFormat="1" ht="20" customHeight="1">
      <c r="A172" s="198"/>
      <c r="B172" s="4" t="s">
        <v>169</v>
      </c>
      <c r="C172" s="5">
        <f>(หลังริม!C172*1)+(หลังกลาง!C172*6)</f>
        <v>1</v>
      </c>
      <c r="D172" s="6" t="s">
        <v>141</v>
      </c>
      <c r="E172" s="11">
        <v>0</v>
      </c>
      <c r="F172" s="5">
        <f t="shared" si="52"/>
        <v>0</v>
      </c>
      <c r="G172" s="5">
        <v>3300</v>
      </c>
      <c r="H172" s="5">
        <f t="shared" si="53"/>
        <v>3300</v>
      </c>
      <c r="I172" s="49">
        <f t="shared" si="54"/>
        <v>3300</v>
      </c>
      <c r="J172" s="24" t="s">
        <v>172</v>
      </c>
      <c r="K172" s="43"/>
      <c r="L172" s="43"/>
      <c r="M172" s="43"/>
      <c r="N172" s="43"/>
      <c r="O172" s="43"/>
      <c r="P172" s="43"/>
      <c r="Q172" s="43"/>
      <c r="R172" s="43"/>
      <c r="S172" s="43"/>
      <c r="T172" s="43"/>
    </row>
    <row r="173" spans="1:20" s="40" customFormat="1" ht="20" customHeight="1">
      <c r="A173" s="198"/>
      <c r="B173" s="4" t="s">
        <v>167</v>
      </c>
      <c r="C173" s="5">
        <f>(หลังริม!C173*1)+(หลังกลาง!C173*6)</f>
        <v>7</v>
      </c>
      <c r="D173" s="6" t="s">
        <v>141</v>
      </c>
      <c r="E173" s="11">
        <v>0</v>
      </c>
      <c r="F173" s="5">
        <f t="shared" si="52"/>
        <v>0</v>
      </c>
      <c r="G173" s="5">
        <v>2500</v>
      </c>
      <c r="H173" s="5">
        <f t="shared" si="53"/>
        <v>17500</v>
      </c>
      <c r="I173" s="49">
        <f t="shared" si="54"/>
        <v>17500</v>
      </c>
      <c r="J173" s="24" t="s">
        <v>172</v>
      </c>
      <c r="K173" s="43"/>
      <c r="L173" s="43"/>
      <c r="M173" s="43"/>
      <c r="N173" s="43"/>
      <c r="O173" s="43"/>
      <c r="P173" s="43"/>
      <c r="Q173" s="43"/>
      <c r="R173" s="43"/>
      <c r="S173" s="43"/>
      <c r="T173" s="43"/>
    </row>
    <row r="174" spans="1:20" s="40" customFormat="1" ht="20" customHeight="1">
      <c r="A174" s="198"/>
      <c r="B174" s="4" t="s">
        <v>168</v>
      </c>
      <c r="C174" s="5">
        <f>(หลังริม!C174*1)+(หลังกลาง!C174*6)</f>
        <v>7</v>
      </c>
      <c r="D174" s="6" t="s">
        <v>141</v>
      </c>
      <c r="E174" s="11">
        <v>0</v>
      </c>
      <c r="F174" s="5">
        <f t="shared" si="52"/>
        <v>0</v>
      </c>
      <c r="G174" s="5">
        <v>1200</v>
      </c>
      <c r="H174" s="5">
        <f t="shared" si="53"/>
        <v>8400</v>
      </c>
      <c r="I174" s="49">
        <f t="shared" si="54"/>
        <v>8400</v>
      </c>
      <c r="J174" s="24" t="s">
        <v>172</v>
      </c>
      <c r="K174" s="43"/>
      <c r="L174" s="43"/>
      <c r="M174" s="43"/>
      <c r="N174" s="43"/>
      <c r="O174" s="43"/>
      <c r="P174" s="43"/>
      <c r="Q174" s="43"/>
      <c r="R174" s="43"/>
      <c r="S174" s="43"/>
      <c r="T174" s="43"/>
    </row>
    <row r="175" spans="1:20" s="40" customFormat="1" ht="20" customHeight="1">
      <c r="A175" s="198"/>
      <c r="B175" s="4" t="s">
        <v>170</v>
      </c>
      <c r="C175" s="5">
        <f>(หลังริม!C175*1)+(หลังกลาง!C175*6)</f>
        <v>1</v>
      </c>
      <c r="D175" s="6" t="s">
        <v>141</v>
      </c>
      <c r="E175" s="11">
        <v>0</v>
      </c>
      <c r="F175" s="5">
        <f t="shared" si="52"/>
        <v>0</v>
      </c>
      <c r="G175" s="5">
        <v>4400</v>
      </c>
      <c r="H175" s="5">
        <f t="shared" si="53"/>
        <v>4400</v>
      </c>
      <c r="I175" s="49">
        <f t="shared" si="54"/>
        <v>4400</v>
      </c>
      <c r="J175" s="24" t="s">
        <v>172</v>
      </c>
      <c r="K175" s="43"/>
      <c r="L175" s="43"/>
      <c r="M175" s="43"/>
      <c r="N175" s="43"/>
      <c r="O175" s="43"/>
      <c r="P175" s="43"/>
      <c r="Q175" s="43"/>
      <c r="R175" s="43"/>
      <c r="S175" s="43"/>
      <c r="T175" s="43"/>
    </row>
    <row r="176" spans="1:20" s="40" customFormat="1" ht="20" customHeight="1">
      <c r="A176" s="198"/>
      <c r="B176" s="4" t="s">
        <v>171</v>
      </c>
      <c r="C176" s="5">
        <f>(หลังริม!C176*1)+(หลังกลาง!C176*6)</f>
        <v>1</v>
      </c>
      <c r="D176" s="6" t="s">
        <v>141</v>
      </c>
      <c r="E176" s="11">
        <v>0</v>
      </c>
      <c r="F176" s="5">
        <f t="shared" si="52"/>
        <v>0</v>
      </c>
      <c r="G176" s="5">
        <v>5300</v>
      </c>
      <c r="H176" s="5">
        <f t="shared" si="53"/>
        <v>5300</v>
      </c>
      <c r="I176" s="49">
        <f t="shared" si="54"/>
        <v>5300</v>
      </c>
      <c r="J176" s="24" t="s">
        <v>172</v>
      </c>
      <c r="K176" s="43"/>
      <c r="L176" s="43"/>
      <c r="M176" s="43"/>
      <c r="N176" s="43"/>
      <c r="O176" s="43"/>
      <c r="P176" s="43"/>
      <c r="Q176" s="43"/>
      <c r="R176" s="43"/>
      <c r="S176" s="43"/>
      <c r="T176" s="43"/>
    </row>
    <row r="177" spans="1:20" s="50" customFormat="1" ht="20" customHeight="1">
      <c r="A177" s="12"/>
      <c r="B177" s="12" t="s">
        <v>178</v>
      </c>
      <c r="C177" s="5">
        <f>(หลังริม!C177*1)+(หลังกลาง!C177*6)</f>
        <v>0</v>
      </c>
      <c r="D177" s="12"/>
      <c r="E177" s="100"/>
      <c r="F177" s="14">
        <f>SUM(F168:F176)</f>
        <v>57792</v>
      </c>
      <c r="G177" s="14"/>
      <c r="H177" s="14">
        <f t="shared" ref="H177:I177" si="55">SUM(H168:H176)</f>
        <v>106100</v>
      </c>
      <c r="I177" s="14">
        <f t="shared" si="55"/>
        <v>163892</v>
      </c>
      <c r="J177" s="13"/>
      <c r="K177" s="151">
        <f>H177+F177</f>
        <v>163892</v>
      </c>
    </row>
    <row r="178" spans="1:20" s="40" customFormat="1" ht="20" customHeight="1">
      <c r="A178" s="198"/>
      <c r="B178" s="3" t="s">
        <v>227</v>
      </c>
      <c r="C178" s="5">
        <f>(หลังริม!C178*1)+(หลังกลาง!C178*6)</f>
        <v>0</v>
      </c>
      <c r="D178" s="6"/>
      <c r="E178" s="48"/>
      <c r="F178" s="4"/>
      <c r="G178" s="4"/>
      <c r="H178" s="4"/>
      <c r="I178" s="4"/>
      <c r="J178" s="4"/>
      <c r="K178" s="43"/>
      <c r="L178" s="43"/>
      <c r="M178" s="43"/>
      <c r="N178" s="43"/>
      <c r="O178" s="43"/>
      <c r="P178" s="43"/>
      <c r="Q178" s="43"/>
      <c r="R178" s="43"/>
      <c r="S178" s="43"/>
      <c r="T178" s="43"/>
    </row>
    <row r="179" spans="1:20" s="40" customFormat="1" ht="20" customHeight="1">
      <c r="A179" s="198"/>
      <c r="B179" s="4" t="s">
        <v>173</v>
      </c>
      <c r="C179" s="5">
        <f>(หลังริม!C179*1)+(หลังกลาง!C179*6)</f>
        <v>224</v>
      </c>
      <c r="D179" s="6" t="s">
        <v>32</v>
      </c>
      <c r="E179" s="11">
        <v>250</v>
      </c>
      <c r="F179" s="5">
        <f>E179*C179</f>
        <v>56000</v>
      </c>
      <c r="G179" s="5">
        <v>150</v>
      </c>
      <c r="H179" s="5">
        <f>G179*C179</f>
        <v>33600</v>
      </c>
      <c r="I179" s="49">
        <f>H179+F179</f>
        <v>89600</v>
      </c>
      <c r="J179" s="4"/>
      <c r="K179" s="43"/>
      <c r="L179" s="43"/>
      <c r="M179" s="43"/>
      <c r="N179" s="43"/>
      <c r="O179" s="43"/>
      <c r="P179" s="43"/>
      <c r="Q179" s="43"/>
      <c r="R179" s="43"/>
      <c r="S179" s="43"/>
      <c r="T179" s="43"/>
    </row>
    <row r="180" spans="1:20" s="40" customFormat="1" ht="20" customHeight="1">
      <c r="A180" s="198"/>
      <c r="B180" s="4" t="s">
        <v>174</v>
      </c>
      <c r="C180" s="5">
        <f>(หลังริม!C180*1)+(หลังกลาง!C180*6)</f>
        <v>28</v>
      </c>
      <c r="D180" s="6" t="s">
        <v>32</v>
      </c>
      <c r="E180" s="11">
        <v>250</v>
      </c>
      <c r="F180" s="5">
        <f t="shared" ref="F180:F183" si="56">E180*C180</f>
        <v>7000</v>
      </c>
      <c r="G180" s="5">
        <v>150</v>
      </c>
      <c r="H180" s="5">
        <f t="shared" ref="H180:H183" si="57">G180*C180</f>
        <v>4200</v>
      </c>
      <c r="I180" s="49">
        <f t="shared" ref="I180:I183" si="58">H180+F180</f>
        <v>11200</v>
      </c>
      <c r="J180" s="4"/>
      <c r="K180" s="43"/>
      <c r="L180" s="43"/>
      <c r="M180" s="43"/>
      <c r="N180" s="43"/>
      <c r="O180" s="43"/>
      <c r="P180" s="43"/>
      <c r="Q180" s="43"/>
      <c r="R180" s="43"/>
      <c r="S180" s="43"/>
      <c r="T180" s="43"/>
    </row>
    <row r="181" spans="1:20" s="40" customFormat="1" ht="20" customHeight="1">
      <c r="A181" s="198"/>
      <c r="B181" s="4" t="s">
        <v>175</v>
      </c>
      <c r="C181" s="5">
        <f>(หลังริม!C181*1)+(หลังกลาง!C181*6)</f>
        <v>42</v>
      </c>
      <c r="D181" s="6" t="s">
        <v>32</v>
      </c>
      <c r="E181" s="11">
        <v>300</v>
      </c>
      <c r="F181" s="5">
        <f t="shared" si="56"/>
        <v>12600</v>
      </c>
      <c r="G181" s="5">
        <v>150</v>
      </c>
      <c r="H181" s="5">
        <f t="shared" si="57"/>
        <v>6300</v>
      </c>
      <c r="I181" s="49">
        <f t="shared" si="58"/>
        <v>18900</v>
      </c>
      <c r="J181" s="4"/>
      <c r="K181" s="43"/>
      <c r="L181" s="43"/>
      <c r="M181" s="43"/>
      <c r="N181" s="43"/>
      <c r="O181" s="43"/>
      <c r="P181" s="43"/>
      <c r="Q181" s="43"/>
      <c r="R181" s="43"/>
      <c r="S181" s="43"/>
      <c r="T181" s="43"/>
    </row>
    <row r="182" spans="1:20" s="40" customFormat="1" ht="20" customHeight="1">
      <c r="A182" s="198"/>
      <c r="B182" s="4" t="s">
        <v>265</v>
      </c>
      <c r="C182" s="5">
        <f>(หลังริม!C182*1)+(หลังกลาง!C182*6)</f>
        <v>168</v>
      </c>
      <c r="D182" s="6" t="s">
        <v>32</v>
      </c>
      <c r="E182" s="11">
        <v>250</v>
      </c>
      <c r="F182" s="5">
        <f t="shared" si="56"/>
        <v>42000</v>
      </c>
      <c r="G182" s="5">
        <v>170</v>
      </c>
      <c r="H182" s="5">
        <f t="shared" si="57"/>
        <v>28560</v>
      </c>
      <c r="I182" s="49">
        <f t="shared" si="58"/>
        <v>70560</v>
      </c>
      <c r="J182" s="4"/>
      <c r="K182" s="43"/>
      <c r="L182" s="43"/>
      <c r="M182" s="43"/>
      <c r="N182" s="43"/>
      <c r="O182" s="43"/>
      <c r="P182" s="43"/>
      <c r="Q182" s="43"/>
      <c r="R182" s="43"/>
      <c r="S182" s="43"/>
      <c r="T182" s="43"/>
    </row>
    <row r="183" spans="1:20" s="40" customFormat="1" ht="20" customHeight="1">
      <c r="A183" s="198"/>
      <c r="B183" s="4" t="s">
        <v>176</v>
      </c>
      <c r="C183" s="5">
        <f>(หลังริม!C183*1)+(หลังกลาง!C183*6)</f>
        <v>168</v>
      </c>
      <c r="D183" s="6" t="s">
        <v>32</v>
      </c>
      <c r="E183" s="11">
        <v>38</v>
      </c>
      <c r="F183" s="5">
        <f t="shared" si="56"/>
        <v>6384</v>
      </c>
      <c r="G183" s="5">
        <v>1000</v>
      </c>
      <c r="H183" s="5">
        <f t="shared" si="57"/>
        <v>168000</v>
      </c>
      <c r="I183" s="49">
        <f t="shared" si="58"/>
        <v>174384</v>
      </c>
      <c r="J183" s="4"/>
      <c r="K183" s="43"/>
      <c r="L183" s="43"/>
      <c r="M183" s="43"/>
      <c r="N183" s="43"/>
      <c r="O183" s="43"/>
      <c r="P183" s="43"/>
      <c r="Q183" s="43"/>
      <c r="R183" s="43"/>
      <c r="S183" s="43"/>
      <c r="T183" s="43"/>
    </row>
    <row r="184" spans="1:20" s="50" customFormat="1" ht="20" customHeight="1">
      <c r="A184" s="12"/>
      <c r="B184" s="12" t="s">
        <v>219</v>
      </c>
      <c r="C184" s="5">
        <f>(หลังริม!C184*1)+(หลังกลาง!C184*6)</f>
        <v>0</v>
      </c>
      <c r="D184" s="12"/>
      <c r="E184" s="100"/>
      <c r="F184" s="14">
        <f>SUM(F179:F183)</f>
        <v>123984</v>
      </c>
      <c r="G184" s="14"/>
      <c r="H184" s="14">
        <f t="shared" ref="H184:I184" si="59">SUM(H179:H183)</f>
        <v>240660</v>
      </c>
      <c r="I184" s="14">
        <f t="shared" si="59"/>
        <v>364644</v>
      </c>
      <c r="J184" s="13"/>
      <c r="K184" s="151">
        <f>H184+F184</f>
        <v>364644</v>
      </c>
    </row>
    <row r="185" spans="1:20" s="40" customFormat="1" ht="20" customHeight="1">
      <c r="A185" s="198"/>
      <c r="B185" s="3" t="s">
        <v>228</v>
      </c>
      <c r="C185" s="5">
        <f>(หลังริม!C185*1)+(หลังกลาง!C185*6)</f>
        <v>0</v>
      </c>
      <c r="D185" s="6"/>
      <c r="E185" s="48"/>
      <c r="F185" s="74"/>
      <c r="G185" s="77"/>
      <c r="H185" s="74"/>
      <c r="I185" s="74"/>
      <c r="J185" s="4"/>
      <c r="K185" s="43"/>
      <c r="L185" s="43"/>
      <c r="M185" s="43"/>
      <c r="N185" s="43"/>
      <c r="O185" s="43"/>
      <c r="P185" s="43"/>
      <c r="Q185" s="43"/>
      <c r="R185" s="43"/>
      <c r="S185" s="43"/>
      <c r="T185" s="43"/>
    </row>
    <row r="186" spans="1:20" s="40" customFormat="1" ht="20" customHeight="1">
      <c r="A186" s="198"/>
      <c r="B186" s="4" t="s">
        <v>185</v>
      </c>
      <c r="C186" s="5">
        <f>(หลังริม!C186*1)+(หลังกลาง!C186*6)</f>
        <v>273.15999999999997</v>
      </c>
      <c r="D186" s="6" t="s">
        <v>32</v>
      </c>
      <c r="E186" s="11">
        <v>60</v>
      </c>
      <c r="F186" s="5">
        <f>E186*C186</f>
        <v>16389.599999999999</v>
      </c>
      <c r="G186" s="5">
        <v>25</v>
      </c>
      <c r="H186" s="5">
        <f>G186*C186</f>
        <v>6828.9999999999991</v>
      </c>
      <c r="I186" s="7">
        <f>H186+F186</f>
        <v>23218.6</v>
      </c>
      <c r="J186" s="4"/>
      <c r="K186" s="43"/>
      <c r="L186" s="43"/>
      <c r="M186" s="43"/>
      <c r="N186" s="43"/>
      <c r="O186" s="43"/>
      <c r="P186" s="43"/>
      <c r="Q186" s="43"/>
      <c r="R186" s="43"/>
      <c r="S186" s="43"/>
      <c r="T186" s="43"/>
    </row>
    <row r="187" spans="1:20" s="40" customFormat="1" ht="20" customHeight="1">
      <c r="A187" s="198"/>
      <c r="B187" s="4" t="s">
        <v>186</v>
      </c>
      <c r="C187" s="5">
        <f>(หลังริม!C187*1)+(หลังกลาง!C187*6)</f>
        <v>777</v>
      </c>
      <c r="D187" s="6" t="s">
        <v>32</v>
      </c>
      <c r="E187" s="11">
        <v>60</v>
      </c>
      <c r="F187" s="5">
        <f t="shared" ref="F187:F199" si="60">E187*C187</f>
        <v>46620</v>
      </c>
      <c r="G187" s="5">
        <v>25</v>
      </c>
      <c r="H187" s="5">
        <f t="shared" ref="H187:H199" si="61">G187*C187</f>
        <v>19425</v>
      </c>
      <c r="I187" s="7">
        <f t="shared" ref="I187:I199" si="62">H187+F187</f>
        <v>66045</v>
      </c>
      <c r="J187" s="4"/>
      <c r="K187" s="43"/>
      <c r="L187" s="43"/>
      <c r="M187" s="43"/>
      <c r="N187" s="43"/>
      <c r="O187" s="43"/>
      <c r="P187" s="43"/>
      <c r="Q187" s="43"/>
      <c r="R187" s="43"/>
      <c r="S187" s="43"/>
      <c r="T187" s="43"/>
    </row>
    <row r="188" spans="1:20" s="40" customFormat="1" ht="20" customHeight="1">
      <c r="A188" s="198"/>
      <c r="B188" s="4" t="s">
        <v>187</v>
      </c>
      <c r="C188" s="5">
        <f>(หลังริม!C188*1)+(หลังกลาง!C188*6)</f>
        <v>323.96000000000004</v>
      </c>
      <c r="D188" s="6" t="s">
        <v>32</v>
      </c>
      <c r="E188" s="11">
        <v>45</v>
      </c>
      <c r="F188" s="5">
        <f t="shared" si="60"/>
        <v>14578.2</v>
      </c>
      <c r="G188" s="5">
        <v>25</v>
      </c>
      <c r="H188" s="5">
        <f t="shared" si="61"/>
        <v>8099.0000000000009</v>
      </c>
      <c r="I188" s="7">
        <f t="shared" si="62"/>
        <v>22677.200000000001</v>
      </c>
      <c r="J188" s="4"/>
      <c r="K188" s="43"/>
      <c r="L188" s="43"/>
      <c r="M188" s="43"/>
      <c r="N188" s="43"/>
      <c r="O188" s="43"/>
      <c r="P188" s="43"/>
      <c r="Q188" s="43"/>
      <c r="R188" s="43"/>
      <c r="S188" s="43"/>
      <c r="T188" s="43"/>
    </row>
    <row r="189" spans="1:20" s="40" customFormat="1" ht="20" customHeight="1">
      <c r="A189" s="198"/>
      <c r="B189" s="4" t="s">
        <v>188</v>
      </c>
      <c r="C189" s="5">
        <f>(หลังริม!C189*1)+(หลังกลาง!C189*6)</f>
        <v>52.5</v>
      </c>
      <c r="D189" s="6" t="s">
        <v>32</v>
      </c>
      <c r="E189" s="11">
        <v>45</v>
      </c>
      <c r="F189" s="5">
        <f t="shared" si="60"/>
        <v>2362.5</v>
      </c>
      <c r="G189" s="5">
        <v>25</v>
      </c>
      <c r="H189" s="5">
        <f t="shared" si="61"/>
        <v>1312.5</v>
      </c>
      <c r="I189" s="7">
        <f t="shared" si="62"/>
        <v>3675</v>
      </c>
      <c r="J189" s="4"/>
      <c r="K189" s="43"/>
      <c r="L189" s="43"/>
      <c r="M189" s="43"/>
      <c r="N189" s="43"/>
      <c r="O189" s="43"/>
      <c r="P189" s="43"/>
      <c r="Q189" s="43"/>
      <c r="R189" s="43"/>
      <c r="S189" s="43"/>
      <c r="T189" s="43"/>
    </row>
    <row r="190" spans="1:20" s="40" customFormat="1" ht="20" customHeight="1">
      <c r="A190" s="198"/>
      <c r="B190" s="4" t="s">
        <v>249</v>
      </c>
      <c r="C190" s="5">
        <f>(หลังริม!C190*1)+(หลังกลาง!C190*6)</f>
        <v>189</v>
      </c>
      <c r="D190" s="6" t="s">
        <v>32</v>
      </c>
      <c r="E190" s="11">
        <v>45</v>
      </c>
      <c r="F190" s="5">
        <f t="shared" si="60"/>
        <v>8505</v>
      </c>
      <c r="G190" s="5">
        <v>25</v>
      </c>
      <c r="H190" s="5">
        <f t="shared" si="61"/>
        <v>4725</v>
      </c>
      <c r="I190" s="7">
        <f t="shared" si="62"/>
        <v>13230</v>
      </c>
      <c r="J190" s="4"/>
      <c r="K190" s="43"/>
      <c r="L190" s="43"/>
      <c r="M190" s="43"/>
      <c r="N190" s="43"/>
      <c r="O190" s="43"/>
      <c r="P190" s="43"/>
      <c r="Q190" s="43"/>
      <c r="R190" s="43"/>
      <c r="S190" s="43"/>
      <c r="T190" s="43"/>
    </row>
    <row r="191" spans="1:20" s="40" customFormat="1" ht="20" customHeight="1">
      <c r="A191" s="198"/>
      <c r="B191" s="4" t="s">
        <v>250</v>
      </c>
      <c r="C191" s="5">
        <f>(หลังริม!C191*1)+(หลังกลาง!C191*6)</f>
        <v>179.34</v>
      </c>
      <c r="D191" s="6" t="s">
        <v>32</v>
      </c>
      <c r="E191" s="11">
        <v>45</v>
      </c>
      <c r="F191" s="5">
        <f t="shared" si="60"/>
        <v>8070.3</v>
      </c>
      <c r="G191" s="5">
        <v>25</v>
      </c>
      <c r="H191" s="5">
        <f t="shared" si="61"/>
        <v>4483.5</v>
      </c>
      <c r="I191" s="7">
        <f t="shared" si="62"/>
        <v>12553.8</v>
      </c>
      <c r="J191" s="4"/>
      <c r="K191" s="43"/>
      <c r="L191" s="43"/>
      <c r="M191" s="43"/>
      <c r="N191" s="43"/>
      <c r="O191" s="43"/>
      <c r="P191" s="43"/>
      <c r="Q191" s="43"/>
      <c r="R191" s="43"/>
      <c r="S191" s="43"/>
      <c r="T191" s="43"/>
    </row>
    <row r="192" spans="1:20" s="40" customFormat="1" ht="20" customHeight="1">
      <c r="A192" s="198"/>
      <c r="B192" s="4" t="s">
        <v>248</v>
      </c>
      <c r="C192" s="5">
        <f>(หลังริม!C192*1)+(หลังกลาง!C192*6)</f>
        <v>35</v>
      </c>
      <c r="D192" s="6" t="s">
        <v>32</v>
      </c>
      <c r="E192" s="11">
        <v>45</v>
      </c>
      <c r="F192" s="5">
        <f t="shared" si="60"/>
        <v>1575</v>
      </c>
      <c r="G192" s="5">
        <v>25</v>
      </c>
      <c r="H192" s="5">
        <f t="shared" si="61"/>
        <v>875</v>
      </c>
      <c r="I192" s="7">
        <f t="shared" si="62"/>
        <v>2450</v>
      </c>
      <c r="J192" s="4"/>
      <c r="K192" s="43"/>
      <c r="L192" s="43"/>
      <c r="M192" s="43"/>
      <c r="N192" s="43"/>
      <c r="O192" s="43"/>
      <c r="P192" s="43"/>
      <c r="Q192" s="43"/>
      <c r="R192" s="43"/>
      <c r="S192" s="43"/>
      <c r="T192" s="43"/>
    </row>
    <row r="193" spans="1:20" s="40" customFormat="1" ht="20" customHeight="1">
      <c r="A193" s="198"/>
      <c r="B193" s="78" t="s">
        <v>269</v>
      </c>
      <c r="C193" s="5">
        <f>(หลังริม!C193*1)+(หลังกลาง!C193*6)</f>
        <v>4.47</v>
      </c>
      <c r="D193" s="6" t="s">
        <v>32</v>
      </c>
      <c r="E193" s="5">
        <v>45</v>
      </c>
      <c r="F193" s="5">
        <f t="shared" si="60"/>
        <v>201.14999999999998</v>
      </c>
      <c r="G193" s="5">
        <v>25</v>
      </c>
      <c r="H193" s="5">
        <f t="shared" si="61"/>
        <v>111.75</v>
      </c>
      <c r="I193" s="7">
        <f t="shared" si="62"/>
        <v>312.89999999999998</v>
      </c>
      <c r="J193" s="4"/>
      <c r="K193" s="43"/>
      <c r="L193" s="43"/>
      <c r="M193" s="43"/>
      <c r="N193" s="43"/>
      <c r="O193" s="43"/>
      <c r="P193" s="43"/>
      <c r="Q193" s="43"/>
      <c r="R193" s="43"/>
      <c r="S193" s="43"/>
      <c r="T193" s="43"/>
    </row>
    <row r="194" spans="1:20" s="40" customFormat="1" ht="20" customHeight="1">
      <c r="A194" s="198"/>
      <c r="B194" s="78" t="s">
        <v>270</v>
      </c>
      <c r="C194" s="5">
        <f>(หลังริม!C194*1)+(หลังกลาง!C194*6)</f>
        <v>8</v>
      </c>
      <c r="D194" s="6" t="s">
        <v>32</v>
      </c>
      <c r="E194" s="5">
        <v>45</v>
      </c>
      <c r="F194" s="5">
        <f t="shared" si="60"/>
        <v>360</v>
      </c>
      <c r="G194" s="5">
        <v>25</v>
      </c>
      <c r="H194" s="5">
        <f t="shared" si="61"/>
        <v>200</v>
      </c>
      <c r="I194" s="7">
        <f t="shared" si="62"/>
        <v>560</v>
      </c>
      <c r="J194" s="4"/>
      <c r="K194" s="43"/>
      <c r="L194" s="43"/>
      <c r="M194" s="43"/>
      <c r="N194" s="43"/>
      <c r="O194" s="43"/>
      <c r="P194" s="43"/>
      <c r="Q194" s="43"/>
      <c r="R194" s="43"/>
      <c r="S194" s="43"/>
      <c r="T194" s="43"/>
    </row>
    <row r="195" spans="1:20" s="40" customFormat="1" ht="20" customHeight="1">
      <c r="A195" s="198"/>
      <c r="B195" s="4" t="s">
        <v>251</v>
      </c>
      <c r="C195" s="5">
        <f>(หลังริม!C195*1)+(หลังกลาง!C195*6)</f>
        <v>35</v>
      </c>
      <c r="D195" s="6" t="s">
        <v>32</v>
      </c>
      <c r="E195" s="11">
        <v>45</v>
      </c>
      <c r="F195" s="5">
        <f t="shared" si="60"/>
        <v>1575</v>
      </c>
      <c r="G195" s="5">
        <v>25</v>
      </c>
      <c r="H195" s="5">
        <f t="shared" si="61"/>
        <v>875</v>
      </c>
      <c r="I195" s="7">
        <f t="shared" si="62"/>
        <v>2450</v>
      </c>
      <c r="J195" s="4"/>
      <c r="K195" s="43"/>
      <c r="L195" s="43"/>
      <c r="M195" s="43"/>
      <c r="N195" s="43"/>
      <c r="O195" s="43"/>
      <c r="P195" s="43"/>
      <c r="Q195" s="43"/>
      <c r="R195" s="43"/>
      <c r="S195" s="43"/>
      <c r="T195" s="43"/>
    </row>
    <row r="196" spans="1:20" s="40" customFormat="1" ht="20" customHeight="1">
      <c r="A196" s="198"/>
      <c r="B196" s="4" t="s">
        <v>252</v>
      </c>
      <c r="C196" s="5">
        <f>(หลังริม!C196*1)+(หลังกลาง!C196*6)</f>
        <v>43.68</v>
      </c>
      <c r="D196" s="6" t="s">
        <v>32</v>
      </c>
      <c r="E196" s="11">
        <v>45</v>
      </c>
      <c r="F196" s="5">
        <f t="shared" si="60"/>
        <v>1965.6</v>
      </c>
      <c r="G196" s="5">
        <v>25</v>
      </c>
      <c r="H196" s="5">
        <f t="shared" si="61"/>
        <v>1092</v>
      </c>
      <c r="I196" s="7">
        <f t="shared" si="62"/>
        <v>3057.6</v>
      </c>
      <c r="J196" s="4"/>
      <c r="K196" s="43"/>
      <c r="L196" s="43"/>
      <c r="M196" s="43"/>
      <c r="N196" s="43"/>
      <c r="O196" s="43"/>
      <c r="P196" s="43"/>
      <c r="Q196" s="43"/>
      <c r="R196" s="43"/>
      <c r="S196" s="43"/>
      <c r="T196" s="43"/>
    </row>
    <row r="197" spans="1:20" s="40" customFormat="1" ht="20" customHeight="1">
      <c r="A197" s="198"/>
      <c r="B197" s="4" t="s">
        <v>253</v>
      </c>
      <c r="C197" s="5">
        <f>(หลังริม!C197*1)+(หลังกลาง!C197*6)</f>
        <v>7</v>
      </c>
      <c r="D197" s="6" t="s">
        <v>254</v>
      </c>
      <c r="E197" s="11">
        <v>0</v>
      </c>
      <c r="F197" s="5">
        <f t="shared" si="60"/>
        <v>0</v>
      </c>
      <c r="G197" s="5">
        <v>1500</v>
      </c>
      <c r="H197" s="5">
        <f t="shared" si="61"/>
        <v>10500</v>
      </c>
      <c r="I197" s="7">
        <f t="shared" si="62"/>
        <v>10500</v>
      </c>
      <c r="J197" s="4"/>
      <c r="K197" s="43"/>
      <c r="L197" s="43"/>
      <c r="M197" s="43"/>
      <c r="N197" s="43"/>
      <c r="O197" s="43"/>
      <c r="P197" s="43"/>
      <c r="Q197" s="43"/>
      <c r="R197" s="43"/>
      <c r="S197" s="43"/>
      <c r="T197" s="43"/>
    </row>
    <row r="198" spans="1:20" s="40" customFormat="1" ht="20" customHeight="1">
      <c r="A198" s="198"/>
      <c r="B198" s="4" t="s">
        <v>189</v>
      </c>
      <c r="C198" s="5">
        <f>(หลังริม!C198*1)+(หลังกลาง!C198*6)</f>
        <v>1191.3599999999999</v>
      </c>
      <c r="D198" s="6" t="s">
        <v>32</v>
      </c>
      <c r="E198" s="11">
        <v>15</v>
      </c>
      <c r="F198" s="5">
        <f t="shared" si="60"/>
        <v>17870.399999999998</v>
      </c>
      <c r="G198" s="5">
        <v>20</v>
      </c>
      <c r="H198" s="5">
        <f t="shared" si="61"/>
        <v>23827.199999999997</v>
      </c>
      <c r="I198" s="7">
        <f t="shared" si="62"/>
        <v>41697.599999999991</v>
      </c>
      <c r="J198" s="4"/>
      <c r="K198" s="43"/>
      <c r="L198" s="43"/>
      <c r="M198" s="43"/>
      <c r="N198" s="43"/>
      <c r="O198" s="43"/>
      <c r="P198" s="43"/>
      <c r="Q198" s="43"/>
      <c r="R198" s="43"/>
      <c r="S198" s="43"/>
      <c r="T198" s="43"/>
    </row>
    <row r="199" spans="1:20" s="40" customFormat="1" ht="20" customHeight="1">
      <c r="A199" s="198"/>
      <c r="B199" s="4" t="s">
        <v>190</v>
      </c>
      <c r="C199" s="5">
        <f>(หลังริม!C199*1)+(หลังกลาง!C199*6)</f>
        <v>7</v>
      </c>
      <c r="D199" s="6" t="s">
        <v>136</v>
      </c>
      <c r="E199" s="11">
        <v>0</v>
      </c>
      <c r="F199" s="5">
        <f t="shared" si="60"/>
        <v>0</v>
      </c>
      <c r="G199" s="5">
        <v>100</v>
      </c>
      <c r="H199" s="5">
        <f t="shared" si="61"/>
        <v>700</v>
      </c>
      <c r="I199" s="7">
        <f t="shared" si="62"/>
        <v>700</v>
      </c>
      <c r="J199" s="4"/>
      <c r="K199" s="43"/>
      <c r="L199" s="43"/>
      <c r="M199" s="43"/>
      <c r="N199" s="43"/>
      <c r="O199" s="43"/>
      <c r="P199" s="43"/>
      <c r="Q199" s="43"/>
      <c r="R199" s="43"/>
      <c r="S199" s="43"/>
      <c r="T199" s="43"/>
    </row>
    <row r="200" spans="1:20" s="50" customFormat="1" ht="20" customHeight="1">
      <c r="A200" s="12"/>
      <c r="B200" s="12" t="s">
        <v>220</v>
      </c>
      <c r="C200" s="5">
        <f>(หลังริม!C200*1)+(หลังกลาง!C200*6)</f>
        <v>0</v>
      </c>
      <c r="D200" s="12"/>
      <c r="E200" s="100"/>
      <c r="F200" s="14">
        <f>SUM(F186:F199)</f>
        <v>120072.75</v>
      </c>
      <c r="G200" s="14"/>
      <c r="H200" s="14">
        <f t="shared" ref="H200:I200" si="63">SUM(H186:H199)</f>
        <v>83054.95</v>
      </c>
      <c r="I200" s="14">
        <f t="shared" si="63"/>
        <v>203127.7</v>
      </c>
      <c r="J200" s="13"/>
      <c r="K200" s="151">
        <f>H200+F200</f>
        <v>203127.7</v>
      </c>
    </row>
    <row r="201" spans="1:20" s="40" customFormat="1" ht="20" customHeight="1">
      <c r="A201" s="198"/>
      <c r="B201" s="3" t="s">
        <v>229</v>
      </c>
      <c r="C201" s="5">
        <f>(หลังริม!C201*1)+(หลังกลาง!C201*6)</f>
        <v>0</v>
      </c>
      <c r="D201" s="6"/>
      <c r="E201" s="48"/>
      <c r="F201" s="4"/>
      <c r="G201" s="4"/>
      <c r="H201" s="4"/>
      <c r="I201" s="4"/>
      <c r="J201" s="4"/>
      <c r="K201" s="43"/>
      <c r="L201" s="43"/>
      <c r="M201" s="43"/>
      <c r="N201" s="43"/>
      <c r="O201" s="43"/>
      <c r="P201" s="43"/>
      <c r="Q201" s="43"/>
      <c r="R201" s="43"/>
      <c r="S201" s="43"/>
      <c r="T201" s="43"/>
    </row>
    <row r="202" spans="1:20" s="40" customFormat="1" ht="20" customHeight="1">
      <c r="A202" s="198"/>
      <c r="B202" s="4" t="s">
        <v>52</v>
      </c>
      <c r="C202" s="5">
        <f>(หลังริม!C202*1)+(หลังกลาง!C202*6)</f>
        <v>56</v>
      </c>
      <c r="D202" s="6" t="s">
        <v>53</v>
      </c>
      <c r="E202" s="11">
        <v>225</v>
      </c>
      <c r="F202" s="5">
        <f>E202*C202</f>
        <v>12600</v>
      </c>
      <c r="G202" s="20">
        <v>0</v>
      </c>
      <c r="H202" s="5">
        <f>G202*C202</f>
        <v>0</v>
      </c>
      <c r="I202" s="49">
        <f>H202+F202</f>
        <v>12600</v>
      </c>
      <c r="J202" s="4"/>
      <c r="K202" s="43"/>
      <c r="L202" s="43"/>
      <c r="M202" s="43"/>
      <c r="N202" s="43"/>
      <c r="O202" s="43"/>
      <c r="P202" s="43"/>
      <c r="Q202" s="43"/>
      <c r="R202" s="43"/>
      <c r="S202" s="43"/>
      <c r="T202" s="43"/>
    </row>
    <row r="203" spans="1:20" s="40" customFormat="1" ht="20" customHeight="1">
      <c r="A203" s="198"/>
      <c r="B203" s="4" t="s">
        <v>179</v>
      </c>
      <c r="C203" s="5">
        <f>(หลังริม!C203*1)+(หลังกลาง!C203*6)</f>
        <v>56</v>
      </c>
      <c r="D203" s="6" t="s">
        <v>141</v>
      </c>
      <c r="E203" s="11">
        <v>25</v>
      </c>
      <c r="F203" s="5">
        <f t="shared" ref="F203:F213" si="64">E203*C203</f>
        <v>1400</v>
      </c>
      <c r="G203" s="20">
        <v>0</v>
      </c>
      <c r="H203" s="5">
        <f t="shared" ref="H203:H213" si="65">G203*C203</f>
        <v>0</v>
      </c>
      <c r="I203" s="49">
        <f t="shared" ref="I203:I213" si="66">H203+F203</f>
        <v>1400</v>
      </c>
      <c r="J203" s="4"/>
      <c r="K203" s="43"/>
      <c r="L203" s="43"/>
      <c r="M203" s="43"/>
      <c r="N203" s="43"/>
      <c r="O203" s="43"/>
      <c r="P203" s="43"/>
      <c r="Q203" s="43"/>
      <c r="R203" s="43"/>
      <c r="S203" s="43"/>
      <c r="T203" s="43"/>
    </row>
    <row r="204" spans="1:20" s="40" customFormat="1" ht="20" customHeight="1">
      <c r="A204" s="198"/>
      <c r="B204" s="4" t="s">
        <v>180</v>
      </c>
      <c r="C204" s="5">
        <f>(หลังริม!C204*1)+(หลังกลาง!C204*6)</f>
        <v>14</v>
      </c>
      <c r="D204" s="6" t="s">
        <v>141</v>
      </c>
      <c r="E204" s="11">
        <v>99</v>
      </c>
      <c r="F204" s="5">
        <f t="shared" si="64"/>
        <v>1386</v>
      </c>
      <c r="G204" s="20">
        <v>0</v>
      </c>
      <c r="H204" s="5">
        <f t="shared" si="65"/>
        <v>0</v>
      </c>
      <c r="I204" s="49">
        <f t="shared" si="66"/>
        <v>1386</v>
      </c>
      <c r="J204" s="4"/>
      <c r="K204" s="43"/>
      <c r="L204" s="43"/>
      <c r="M204" s="43"/>
      <c r="N204" s="43"/>
      <c r="O204" s="43"/>
      <c r="P204" s="43"/>
      <c r="Q204" s="43"/>
      <c r="R204" s="43"/>
      <c r="S204" s="43"/>
      <c r="T204" s="43"/>
    </row>
    <row r="205" spans="1:20" s="40" customFormat="1" ht="20" customHeight="1">
      <c r="A205" s="198"/>
      <c r="B205" s="4" t="s">
        <v>181</v>
      </c>
      <c r="C205" s="5">
        <f>(หลังริม!C205*1)+(หลังกลาง!C205*6)</f>
        <v>14</v>
      </c>
      <c r="D205" s="6" t="s">
        <v>141</v>
      </c>
      <c r="E205" s="11">
        <v>99</v>
      </c>
      <c r="F205" s="5">
        <f t="shared" si="64"/>
        <v>1386</v>
      </c>
      <c r="G205" s="20">
        <v>0</v>
      </c>
      <c r="H205" s="5">
        <f t="shared" si="65"/>
        <v>0</v>
      </c>
      <c r="I205" s="49">
        <f t="shared" si="66"/>
        <v>1386</v>
      </c>
      <c r="J205" s="4"/>
      <c r="K205" s="43"/>
      <c r="L205" s="43"/>
      <c r="M205" s="43"/>
      <c r="N205" s="43"/>
      <c r="O205" s="43"/>
      <c r="P205" s="43"/>
      <c r="Q205" s="43"/>
      <c r="R205" s="43"/>
      <c r="S205" s="43"/>
      <c r="T205" s="43"/>
    </row>
    <row r="206" spans="1:20" s="40" customFormat="1" ht="20" customHeight="1">
      <c r="A206" s="198"/>
      <c r="B206" s="4" t="s">
        <v>182</v>
      </c>
      <c r="C206" s="5">
        <f>(หลังริม!C206*1)+(หลังกลาง!C206*6)</f>
        <v>1.1666666666666667</v>
      </c>
      <c r="D206" s="6" t="s">
        <v>53</v>
      </c>
      <c r="E206" s="11">
        <v>335</v>
      </c>
      <c r="F206" s="5">
        <f t="shared" si="64"/>
        <v>390.83333333333337</v>
      </c>
      <c r="G206" s="20">
        <v>0</v>
      </c>
      <c r="H206" s="5">
        <f t="shared" si="65"/>
        <v>0</v>
      </c>
      <c r="I206" s="49">
        <f t="shared" si="66"/>
        <v>390.83333333333337</v>
      </c>
      <c r="J206" s="4"/>
      <c r="K206" s="43"/>
      <c r="L206" s="43"/>
      <c r="M206" s="43"/>
      <c r="N206" s="43"/>
      <c r="O206" s="43"/>
      <c r="P206" s="43"/>
      <c r="Q206" s="43"/>
      <c r="R206" s="43"/>
      <c r="S206" s="43"/>
      <c r="T206" s="43"/>
    </row>
    <row r="207" spans="1:20" s="40" customFormat="1" ht="20" customHeight="1">
      <c r="A207" s="6"/>
      <c r="B207" s="4" t="s">
        <v>63</v>
      </c>
      <c r="C207" s="5">
        <f>(หลังริม!C207*1)+(หลังกลาง!C207*6)</f>
        <v>1.1666666666666667</v>
      </c>
      <c r="D207" s="6" t="s">
        <v>64</v>
      </c>
      <c r="E207" s="11">
        <v>1240</v>
      </c>
      <c r="F207" s="5">
        <f t="shared" si="64"/>
        <v>1446.6666666666667</v>
      </c>
      <c r="G207" s="20">
        <v>0</v>
      </c>
      <c r="H207" s="5">
        <f t="shared" si="65"/>
        <v>0</v>
      </c>
      <c r="I207" s="49">
        <f t="shared" si="66"/>
        <v>1446.6666666666667</v>
      </c>
      <c r="J207" s="4"/>
      <c r="K207" s="43"/>
      <c r="L207" s="43"/>
      <c r="M207" s="43"/>
      <c r="N207" s="43"/>
      <c r="O207" s="43"/>
      <c r="P207" s="43"/>
      <c r="Q207" s="43"/>
      <c r="R207" s="43"/>
      <c r="S207" s="43"/>
      <c r="T207" s="43"/>
    </row>
    <row r="208" spans="1:20" s="40" customFormat="1" ht="20" customHeight="1">
      <c r="A208" s="198"/>
      <c r="B208" s="4" t="s">
        <v>65</v>
      </c>
      <c r="C208" s="5">
        <f>(หลังริม!C208*1)+(หลังกลาง!C208*6)</f>
        <v>2.3333333333333335</v>
      </c>
      <c r="D208" s="6" t="s">
        <v>66</v>
      </c>
      <c r="E208" s="11">
        <v>1089</v>
      </c>
      <c r="F208" s="5">
        <f t="shared" si="64"/>
        <v>2541</v>
      </c>
      <c r="G208" s="20">
        <v>0</v>
      </c>
      <c r="H208" s="5">
        <f t="shared" si="65"/>
        <v>0</v>
      </c>
      <c r="I208" s="49">
        <f t="shared" si="66"/>
        <v>2541</v>
      </c>
      <c r="J208" s="4"/>
      <c r="K208" s="43"/>
      <c r="L208" s="43"/>
      <c r="M208" s="43"/>
      <c r="N208" s="43"/>
      <c r="O208" s="43"/>
      <c r="P208" s="43"/>
      <c r="Q208" s="43"/>
      <c r="R208" s="43"/>
      <c r="S208" s="43"/>
      <c r="T208" s="43"/>
    </row>
    <row r="209" spans="1:20" s="40" customFormat="1" ht="20" customHeight="1">
      <c r="A209" s="198"/>
      <c r="B209" s="4" t="s">
        <v>68</v>
      </c>
      <c r="C209" s="5">
        <f>(หลังริม!C209*1)+(หลังกลาง!C209*6)</f>
        <v>1.19</v>
      </c>
      <c r="D209" s="6" t="s">
        <v>64</v>
      </c>
      <c r="E209" s="11">
        <v>1595</v>
      </c>
      <c r="F209" s="5">
        <f t="shared" si="64"/>
        <v>1898.05</v>
      </c>
      <c r="G209" s="20">
        <v>0</v>
      </c>
      <c r="H209" s="5">
        <f t="shared" si="65"/>
        <v>0</v>
      </c>
      <c r="I209" s="49">
        <f t="shared" si="66"/>
        <v>1898.05</v>
      </c>
      <c r="J209" s="4"/>
      <c r="K209" s="43"/>
      <c r="L209" s="43"/>
      <c r="M209" s="43"/>
      <c r="N209" s="43"/>
      <c r="O209" s="43"/>
      <c r="P209" s="43"/>
      <c r="Q209" s="43"/>
      <c r="R209" s="43"/>
      <c r="S209" s="43"/>
      <c r="T209" s="43"/>
    </row>
    <row r="210" spans="1:20" s="40" customFormat="1" ht="20" customHeight="1">
      <c r="A210" s="198"/>
      <c r="B210" s="4" t="s">
        <v>67</v>
      </c>
      <c r="C210" s="5">
        <f>(หลังริม!C210*1)+(หลังกลาง!C210*6)</f>
        <v>4.666666666666667</v>
      </c>
      <c r="D210" s="6" t="s">
        <v>66</v>
      </c>
      <c r="E210" s="11">
        <v>389</v>
      </c>
      <c r="F210" s="5">
        <f t="shared" si="64"/>
        <v>1815.3333333333335</v>
      </c>
      <c r="G210" s="20">
        <v>0</v>
      </c>
      <c r="H210" s="5">
        <f t="shared" si="65"/>
        <v>0</v>
      </c>
      <c r="I210" s="49">
        <f t="shared" si="66"/>
        <v>1815.3333333333335</v>
      </c>
      <c r="J210" s="4"/>
      <c r="K210" s="43"/>
      <c r="L210" s="43"/>
      <c r="M210" s="43"/>
      <c r="N210" s="43"/>
      <c r="O210" s="43"/>
      <c r="P210" s="43"/>
      <c r="Q210" s="43"/>
      <c r="R210" s="43"/>
      <c r="S210" s="43"/>
      <c r="T210" s="43"/>
    </row>
    <row r="211" spans="1:20" s="40" customFormat="1" ht="20" customHeight="1">
      <c r="A211" s="198"/>
      <c r="B211" s="4" t="s">
        <v>183</v>
      </c>
      <c r="C211" s="5">
        <f>(หลังริม!C211*1)+(หลังกลาง!C211*6)</f>
        <v>1.19</v>
      </c>
      <c r="D211" s="6" t="s">
        <v>125</v>
      </c>
      <c r="E211" s="11">
        <v>357</v>
      </c>
      <c r="F211" s="5">
        <f t="shared" si="64"/>
        <v>424.83</v>
      </c>
      <c r="G211" s="20">
        <v>0</v>
      </c>
      <c r="H211" s="5">
        <f t="shared" si="65"/>
        <v>0</v>
      </c>
      <c r="I211" s="49">
        <f t="shared" si="66"/>
        <v>424.83</v>
      </c>
      <c r="J211" s="4"/>
      <c r="K211" s="43"/>
      <c r="L211" s="43"/>
      <c r="M211" s="43"/>
      <c r="N211" s="43"/>
      <c r="O211" s="43"/>
      <c r="P211" s="43"/>
      <c r="Q211" s="43"/>
      <c r="R211" s="43"/>
      <c r="S211" s="43"/>
      <c r="T211" s="43"/>
    </row>
    <row r="212" spans="1:20" s="40" customFormat="1" ht="20" customHeight="1">
      <c r="A212" s="198"/>
      <c r="B212" s="4" t="s">
        <v>184</v>
      </c>
      <c r="C212" s="5">
        <f>(หลังริม!C212*1)+(หลังกลาง!C212*6)</f>
        <v>1.19</v>
      </c>
      <c r="D212" s="6" t="s">
        <v>125</v>
      </c>
      <c r="E212" s="11">
        <v>329</v>
      </c>
      <c r="F212" s="5">
        <f t="shared" si="64"/>
        <v>391.51</v>
      </c>
      <c r="G212" s="20">
        <v>0</v>
      </c>
      <c r="H212" s="5">
        <f t="shared" si="65"/>
        <v>0</v>
      </c>
      <c r="I212" s="49">
        <f t="shared" si="66"/>
        <v>391.51</v>
      </c>
      <c r="J212" s="4"/>
      <c r="K212" s="43"/>
      <c r="L212" s="43"/>
      <c r="M212" s="43"/>
      <c r="N212" s="43"/>
      <c r="O212" s="43"/>
      <c r="P212" s="43"/>
      <c r="Q212" s="43"/>
      <c r="R212" s="43"/>
      <c r="S212" s="43"/>
      <c r="T212" s="43"/>
    </row>
    <row r="213" spans="1:20" s="43" customFormat="1" ht="20" customHeight="1">
      <c r="A213" s="198"/>
      <c r="B213" s="4" t="s">
        <v>272</v>
      </c>
      <c r="C213" s="5">
        <f>(หลังริม!C213*1)+(หลังกลาง!C213*6)</f>
        <v>7</v>
      </c>
      <c r="D213" s="6" t="s">
        <v>264</v>
      </c>
      <c r="E213" s="5">
        <v>0</v>
      </c>
      <c r="F213" s="5">
        <f t="shared" si="64"/>
        <v>0</v>
      </c>
      <c r="G213" s="70">
        <v>1600</v>
      </c>
      <c r="H213" s="5">
        <f t="shared" si="65"/>
        <v>11200</v>
      </c>
      <c r="I213" s="49">
        <f t="shared" si="66"/>
        <v>11200</v>
      </c>
      <c r="J213" s="4"/>
      <c r="K213" s="73"/>
    </row>
    <row r="214" spans="1:20" s="50" customFormat="1" ht="20" customHeight="1">
      <c r="A214" s="12"/>
      <c r="B214" s="12" t="s">
        <v>230</v>
      </c>
      <c r="C214" s="5">
        <f>(หลังริม!C214*1)+(หลังกลาง!C214*6)</f>
        <v>0</v>
      </c>
      <c r="D214" s="12"/>
      <c r="E214" s="100"/>
      <c r="F214" s="14">
        <f>SUM(F202:F213)</f>
        <v>25680.223333333332</v>
      </c>
      <c r="G214" s="14"/>
      <c r="H214" s="14">
        <f t="shared" ref="H214:I214" si="67">SUM(H202:H213)</f>
        <v>11200</v>
      </c>
      <c r="I214" s="14">
        <f t="shared" si="67"/>
        <v>36880.223333333328</v>
      </c>
      <c r="J214" s="13"/>
      <c r="K214" s="151">
        <f>H214+F214</f>
        <v>36880.223333333328</v>
      </c>
    </row>
    <row r="215" spans="1:20" s="85" customFormat="1" ht="20" customHeight="1">
      <c r="A215" s="204">
        <v>2</v>
      </c>
      <c r="B215" s="81" t="s">
        <v>109</v>
      </c>
      <c r="C215" s="5">
        <f>(หลังริม!C215*1)+(หลังกลาง!C215*6)</f>
        <v>0</v>
      </c>
      <c r="D215" s="81" t="s">
        <v>11</v>
      </c>
      <c r="E215" s="82"/>
      <c r="F215" s="82">
        <f>F96+F100+F111+F115+F122+F137+F146+F166+F177+F184+F200+F214</f>
        <v>711047.37100074021</v>
      </c>
      <c r="G215" s="82"/>
      <c r="H215" s="82">
        <f t="shared" ref="H215:I215" si="68">H96+H100+H111+H115+H122+H137+H146+H166+H177+H184+H200+H214</f>
        <v>688537.95</v>
      </c>
      <c r="I215" s="82">
        <f t="shared" si="68"/>
        <v>1399585.3210007402</v>
      </c>
      <c r="J215" s="83"/>
      <c r="K215" s="151">
        <f>H215+F215</f>
        <v>1399585.3210007402</v>
      </c>
      <c r="L215" s="84"/>
      <c r="M215" s="84"/>
      <c r="N215" s="84"/>
      <c r="O215" s="84"/>
      <c r="P215" s="84"/>
      <c r="Q215" s="84"/>
      <c r="R215" s="84"/>
      <c r="S215" s="84"/>
      <c r="T215" s="84"/>
    </row>
    <row r="216" spans="1:20" s="159" customFormat="1" ht="20" customHeight="1" thickBot="1">
      <c r="A216" s="212"/>
      <c r="B216" s="87"/>
      <c r="C216" s="5">
        <f>(หลังริม!C216*1)+(หลังกลาง!C216*6)</f>
        <v>0</v>
      </c>
      <c r="D216" s="155"/>
      <c r="E216" s="156"/>
      <c r="F216" s="88"/>
      <c r="G216" s="156"/>
      <c r="H216" s="88"/>
      <c r="I216" s="153"/>
      <c r="J216" s="157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</row>
    <row r="217" spans="1:20" s="97" customFormat="1" ht="20" customHeight="1" thickTop="1">
      <c r="A217" s="206">
        <v>3</v>
      </c>
      <c r="B217" s="92" t="s">
        <v>191</v>
      </c>
      <c r="C217" s="5">
        <f>(หลังริม!C217*1)+(หลังกลาง!C217*6)</f>
        <v>0</v>
      </c>
      <c r="D217" s="190"/>
      <c r="E217" s="94"/>
      <c r="F217" s="93"/>
      <c r="G217" s="93"/>
      <c r="H217" s="93"/>
      <c r="I217" s="93"/>
      <c r="J217" s="93"/>
      <c r="K217" s="96"/>
      <c r="L217" s="96"/>
      <c r="M217" s="96"/>
      <c r="N217" s="96"/>
      <c r="O217" s="96"/>
      <c r="P217" s="96"/>
      <c r="Q217" s="96"/>
      <c r="R217" s="96"/>
      <c r="S217" s="96"/>
      <c r="T217" s="96"/>
    </row>
    <row r="218" spans="1:20" s="40" customFormat="1" ht="20" customHeight="1">
      <c r="A218" s="198"/>
      <c r="B218" s="3" t="s">
        <v>192</v>
      </c>
      <c r="C218" s="5">
        <f>(หลังริม!C218*1)+(หลังกลาง!C218*6)</f>
        <v>0</v>
      </c>
      <c r="D218" s="6"/>
      <c r="E218" s="48"/>
      <c r="F218" s="4"/>
      <c r="G218" s="4"/>
      <c r="H218" s="4"/>
      <c r="I218" s="4"/>
      <c r="J218" s="4"/>
      <c r="K218" s="43"/>
      <c r="L218" s="43"/>
      <c r="M218" s="43"/>
      <c r="N218" s="43"/>
      <c r="O218" s="43"/>
      <c r="P218" s="43"/>
      <c r="Q218" s="43"/>
      <c r="R218" s="43"/>
      <c r="S218" s="43"/>
      <c r="T218" s="43"/>
    </row>
    <row r="219" spans="1:20" s="40" customFormat="1" ht="20" customHeight="1">
      <c r="A219" s="198"/>
      <c r="B219" s="4" t="s">
        <v>207</v>
      </c>
      <c r="C219" s="5">
        <f>(หลังริม!C219*1)+(หลังกลาง!C219*6)</f>
        <v>105</v>
      </c>
      <c r="D219" s="6" t="s">
        <v>141</v>
      </c>
      <c r="E219" s="11">
        <v>31</v>
      </c>
      <c r="F219" s="5">
        <f>E219*C219</f>
        <v>3255</v>
      </c>
      <c r="G219" s="20">
        <v>0</v>
      </c>
      <c r="H219" s="5">
        <f t="shared" ref="H219:H223" si="69">G219*C219</f>
        <v>0</v>
      </c>
      <c r="I219" s="7">
        <f>H219+F219</f>
        <v>3255</v>
      </c>
      <c r="J219" s="4"/>
      <c r="K219" s="43"/>
      <c r="L219" s="43"/>
      <c r="M219" s="43"/>
      <c r="N219" s="43"/>
      <c r="O219" s="43"/>
      <c r="P219" s="43"/>
      <c r="Q219" s="43"/>
      <c r="R219" s="43"/>
      <c r="S219" s="43"/>
      <c r="T219" s="43"/>
    </row>
    <row r="220" spans="1:20" s="40" customFormat="1" ht="20" customHeight="1">
      <c r="A220" s="198"/>
      <c r="B220" s="4" t="s">
        <v>242</v>
      </c>
      <c r="C220" s="5">
        <f>(หลังริม!C220*1)+(หลังกลาง!C220*6)</f>
        <v>112</v>
      </c>
      <c r="D220" s="6" t="s">
        <v>141</v>
      </c>
      <c r="E220" s="11">
        <v>65</v>
      </c>
      <c r="F220" s="5">
        <f t="shared" ref="F220:F223" si="70">E220*C220</f>
        <v>7280</v>
      </c>
      <c r="G220" s="20">
        <v>0</v>
      </c>
      <c r="H220" s="5">
        <f t="shared" si="69"/>
        <v>0</v>
      </c>
      <c r="I220" s="7">
        <f t="shared" ref="I220:I223" si="71">H220+F220</f>
        <v>7280</v>
      </c>
      <c r="J220" s="4"/>
      <c r="K220" s="43"/>
      <c r="L220" s="43"/>
      <c r="M220" s="43"/>
      <c r="N220" s="43"/>
      <c r="O220" s="43"/>
      <c r="P220" s="43"/>
      <c r="Q220" s="43"/>
      <c r="R220" s="43"/>
      <c r="S220" s="43"/>
      <c r="T220" s="43"/>
    </row>
    <row r="221" spans="1:20" s="40" customFormat="1" ht="20" customHeight="1">
      <c r="A221" s="198"/>
      <c r="B221" s="4" t="s">
        <v>208</v>
      </c>
      <c r="C221" s="5">
        <f>(หลังริม!C221*1)+(หลังกลาง!C221*6)</f>
        <v>7</v>
      </c>
      <c r="D221" s="6" t="s">
        <v>141</v>
      </c>
      <c r="E221" s="11">
        <v>109</v>
      </c>
      <c r="F221" s="5">
        <f t="shared" si="70"/>
        <v>763</v>
      </c>
      <c r="G221" s="20">
        <v>0</v>
      </c>
      <c r="H221" s="5">
        <f t="shared" si="69"/>
        <v>0</v>
      </c>
      <c r="I221" s="7">
        <f t="shared" si="71"/>
        <v>763</v>
      </c>
      <c r="J221" s="4"/>
      <c r="K221" s="43"/>
      <c r="L221" s="43"/>
      <c r="M221" s="43"/>
      <c r="N221" s="43"/>
      <c r="O221" s="43"/>
      <c r="P221" s="43"/>
      <c r="Q221" s="43"/>
      <c r="R221" s="43"/>
      <c r="S221" s="43"/>
      <c r="T221" s="43"/>
    </row>
    <row r="222" spans="1:20" s="40" customFormat="1" ht="20" customHeight="1">
      <c r="A222" s="6"/>
      <c r="B222" s="4" t="s">
        <v>209</v>
      </c>
      <c r="C222" s="5">
        <f>(หลังริม!C222*1)+(หลังกลาง!C222*6)</f>
        <v>7</v>
      </c>
      <c r="D222" s="6" t="s">
        <v>141</v>
      </c>
      <c r="E222" s="11">
        <v>349</v>
      </c>
      <c r="F222" s="5">
        <f t="shared" si="70"/>
        <v>2443</v>
      </c>
      <c r="G222" s="20">
        <v>0</v>
      </c>
      <c r="H222" s="5">
        <f t="shared" si="69"/>
        <v>0</v>
      </c>
      <c r="I222" s="7">
        <f t="shared" si="71"/>
        <v>2443</v>
      </c>
      <c r="J222" s="4"/>
      <c r="K222" s="43"/>
      <c r="L222" s="43"/>
      <c r="M222" s="43"/>
      <c r="N222" s="43"/>
      <c r="O222" s="43"/>
      <c r="P222" s="43"/>
      <c r="Q222" s="43"/>
      <c r="R222" s="43"/>
      <c r="S222" s="43"/>
      <c r="T222" s="43"/>
    </row>
    <row r="223" spans="1:20" s="40" customFormat="1" ht="20" customHeight="1">
      <c r="A223" s="6"/>
      <c r="B223" s="4" t="s">
        <v>193</v>
      </c>
      <c r="C223" s="5">
        <f>(หลังริม!C223*1)+(หลังกลาง!C223*6)</f>
        <v>7</v>
      </c>
      <c r="D223" s="6" t="s">
        <v>141</v>
      </c>
      <c r="E223" s="11">
        <v>0</v>
      </c>
      <c r="F223" s="5">
        <f t="shared" si="70"/>
        <v>0</v>
      </c>
      <c r="G223" s="20">
        <v>0</v>
      </c>
      <c r="H223" s="5">
        <f t="shared" si="69"/>
        <v>0</v>
      </c>
      <c r="I223" s="7">
        <f t="shared" si="71"/>
        <v>0</v>
      </c>
      <c r="J223" s="4"/>
      <c r="K223" s="43"/>
      <c r="L223" s="43"/>
      <c r="M223" s="43"/>
      <c r="N223" s="43"/>
      <c r="O223" s="43"/>
      <c r="P223" s="43"/>
      <c r="Q223" s="43"/>
      <c r="R223" s="43"/>
      <c r="S223" s="43"/>
      <c r="T223" s="43"/>
    </row>
    <row r="224" spans="1:20" s="50" customFormat="1" ht="20" customHeight="1">
      <c r="A224" s="12"/>
      <c r="B224" s="12" t="s">
        <v>200</v>
      </c>
      <c r="C224" s="5">
        <f>(หลังริม!C224*1)+(หลังกลาง!C224*6)</f>
        <v>0</v>
      </c>
      <c r="D224" s="12"/>
      <c r="E224" s="100"/>
      <c r="F224" s="14">
        <f>SUM(F219:F223)</f>
        <v>13741</v>
      </c>
      <c r="G224" s="14"/>
      <c r="H224" s="14">
        <f t="shared" ref="H224:I224" si="72">SUM(H219:H223)</f>
        <v>0</v>
      </c>
      <c r="I224" s="14">
        <f t="shared" si="72"/>
        <v>13741</v>
      </c>
      <c r="J224" s="13"/>
      <c r="K224" s="151">
        <f>H224+F224</f>
        <v>13741</v>
      </c>
    </row>
    <row r="225" spans="1:20" s="40" customFormat="1" ht="20" customHeight="1">
      <c r="A225" s="198"/>
      <c r="B225" s="3" t="s">
        <v>201</v>
      </c>
      <c r="C225" s="5">
        <f>(หลังริม!C225*1)+(หลังกลาง!C225*6)</f>
        <v>0</v>
      </c>
      <c r="D225" s="6"/>
      <c r="E225" s="48"/>
      <c r="F225" s="4"/>
      <c r="G225" s="160"/>
      <c r="H225" s="150"/>
      <c r="I225" s="4"/>
      <c r="J225" s="4"/>
      <c r="K225" s="43"/>
      <c r="L225" s="43"/>
      <c r="M225" s="43"/>
      <c r="N225" s="43"/>
      <c r="O225" s="43"/>
      <c r="P225" s="43"/>
      <c r="Q225" s="43"/>
      <c r="R225" s="43"/>
      <c r="S225" s="43"/>
      <c r="T225" s="43"/>
    </row>
    <row r="226" spans="1:20" s="40" customFormat="1" ht="20" customHeight="1">
      <c r="A226" s="198"/>
      <c r="B226" s="4" t="s">
        <v>232</v>
      </c>
      <c r="C226" s="5">
        <f>(หลังริม!C226*1)+(หลังกลาง!C226*6)</f>
        <v>21</v>
      </c>
      <c r="D226" s="6" t="s">
        <v>141</v>
      </c>
      <c r="E226" s="5">
        <v>0</v>
      </c>
      <c r="F226" s="5">
        <f>E226*C226</f>
        <v>0</v>
      </c>
      <c r="G226" s="20">
        <v>0</v>
      </c>
      <c r="H226" s="5">
        <f>G226*C226</f>
        <v>0</v>
      </c>
      <c r="I226" s="7">
        <f>H226+F226</f>
        <v>0</v>
      </c>
      <c r="J226" s="4"/>
      <c r="K226" s="43"/>
      <c r="L226" s="43"/>
      <c r="M226" s="43"/>
      <c r="N226" s="43"/>
      <c r="O226" s="43"/>
      <c r="P226" s="43"/>
      <c r="Q226" s="43"/>
      <c r="R226" s="43"/>
      <c r="S226" s="43"/>
      <c r="T226" s="43"/>
    </row>
    <row r="227" spans="1:20" s="40" customFormat="1" ht="20" customHeight="1">
      <c r="A227" s="198"/>
      <c r="B227" s="4" t="s">
        <v>233</v>
      </c>
      <c r="C227" s="5">
        <f>(หลังริม!C227*1)+(หลังกลาง!C227*6)</f>
        <v>21</v>
      </c>
      <c r="D227" s="6" t="s">
        <v>141</v>
      </c>
      <c r="E227" s="5">
        <v>0</v>
      </c>
      <c r="F227" s="5">
        <f t="shared" ref="F227:F231" si="73">E227*C227</f>
        <v>0</v>
      </c>
      <c r="G227" s="20">
        <v>0</v>
      </c>
      <c r="H227" s="5">
        <f t="shared" ref="H227:H231" si="74">G227*C227</f>
        <v>0</v>
      </c>
      <c r="I227" s="7">
        <f t="shared" ref="I227:I231" si="75">H227+F227</f>
        <v>0</v>
      </c>
      <c r="J227" s="4"/>
      <c r="K227" s="43"/>
      <c r="L227" s="43"/>
      <c r="M227" s="43"/>
      <c r="N227" s="43"/>
      <c r="O227" s="43"/>
      <c r="P227" s="43"/>
      <c r="Q227" s="43"/>
      <c r="R227" s="43"/>
      <c r="S227" s="43"/>
      <c r="T227" s="43"/>
    </row>
    <row r="228" spans="1:20" s="40" customFormat="1" ht="20" customHeight="1">
      <c r="A228" s="198"/>
      <c r="B228" s="4" t="s">
        <v>234</v>
      </c>
      <c r="C228" s="5">
        <f>(หลังริม!C228*1)+(หลังกลาง!C228*6)</f>
        <v>14</v>
      </c>
      <c r="D228" s="6" t="s">
        <v>141</v>
      </c>
      <c r="E228" s="5">
        <v>0</v>
      </c>
      <c r="F228" s="5">
        <f t="shared" si="73"/>
        <v>0</v>
      </c>
      <c r="G228" s="20">
        <v>0</v>
      </c>
      <c r="H228" s="5">
        <f t="shared" si="74"/>
        <v>0</v>
      </c>
      <c r="I228" s="7">
        <f t="shared" si="75"/>
        <v>0</v>
      </c>
      <c r="J228" s="4"/>
      <c r="K228" s="43"/>
      <c r="L228" s="43"/>
      <c r="M228" s="43"/>
      <c r="N228" s="43"/>
      <c r="O228" s="43"/>
      <c r="P228" s="43"/>
      <c r="Q228" s="43"/>
      <c r="R228" s="43"/>
      <c r="S228" s="43"/>
      <c r="T228" s="43"/>
    </row>
    <row r="229" spans="1:20" s="40" customFormat="1" ht="20" customHeight="1">
      <c r="A229" s="6"/>
      <c r="B229" s="4" t="s">
        <v>194</v>
      </c>
      <c r="C229" s="5">
        <f>(หลังริม!C229*1)+(หลังกลาง!C229*6)</f>
        <v>77</v>
      </c>
      <c r="D229" s="6" t="s">
        <v>141</v>
      </c>
      <c r="E229" s="5">
        <v>0</v>
      </c>
      <c r="F229" s="5">
        <f t="shared" si="73"/>
        <v>0</v>
      </c>
      <c r="G229" s="20">
        <v>0</v>
      </c>
      <c r="H229" s="5">
        <f t="shared" si="74"/>
        <v>0</v>
      </c>
      <c r="I229" s="7">
        <f t="shared" si="75"/>
        <v>0</v>
      </c>
      <c r="J229" s="4"/>
      <c r="K229" s="43"/>
      <c r="L229" s="43"/>
      <c r="M229" s="43"/>
      <c r="N229" s="43"/>
      <c r="O229" s="43"/>
      <c r="P229" s="43"/>
      <c r="Q229" s="43"/>
      <c r="R229" s="43"/>
      <c r="S229" s="43"/>
      <c r="T229" s="43"/>
    </row>
    <row r="230" spans="1:20" s="40" customFormat="1" ht="20" customHeight="1">
      <c r="A230" s="6"/>
      <c r="B230" s="4" t="s">
        <v>195</v>
      </c>
      <c r="C230" s="5">
        <f>(หลังริม!C230*1)+(หลังกลาง!C230*6)</f>
        <v>21</v>
      </c>
      <c r="D230" s="6" t="s">
        <v>141</v>
      </c>
      <c r="E230" s="5">
        <v>0</v>
      </c>
      <c r="F230" s="5">
        <f t="shared" si="73"/>
        <v>0</v>
      </c>
      <c r="G230" s="20">
        <v>0</v>
      </c>
      <c r="H230" s="5">
        <f t="shared" si="74"/>
        <v>0</v>
      </c>
      <c r="I230" s="7">
        <f t="shared" si="75"/>
        <v>0</v>
      </c>
      <c r="J230" s="4"/>
      <c r="K230" s="43"/>
      <c r="L230" s="43"/>
      <c r="M230" s="43"/>
      <c r="N230" s="43"/>
      <c r="O230" s="43"/>
      <c r="P230" s="43"/>
      <c r="Q230" s="43"/>
      <c r="R230" s="43"/>
      <c r="S230" s="43"/>
      <c r="T230" s="43"/>
    </row>
    <row r="231" spans="1:20" s="40" customFormat="1" ht="20" customHeight="1">
      <c r="A231" s="6"/>
      <c r="B231" s="4" t="s">
        <v>196</v>
      </c>
      <c r="C231" s="5">
        <f>(หลังริม!C231*1)+(หลังกลาง!C231*6)</f>
        <v>7</v>
      </c>
      <c r="D231" s="6" t="s">
        <v>141</v>
      </c>
      <c r="E231" s="5">
        <v>0</v>
      </c>
      <c r="F231" s="5">
        <f t="shared" si="73"/>
        <v>0</v>
      </c>
      <c r="G231" s="20">
        <v>0</v>
      </c>
      <c r="H231" s="5">
        <f t="shared" si="74"/>
        <v>0</v>
      </c>
      <c r="I231" s="7">
        <f t="shared" si="75"/>
        <v>0</v>
      </c>
      <c r="J231" s="4"/>
      <c r="K231" s="43"/>
      <c r="L231" s="43"/>
      <c r="M231" s="43"/>
      <c r="N231" s="43"/>
      <c r="O231" s="43"/>
      <c r="P231" s="43"/>
      <c r="Q231" s="43"/>
      <c r="R231" s="43"/>
      <c r="S231" s="43"/>
      <c r="T231" s="43"/>
    </row>
    <row r="232" spans="1:20" s="50" customFormat="1" ht="20" customHeight="1">
      <c r="A232" s="12"/>
      <c r="B232" s="12" t="s">
        <v>202</v>
      </c>
      <c r="C232" s="5">
        <f>(หลังริม!C232*1)+(หลังกลาง!C232*6)</f>
        <v>0</v>
      </c>
      <c r="D232" s="12"/>
      <c r="E232" s="100"/>
      <c r="F232" s="14">
        <f>SUM(F226:F231)</f>
        <v>0</v>
      </c>
      <c r="G232" s="14"/>
      <c r="H232" s="14">
        <f t="shared" ref="H232:I232" si="76">SUM(H226:H231)</f>
        <v>0</v>
      </c>
      <c r="I232" s="14">
        <f t="shared" si="76"/>
        <v>0</v>
      </c>
      <c r="J232" s="13"/>
      <c r="K232" s="151">
        <f>H232+F232</f>
        <v>0</v>
      </c>
    </row>
    <row r="233" spans="1:20" s="40" customFormat="1" ht="20" customHeight="1">
      <c r="A233" s="198"/>
      <c r="B233" s="3" t="s">
        <v>203</v>
      </c>
      <c r="C233" s="5">
        <f>(หลังริม!C233*1)+(หลังกลาง!C233*6)</f>
        <v>0</v>
      </c>
      <c r="D233" s="6"/>
      <c r="E233" s="48"/>
      <c r="F233" s="4"/>
      <c r="G233" s="4"/>
      <c r="H233" s="4"/>
      <c r="I233" s="4"/>
      <c r="J233" s="4"/>
      <c r="K233" s="43"/>
      <c r="L233" s="43"/>
      <c r="M233" s="43"/>
      <c r="N233" s="43"/>
      <c r="O233" s="43"/>
      <c r="P233" s="43"/>
      <c r="Q233" s="43"/>
      <c r="R233" s="43"/>
      <c r="S233" s="43"/>
      <c r="T233" s="43"/>
    </row>
    <row r="234" spans="1:20" s="40" customFormat="1" ht="20" customHeight="1">
      <c r="A234" s="198"/>
      <c r="B234" s="4" t="s">
        <v>231</v>
      </c>
      <c r="C234" s="5">
        <f>(หลังริม!C234*1)+(หลังกลาง!C234*6)</f>
        <v>7</v>
      </c>
      <c r="D234" s="6" t="s">
        <v>136</v>
      </c>
      <c r="E234" s="5">
        <v>0</v>
      </c>
      <c r="F234" s="5">
        <f>E234*C234</f>
        <v>0</v>
      </c>
      <c r="G234" s="20">
        <v>0</v>
      </c>
      <c r="H234" s="5">
        <f t="shared" ref="H234" si="77">G234*C234</f>
        <v>0</v>
      </c>
      <c r="I234" s="7">
        <f t="shared" ref="I234" si="78">H234+F234</f>
        <v>0</v>
      </c>
      <c r="J234" s="4"/>
      <c r="K234" s="43"/>
      <c r="L234" s="43"/>
      <c r="M234" s="43"/>
      <c r="N234" s="43"/>
      <c r="O234" s="43"/>
      <c r="P234" s="43"/>
      <c r="Q234" s="43"/>
      <c r="R234" s="43"/>
      <c r="S234" s="43"/>
      <c r="T234" s="43"/>
    </row>
    <row r="235" spans="1:20" s="50" customFormat="1" ht="20" customHeight="1">
      <c r="A235" s="12"/>
      <c r="B235" s="12" t="s">
        <v>204</v>
      </c>
      <c r="C235" s="5">
        <f>(หลังริม!C235*1)+(หลังกลาง!C235*6)</f>
        <v>0</v>
      </c>
      <c r="D235" s="12"/>
      <c r="E235" s="100"/>
      <c r="F235" s="14">
        <f>SUM(F234)</f>
        <v>0</v>
      </c>
      <c r="G235" s="14"/>
      <c r="H235" s="14">
        <f t="shared" ref="H235:I235" si="79">SUM(H234)</f>
        <v>0</v>
      </c>
      <c r="I235" s="14">
        <f t="shared" si="79"/>
        <v>0</v>
      </c>
      <c r="J235" s="13"/>
      <c r="K235" s="151">
        <f>H235+F235</f>
        <v>0</v>
      </c>
    </row>
    <row r="236" spans="1:20" s="40" customFormat="1" ht="20" customHeight="1">
      <c r="A236" s="198"/>
      <c r="B236" s="3" t="s">
        <v>205</v>
      </c>
      <c r="C236" s="5">
        <f>(หลังริม!C236*1)+(หลังกลาง!C236*6)</f>
        <v>0</v>
      </c>
      <c r="D236" s="6"/>
      <c r="E236" s="48"/>
      <c r="F236" s="4"/>
      <c r="G236" s="150"/>
      <c r="H236" s="150"/>
      <c r="I236" s="161"/>
      <c r="J236" s="4"/>
      <c r="K236" s="43"/>
      <c r="L236" s="43"/>
      <c r="M236" s="43"/>
      <c r="N236" s="43"/>
      <c r="O236" s="43"/>
      <c r="P236" s="43"/>
      <c r="Q236" s="43"/>
      <c r="R236" s="43"/>
      <c r="S236" s="43"/>
      <c r="T236" s="43"/>
    </row>
    <row r="237" spans="1:20" s="40" customFormat="1" ht="20" customHeight="1">
      <c r="A237" s="198"/>
      <c r="B237" s="4" t="s">
        <v>197</v>
      </c>
      <c r="C237" s="5">
        <f>(หลังริม!C237*1)+(หลังกลาง!C237*6)</f>
        <v>7</v>
      </c>
      <c r="D237" s="6" t="s">
        <v>141</v>
      </c>
      <c r="E237" s="5">
        <v>0</v>
      </c>
      <c r="F237" s="5">
        <f>E237*C237</f>
        <v>0</v>
      </c>
      <c r="G237" s="20">
        <v>0</v>
      </c>
      <c r="H237" s="5">
        <f>G237*C237</f>
        <v>0</v>
      </c>
      <c r="I237" s="7">
        <f>H237+F237</f>
        <v>0</v>
      </c>
      <c r="J237" s="4"/>
      <c r="K237" s="43"/>
      <c r="L237" s="43"/>
      <c r="M237" s="43"/>
      <c r="N237" s="43"/>
      <c r="O237" s="43"/>
      <c r="P237" s="43"/>
      <c r="Q237" s="43"/>
      <c r="R237" s="43"/>
      <c r="S237" s="43"/>
      <c r="T237" s="43"/>
    </row>
    <row r="238" spans="1:20" s="40" customFormat="1" ht="20" customHeight="1">
      <c r="A238" s="198"/>
      <c r="B238" s="4" t="s">
        <v>198</v>
      </c>
      <c r="C238" s="5">
        <f>(หลังริม!C238*1)+(หลังกลาง!C238*6)</f>
        <v>7</v>
      </c>
      <c r="D238" s="6" t="s">
        <v>141</v>
      </c>
      <c r="E238" s="5">
        <v>0</v>
      </c>
      <c r="F238" s="5">
        <f t="shared" ref="F238:F239" si="80">E238*C238</f>
        <v>0</v>
      </c>
      <c r="G238" s="20">
        <v>0</v>
      </c>
      <c r="H238" s="5">
        <f t="shared" ref="H238:H239" si="81">G238*C238</f>
        <v>0</v>
      </c>
      <c r="I238" s="7">
        <f t="shared" ref="I238:I239" si="82">H238+F238</f>
        <v>0</v>
      </c>
      <c r="J238" s="4"/>
      <c r="K238" s="43"/>
      <c r="L238" s="43"/>
      <c r="M238" s="43"/>
      <c r="N238" s="43"/>
      <c r="O238" s="43"/>
      <c r="P238" s="43"/>
      <c r="Q238" s="43"/>
      <c r="R238" s="43"/>
      <c r="S238" s="43"/>
      <c r="T238" s="43"/>
    </row>
    <row r="239" spans="1:20" s="43" customFormat="1" ht="20" customHeight="1">
      <c r="A239" s="6"/>
      <c r="B239" s="15" t="s">
        <v>271</v>
      </c>
      <c r="C239" s="5">
        <f>(หลังริม!C239*1)+(หลังกลาง!C239*6)</f>
        <v>7</v>
      </c>
      <c r="D239" s="6" t="s">
        <v>264</v>
      </c>
      <c r="E239" s="5">
        <v>0</v>
      </c>
      <c r="F239" s="5">
        <f t="shared" si="80"/>
        <v>0</v>
      </c>
      <c r="G239" s="70">
        <v>29850</v>
      </c>
      <c r="H239" s="5">
        <f t="shared" si="81"/>
        <v>208950</v>
      </c>
      <c r="I239" s="7">
        <f t="shared" si="82"/>
        <v>208950</v>
      </c>
      <c r="J239" s="4"/>
      <c r="K239" s="73"/>
    </row>
    <row r="240" spans="1:20" s="50" customFormat="1" ht="20" customHeight="1">
      <c r="A240" s="12"/>
      <c r="B240" s="12" t="s">
        <v>206</v>
      </c>
      <c r="C240" s="5">
        <f>(หลังริม!C240*1)+(หลังกลาง!C240*6)</f>
        <v>0</v>
      </c>
      <c r="D240" s="12"/>
      <c r="E240" s="100"/>
      <c r="F240" s="14">
        <f>SUM(F237:F239)</f>
        <v>0</v>
      </c>
      <c r="G240" s="14"/>
      <c r="H240" s="14">
        <f t="shared" ref="H240:I240" si="83">SUM(H237:H239)</f>
        <v>208950</v>
      </c>
      <c r="I240" s="14">
        <f t="shared" si="83"/>
        <v>208950</v>
      </c>
      <c r="J240" s="13"/>
      <c r="K240" s="151">
        <f>H240+F240</f>
        <v>208950</v>
      </c>
    </row>
    <row r="241" spans="1:20" s="167" customFormat="1" ht="20" customHeight="1">
      <c r="A241" s="207">
        <v>3</v>
      </c>
      <c r="B241" s="102" t="s">
        <v>199</v>
      </c>
      <c r="C241" s="5">
        <f>(หลังริม!C241*1)+(หลังกลาง!C241*6)</f>
        <v>0</v>
      </c>
      <c r="D241" s="163" t="s">
        <v>11</v>
      </c>
      <c r="E241" s="164"/>
      <c r="F241" s="103">
        <f>F224+F232+F235+F240</f>
        <v>13741</v>
      </c>
      <c r="G241" s="103"/>
      <c r="H241" s="103">
        <f t="shared" ref="H241:I241" si="84">H224+H232+H235+H240</f>
        <v>208950</v>
      </c>
      <c r="I241" s="103">
        <f t="shared" si="84"/>
        <v>222691</v>
      </c>
      <c r="J241" s="165"/>
      <c r="K241" s="151">
        <f>H241+F241</f>
        <v>222691</v>
      </c>
      <c r="L241" s="166"/>
      <c r="M241" s="166"/>
      <c r="N241" s="166"/>
      <c r="O241" s="166"/>
      <c r="P241" s="166"/>
      <c r="Q241" s="166"/>
      <c r="R241" s="166"/>
      <c r="S241" s="166"/>
      <c r="T241" s="166"/>
    </row>
    <row r="242" spans="1:20" s="159" customFormat="1" ht="20" customHeight="1">
      <c r="A242" s="212"/>
      <c r="B242" s="87"/>
      <c r="C242" s="5">
        <f>(หลังริม!C242*1)+(หลังกลาง!C242*6)</f>
        <v>0</v>
      </c>
      <c r="D242" s="155"/>
      <c r="E242" s="156"/>
      <c r="F242" s="88"/>
      <c r="G242" s="156"/>
      <c r="H242" s="88"/>
      <c r="I242" s="153"/>
      <c r="J242" s="157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</row>
    <row r="243" spans="1:20" s="171" customFormat="1" ht="20" customHeight="1">
      <c r="A243" s="208">
        <v>4</v>
      </c>
      <c r="B243" s="107" t="s">
        <v>278</v>
      </c>
      <c r="C243" s="5">
        <f>(หลังริม!C243*1)+(หลังกลาง!C243*6)</f>
        <v>0</v>
      </c>
      <c r="D243" s="194"/>
      <c r="E243" s="169"/>
      <c r="F243" s="168"/>
      <c r="G243" s="168"/>
      <c r="H243" s="168"/>
      <c r="I243" s="168"/>
      <c r="J243" s="168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</row>
    <row r="244" spans="1:20" s="40" customFormat="1" ht="20" customHeight="1">
      <c r="A244" s="198"/>
      <c r="B244" s="4" t="s">
        <v>235</v>
      </c>
      <c r="C244" s="5">
        <f>(หลังริม!C244*1)+(หลังกลาง!C244*6)</f>
        <v>7</v>
      </c>
      <c r="D244" s="6" t="s">
        <v>53</v>
      </c>
      <c r="E244" s="11">
        <v>1105</v>
      </c>
      <c r="F244" s="5">
        <f>E244*C244</f>
        <v>7735</v>
      </c>
      <c r="G244" s="20">
        <v>0</v>
      </c>
      <c r="H244" s="5">
        <f t="shared" ref="H244:H265" si="85">G244*C244</f>
        <v>0</v>
      </c>
      <c r="I244" s="7">
        <f>H244+F244</f>
        <v>7735</v>
      </c>
      <c r="J244" s="24"/>
    </row>
    <row r="245" spans="1:20" s="40" customFormat="1" ht="20" customHeight="1">
      <c r="A245" s="6"/>
      <c r="B245" s="4" t="s">
        <v>236</v>
      </c>
      <c r="C245" s="5">
        <f>(หลังริม!C245*1)+(หลังกลาง!C245*6)</f>
        <v>12.833333333333334</v>
      </c>
      <c r="D245" s="6" t="s">
        <v>53</v>
      </c>
      <c r="E245" s="11">
        <v>810</v>
      </c>
      <c r="F245" s="5">
        <f t="shared" ref="F245:F265" si="86">E245*C245</f>
        <v>10395</v>
      </c>
      <c r="G245" s="20">
        <v>0</v>
      </c>
      <c r="H245" s="5">
        <f t="shared" si="85"/>
        <v>0</v>
      </c>
      <c r="I245" s="7">
        <f t="shared" ref="I245:I265" si="87">H245+F245</f>
        <v>10395</v>
      </c>
      <c r="J245" s="24"/>
    </row>
    <row r="246" spans="1:20" s="40" customFormat="1" ht="20" customHeight="1">
      <c r="A246" s="6"/>
      <c r="B246" s="4" t="s">
        <v>238</v>
      </c>
      <c r="C246" s="5">
        <f>(หลังริม!C246*1)+(หลังกลาง!C246*6)</f>
        <v>14</v>
      </c>
      <c r="D246" s="6" t="s">
        <v>53</v>
      </c>
      <c r="E246" s="11">
        <v>610</v>
      </c>
      <c r="F246" s="5">
        <f t="shared" si="86"/>
        <v>8540</v>
      </c>
      <c r="G246" s="20">
        <v>0</v>
      </c>
      <c r="H246" s="5">
        <f t="shared" si="85"/>
        <v>0</v>
      </c>
      <c r="I246" s="7">
        <f t="shared" si="87"/>
        <v>8540</v>
      </c>
      <c r="J246" s="24"/>
    </row>
    <row r="247" spans="1:20" s="40" customFormat="1" ht="20" customHeight="1">
      <c r="A247" s="6"/>
      <c r="B247" s="4" t="s">
        <v>237</v>
      </c>
      <c r="C247" s="5">
        <f>(หลังริม!C247*1)+(หลังกลาง!C247*6)</f>
        <v>42</v>
      </c>
      <c r="D247" s="6" t="s">
        <v>53</v>
      </c>
      <c r="E247" s="11">
        <v>395</v>
      </c>
      <c r="F247" s="5">
        <f t="shared" si="86"/>
        <v>16590</v>
      </c>
      <c r="G247" s="20">
        <v>0</v>
      </c>
      <c r="H247" s="5">
        <f t="shared" si="85"/>
        <v>0</v>
      </c>
      <c r="I247" s="7">
        <f t="shared" si="87"/>
        <v>16590</v>
      </c>
      <c r="J247" s="24"/>
    </row>
    <row r="248" spans="1:20" s="40" customFormat="1" ht="20" customHeight="1">
      <c r="A248" s="198"/>
      <c r="B248" s="4" t="s">
        <v>239</v>
      </c>
      <c r="C248" s="5">
        <f>(หลังริม!C248*1)+(หลังกลาง!C248*6)</f>
        <v>8.1666666666666661</v>
      </c>
      <c r="D248" s="6" t="s">
        <v>60</v>
      </c>
      <c r="E248" s="11">
        <v>49</v>
      </c>
      <c r="F248" s="5">
        <f t="shared" si="86"/>
        <v>400.16666666666663</v>
      </c>
      <c r="G248" s="20">
        <v>0</v>
      </c>
      <c r="H248" s="5">
        <f t="shared" si="85"/>
        <v>0</v>
      </c>
      <c r="I248" s="7">
        <f t="shared" si="87"/>
        <v>400.16666666666663</v>
      </c>
      <c r="J248" s="24"/>
    </row>
    <row r="249" spans="1:20" s="40" customFormat="1" ht="20" customHeight="1">
      <c r="A249" s="198"/>
      <c r="B249" s="4" t="s">
        <v>240</v>
      </c>
      <c r="C249" s="5">
        <f>(หลังริม!C249*1)+(หลังกลาง!C249*6)</f>
        <v>8.1666666666666661</v>
      </c>
      <c r="D249" s="6" t="s">
        <v>60</v>
      </c>
      <c r="E249" s="11">
        <v>39</v>
      </c>
      <c r="F249" s="5">
        <f t="shared" si="86"/>
        <v>318.5</v>
      </c>
      <c r="G249" s="20">
        <v>0</v>
      </c>
      <c r="H249" s="5">
        <f t="shared" si="85"/>
        <v>0</v>
      </c>
      <c r="I249" s="7">
        <f t="shared" si="87"/>
        <v>318.5</v>
      </c>
      <c r="J249" s="24"/>
    </row>
    <row r="250" spans="1:20" s="40" customFormat="1" ht="20" customHeight="1">
      <c r="A250" s="198"/>
      <c r="B250" s="4" t="s">
        <v>241</v>
      </c>
      <c r="C250" s="5">
        <f>(หลังริม!C250*1)+(หลังกลาง!C250*6)</f>
        <v>2.3333333333333335</v>
      </c>
      <c r="D250" s="6" t="s">
        <v>53</v>
      </c>
      <c r="E250" s="11">
        <v>285</v>
      </c>
      <c r="F250" s="5">
        <f t="shared" si="86"/>
        <v>665</v>
      </c>
      <c r="G250" s="20">
        <v>0</v>
      </c>
      <c r="H250" s="5">
        <f t="shared" si="85"/>
        <v>0</v>
      </c>
      <c r="I250" s="7">
        <f t="shared" si="87"/>
        <v>665</v>
      </c>
      <c r="J250" s="24"/>
    </row>
    <row r="251" spans="1:20" s="40" customFormat="1" ht="20" customHeight="1">
      <c r="A251" s="198"/>
      <c r="B251" s="4" t="s">
        <v>222</v>
      </c>
      <c r="C251" s="5">
        <f>(หลังริม!C251*1)+(หลังกลาง!C251*6)</f>
        <v>15.166666666666666</v>
      </c>
      <c r="D251" s="6" t="s">
        <v>53</v>
      </c>
      <c r="E251" s="11">
        <v>250</v>
      </c>
      <c r="F251" s="5">
        <f t="shared" si="86"/>
        <v>3791.6666666666665</v>
      </c>
      <c r="G251" s="20">
        <v>0</v>
      </c>
      <c r="H251" s="5">
        <f t="shared" si="85"/>
        <v>0</v>
      </c>
      <c r="I251" s="7">
        <f t="shared" si="87"/>
        <v>3791.6666666666665</v>
      </c>
      <c r="J251" s="24"/>
    </row>
    <row r="252" spans="1:20" s="40" customFormat="1" ht="20" customHeight="1">
      <c r="A252" s="198"/>
      <c r="B252" s="4" t="s">
        <v>243</v>
      </c>
      <c r="C252" s="5">
        <f>(หลังริม!C252*1)+(หลังกลาง!C252*6)</f>
        <v>59.5</v>
      </c>
      <c r="D252" s="6" t="s">
        <v>123</v>
      </c>
      <c r="E252" s="11">
        <v>212</v>
      </c>
      <c r="F252" s="5">
        <f t="shared" si="86"/>
        <v>12614</v>
      </c>
      <c r="G252" s="20">
        <v>0</v>
      </c>
      <c r="H252" s="5">
        <f t="shared" si="85"/>
        <v>0</v>
      </c>
      <c r="I252" s="7">
        <f t="shared" si="87"/>
        <v>12614</v>
      </c>
      <c r="J252" s="24"/>
    </row>
    <row r="253" spans="1:20" s="40" customFormat="1" ht="20" customHeight="1">
      <c r="A253" s="198"/>
      <c r="B253" s="4" t="s">
        <v>244</v>
      </c>
      <c r="C253" s="5">
        <f>(หลังริม!C253*1)+(หลังกลาง!C253*6)</f>
        <v>233.33333333333334</v>
      </c>
      <c r="D253" s="6" t="s">
        <v>82</v>
      </c>
      <c r="E253" s="11">
        <v>2.7</v>
      </c>
      <c r="F253" s="5">
        <f t="shared" si="86"/>
        <v>630.00000000000011</v>
      </c>
      <c r="G253" s="20">
        <v>0</v>
      </c>
      <c r="H253" s="5">
        <f t="shared" si="85"/>
        <v>0</v>
      </c>
      <c r="I253" s="7">
        <f t="shared" si="87"/>
        <v>630.00000000000011</v>
      </c>
      <c r="J253" s="24"/>
    </row>
    <row r="254" spans="1:20" s="40" customFormat="1" ht="20" customHeight="1">
      <c r="A254" s="198"/>
      <c r="B254" s="4" t="s">
        <v>63</v>
      </c>
      <c r="C254" s="5">
        <f>(หลังริม!C254*1)+(หลังกลาง!C254*6)</f>
        <v>1.1666666666666667</v>
      </c>
      <c r="D254" s="6" t="s">
        <v>64</v>
      </c>
      <c r="E254" s="11">
        <v>1500</v>
      </c>
      <c r="F254" s="5">
        <f t="shared" si="86"/>
        <v>1750</v>
      </c>
      <c r="G254" s="20">
        <v>0</v>
      </c>
      <c r="H254" s="5">
        <f t="shared" si="85"/>
        <v>0</v>
      </c>
      <c r="I254" s="7">
        <f t="shared" si="87"/>
        <v>1750</v>
      </c>
      <c r="J254" s="4"/>
    </row>
    <row r="255" spans="1:20" s="40" customFormat="1" ht="20" customHeight="1">
      <c r="A255" s="198"/>
      <c r="B255" s="4" t="s">
        <v>65</v>
      </c>
      <c r="C255" s="5">
        <f>(หลังริม!C255*1)+(หลังกลาง!C255*6)</f>
        <v>3.5</v>
      </c>
      <c r="D255" s="6" t="s">
        <v>66</v>
      </c>
      <c r="E255" s="11">
        <v>1189</v>
      </c>
      <c r="F255" s="5">
        <f t="shared" si="86"/>
        <v>4161.5</v>
      </c>
      <c r="G255" s="20">
        <v>0</v>
      </c>
      <c r="H255" s="5">
        <f t="shared" si="85"/>
        <v>0</v>
      </c>
      <c r="I255" s="7">
        <f t="shared" si="87"/>
        <v>4161.5</v>
      </c>
      <c r="J255" s="4"/>
    </row>
    <row r="256" spans="1:20" s="40" customFormat="1" ht="20" customHeight="1">
      <c r="A256" s="198"/>
      <c r="B256" s="4" t="s">
        <v>67</v>
      </c>
      <c r="C256" s="5">
        <f>(หลังริม!C256*1)+(หลังกลาง!C256*6)</f>
        <v>1.1666666666666667</v>
      </c>
      <c r="D256" s="6" t="s">
        <v>66</v>
      </c>
      <c r="E256" s="11">
        <v>499</v>
      </c>
      <c r="F256" s="5">
        <f t="shared" si="86"/>
        <v>582.16666666666674</v>
      </c>
      <c r="G256" s="20">
        <v>0</v>
      </c>
      <c r="H256" s="5">
        <f t="shared" si="85"/>
        <v>0</v>
      </c>
      <c r="I256" s="7">
        <f t="shared" si="87"/>
        <v>582.16666666666674</v>
      </c>
      <c r="J256" s="4"/>
    </row>
    <row r="257" spans="1:20" s="40" customFormat="1" ht="20" customHeight="1">
      <c r="A257" s="198"/>
      <c r="B257" s="4" t="s">
        <v>68</v>
      </c>
      <c r="C257" s="5">
        <f>(หลังริม!C257*1)+(หลังกลาง!C257*6)</f>
        <v>7</v>
      </c>
      <c r="D257" s="6" t="s">
        <v>69</v>
      </c>
      <c r="E257" s="11">
        <v>98</v>
      </c>
      <c r="F257" s="5">
        <f t="shared" si="86"/>
        <v>686</v>
      </c>
      <c r="G257" s="20">
        <v>0</v>
      </c>
      <c r="H257" s="5">
        <f t="shared" si="85"/>
        <v>0</v>
      </c>
      <c r="I257" s="7">
        <f t="shared" si="87"/>
        <v>686</v>
      </c>
      <c r="J257" s="4"/>
    </row>
    <row r="258" spans="1:20" s="119" customFormat="1" ht="20" customHeight="1">
      <c r="A258" s="209"/>
      <c r="B258" s="114" t="s">
        <v>255</v>
      </c>
      <c r="C258" s="5">
        <f>(หลังริม!C258*1)+(หลังกลาง!C258*6)</f>
        <v>560</v>
      </c>
      <c r="D258" s="31" t="s">
        <v>263</v>
      </c>
      <c r="E258" s="5">
        <v>0</v>
      </c>
      <c r="F258" s="5">
        <f t="shared" si="86"/>
        <v>0</v>
      </c>
      <c r="G258" s="116">
        <v>23.291666666666668</v>
      </c>
      <c r="H258" s="5">
        <f t="shared" si="85"/>
        <v>13043.333333333334</v>
      </c>
      <c r="I258" s="7">
        <f t="shared" si="87"/>
        <v>13043.333333333334</v>
      </c>
      <c r="J258" s="117"/>
    </row>
    <row r="259" spans="1:20" s="119" customFormat="1" ht="20" customHeight="1">
      <c r="A259" s="31"/>
      <c r="B259" s="120" t="s">
        <v>256</v>
      </c>
      <c r="C259" s="5">
        <f>(หลังริม!C259*1)+(หลังกลาง!C259*6)</f>
        <v>1750</v>
      </c>
      <c r="D259" s="34" t="s">
        <v>123</v>
      </c>
      <c r="E259" s="5">
        <v>0</v>
      </c>
      <c r="F259" s="5">
        <f t="shared" si="86"/>
        <v>0</v>
      </c>
      <c r="G259" s="121">
        <v>6.4533333333333331</v>
      </c>
      <c r="H259" s="5">
        <f t="shared" si="85"/>
        <v>11293.333333333332</v>
      </c>
      <c r="I259" s="7">
        <f t="shared" si="87"/>
        <v>11293.333333333332</v>
      </c>
      <c r="J259" s="117"/>
    </row>
    <row r="260" spans="1:20" s="119" customFormat="1" ht="20" customHeight="1">
      <c r="A260" s="31"/>
      <c r="B260" s="122" t="s">
        <v>257</v>
      </c>
      <c r="C260" s="5">
        <f>(หลังริม!C260*1)+(หลังกลาง!C260*6)</f>
        <v>245</v>
      </c>
      <c r="D260" s="31" t="s">
        <v>123</v>
      </c>
      <c r="E260" s="5">
        <v>0</v>
      </c>
      <c r="F260" s="5">
        <f t="shared" si="86"/>
        <v>0</v>
      </c>
      <c r="G260" s="121">
        <v>17.5</v>
      </c>
      <c r="H260" s="5">
        <f t="shared" si="85"/>
        <v>4287.5</v>
      </c>
      <c r="I260" s="7">
        <f t="shared" si="87"/>
        <v>4287.5</v>
      </c>
      <c r="J260" s="117"/>
    </row>
    <row r="261" spans="1:20" s="119" customFormat="1" ht="20" customHeight="1">
      <c r="A261" s="31"/>
      <c r="B261" s="114" t="s">
        <v>258</v>
      </c>
      <c r="C261" s="5">
        <f>(หลังริม!C261*1)+(หลังกลาง!C261*6)</f>
        <v>3500</v>
      </c>
      <c r="D261" s="31" t="s">
        <v>21</v>
      </c>
      <c r="E261" s="5">
        <v>0</v>
      </c>
      <c r="F261" s="5">
        <f t="shared" si="86"/>
        <v>0</v>
      </c>
      <c r="G261" s="116">
        <v>1.3333333333333333</v>
      </c>
      <c r="H261" s="5">
        <f t="shared" si="85"/>
        <v>4666.6666666666661</v>
      </c>
      <c r="I261" s="7">
        <f t="shared" si="87"/>
        <v>4666.6666666666661</v>
      </c>
      <c r="J261" s="117"/>
    </row>
    <row r="262" spans="1:20" s="119" customFormat="1" ht="20" customHeight="1">
      <c r="A262" s="209"/>
      <c r="B262" s="120" t="s">
        <v>259</v>
      </c>
      <c r="C262" s="5">
        <f>(หลังริม!C262*1)+(หลังกลาง!C262*6)</f>
        <v>245</v>
      </c>
      <c r="D262" s="34" t="s">
        <v>263</v>
      </c>
      <c r="E262" s="5">
        <v>0</v>
      </c>
      <c r="F262" s="5">
        <f t="shared" si="86"/>
        <v>0</v>
      </c>
      <c r="G262" s="125">
        <v>18.900000000000002</v>
      </c>
      <c r="H262" s="5">
        <f t="shared" si="85"/>
        <v>4630.5000000000009</v>
      </c>
      <c r="I262" s="7">
        <f t="shared" si="87"/>
        <v>4630.5000000000009</v>
      </c>
      <c r="J262" s="117"/>
    </row>
    <row r="263" spans="1:20" s="119" customFormat="1" ht="20" customHeight="1">
      <c r="A263" s="209"/>
      <c r="B263" s="122" t="s">
        <v>260</v>
      </c>
      <c r="C263" s="5">
        <f>(หลังริม!C263*1)+(หลังกลาง!C263*6)</f>
        <v>175</v>
      </c>
      <c r="D263" s="31" t="s">
        <v>263</v>
      </c>
      <c r="E263" s="5">
        <v>0</v>
      </c>
      <c r="F263" s="5">
        <f t="shared" si="86"/>
        <v>0</v>
      </c>
      <c r="G263" s="125">
        <v>18.900000000000002</v>
      </c>
      <c r="H263" s="5">
        <f t="shared" si="85"/>
        <v>3307.5000000000005</v>
      </c>
      <c r="I263" s="7">
        <f t="shared" si="87"/>
        <v>3307.5000000000005</v>
      </c>
      <c r="J263" s="117"/>
    </row>
    <row r="264" spans="1:20" s="119" customFormat="1" ht="20" customHeight="1">
      <c r="A264" s="209"/>
      <c r="B264" s="122" t="s">
        <v>261</v>
      </c>
      <c r="C264" s="5">
        <f>(หลังริม!C264*1)+(หลังกลาง!C264*6)</f>
        <v>2100</v>
      </c>
      <c r="D264" s="192" t="s">
        <v>264</v>
      </c>
      <c r="E264" s="5">
        <v>0</v>
      </c>
      <c r="F264" s="5">
        <f t="shared" si="86"/>
        <v>0</v>
      </c>
      <c r="G264" s="121">
        <v>1</v>
      </c>
      <c r="H264" s="5">
        <f t="shared" si="85"/>
        <v>2100</v>
      </c>
      <c r="I264" s="7">
        <f t="shared" si="87"/>
        <v>2100</v>
      </c>
      <c r="J264" s="117"/>
    </row>
    <row r="265" spans="1:20" s="119" customFormat="1" ht="20" customHeight="1">
      <c r="A265" s="209"/>
      <c r="B265" s="114" t="s">
        <v>262</v>
      </c>
      <c r="C265" s="5">
        <f>(หลังริม!C265*1)+(หลังกลาง!C265*6)</f>
        <v>385</v>
      </c>
      <c r="D265" s="34" t="s">
        <v>123</v>
      </c>
      <c r="E265" s="5">
        <v>0</v>
      </c>
      <c r="F265" s="5">
        <f t="shared" si="86"/>
        <v>0</v>
      </c>
      <c r="G265" s="116">
        <v>6.47</v>
      </c>
      <c r="H265" s="5">
        <f t="shared" si="85"/>
        <v>2490.9499999999998</v>
      </c>
      <c r="I265" s="7">
        <f t="shared" si="87"/>
        <v>2490.9499999999998</v>
      </c>
      <c r="J265" s="117"/>
    </row>
    <row r="266" spans="1:20" s="177" customFormat="1" ht="20" customHeight="1">
      <c r="A266" s="213">
        <v>4</v>
      </c>
      <c r="B266" s="173" t="s">
        <v>221</v>
      </c>
      <c r="C266" s="172"/>
      <c r="D266" s="173" t="s">
        <v>11</v>
      </c>
      <c r="E266" s="174"/>
      <c r="F266" s="174">
        <f>SUM(F244:F265)</f>
        <v>68859</v>
      </c>
      <c r="G266" s="174"/>
      <c r="H266" s="174">
        <f t="shared" ref="H266:I266" si="88">SUM(H244:H265)</f>
        <v>45819.783333333326</v>
      </c>
      <c r="I266" s="174">
        <f t="shared" si="88"/>
        <v>114678.78333333333</v>
      </c>
      <c r="J266" s="175"/>
      <c r="K266" s="151">
        <f>H266+F266</f>
        <v>114678.78333333333</v>
      </c>
      <c r="L266" s="176"/>
      <c r="M266" s="176"/>
      <c r="N266" s="176"/>
      <c r="O266" s="176"/>
      <c r="P266" s="176"/>
      <c r="Q266" s="176"/>
      <c r="R266" s="176"/>
      <c r="S266" s="176"/>
      <c r="T266" s="176"/>
    </row>
    <row r="267" spans="1:20" s="40" customFormat="1" ht="20" customHeight="1">
      <c r="A267" s="195"/>
      <c r="D267" s="195"/>
      <c r="E267" s="132"/>
    </row>
    <row r="268" spans="1:20" s="40" customFormat="1" ht="20" customHeight="1">
      <c r="A268" s="185"/>
      <c r="B268" s="43"/>
      <c r="C268" s="43"/>
      <c r="D268" s="185"/>
      <c r="E268" s="44"/>
      <c r="F268" s="43"/>
      <c r="G268" s="43"/>
      <c r="H268" s="43"/>
      <c r="I268" s="43"/>
      <c r="J268" s="43"/>
      <c r="K268" s="43"/>
    </row>
    <row r="269" spans="1:20" s="40" customFormat="1" ht="20" customHeight="1">
      <c r="A269" s="193">
        <f t="shared" ref="A269:I269" si="89">A66</f>
        <v>1</v>
      </c>
      <c r="B269" s="143" t="str">
        <f t="shared" si="89"/>
        <v>รวมค่างานโครงสร้างวิศวกรรมทั้งหมด</v>
      </c>
      <c r="C269" s="143">
        <f t="shared" si="89"/>
        <v>0</v>
      </c>
      <c r="D269" s="193" t="str">
        <f t="shared" si="89"/>
        <v>รวม</v>
      </c>
      <c r="E269" s="143">
        <f t="shared" si="89"/>
        <v>0</v>
      </c>
      <c r="F269" s="143">
        <f t="shared" si="89"/>
        <v>776397.23275379592</v>
      </c>
      <c r="G269" s="143">
        <f t="shared" si="89"/>
        <v>0</v>
      </c>
      <c r="H269" s="143">
        <f t="shared" si="89"/>
        <v>332173.39166666666</v>
      </c>
      <c r="I269" s="143">
        <f t="shared" si="89"/>
        <v>1108570.6244204626</v>
      </c>
      <c r="J269" s="143"/>
      <c r="K269" s="43"/>
    </row>
    <row r="270" spans="1:20" s="40" customFormat="1" ht="20" customHeight="1">
      <c r="A270" s="193">
        <f t="shared" ref="A270:I270" si="90">A215</f>
        <v>2</v>
      </c>
      <c r="B270" s="143" t="str">
        <f t="shared" si="90"/>
        <v>รวมค่างานสถาปัตยกรรมทั้งหมด</v>
      </c>
      <c r="C270" s="143">
        <f t="shared" si="90"/>
        <v>0</v>
      </c>
      <c r="D270" s="193" t="str">
        <f t="shared" si="90"/>
        <v>รวม</v>
      </c>
      <c r="E270" s="143">
        <f t="shared" si="90"/>
        <v>0</v>
      </c>
      <c r="F270" s="143">
        <f t="shared" si="90"/>
        <v>711047.37100074021</v>
      </c>
      <c r="G270" s="143">
        <f t="shared" si="90"/>
        <v>0</v>
      </c>
      <c r="H270" s="143">
        <f t="shared" si="90"/>
        <v>688537.95</v>
      </c>
      <c r="I270" s="143">
        <f t="shared" si="90"/>
        <v>1399585.3210007402</v>
      </c>
      <c r="J270" s="143"/>
      <c r="K270" s="43"/>
    </row>
    <row r="271" spans="1:20" s="40" customFormat="1" ht="20" customHeight="1">
      <c r="A271" s="193">
        <f t="shared" ref="A271:I271" si="91">A241</f>
        <v>3</v>
      </c>
      <c r="B271" s="143" t="str">
        <f t="shared" si="91"/>
        <v xml:space="preserve">รวมค่างานระบบไฟฟ้าและสื่อสารทั้งหมด </v>
      </c>
      <c r="C271" s="143">
        <f t="shared" si="91"/>
        <v>0</v>
      </c>
      <c r="D271" s="193" t="str">
        <f t="shared" si="91"/>
        <v>รวม</v>
      </c>
      <c r="E271" s="143">
        <f t="shared" si="91"/>
        <v>0</v>
      </c>
      <c r="F271" s="143">
        <f t="shared" si="91"/>
        <v>13741</v>
      </c>
      <c r="G271" s="143">
        <f t="shared" si="91"/>
        <v>0</v>
      </c>
      <c r="H271" s="143">
        <f t="shared" si="91"/>
        <v>208950</v>
      </c>
      <c r="I271" s="143">
        <f t="shared" si="91"/>
        <v>222691</v>
      </c>
      <c r="J271" s="143"/>
      <c r="K271" s="43"/>
    </row>
    <row r="272" spans="1:20" s="40" customFormat="1" ht="20" customHeight="1">
      <c r="A272" s="193">
        <f t="shared" ref="A272:I272" si="92">A266</f>
        <v>4</v>
      </c>
      <c r="B272" s="143" t="str">
        <f t="shared" si="92"/>
        <v xml:space="preserve">รวมค่างานต่อเติมหลังคาที่จอดรถหน้าทั้งหมด </v>
      </c>
      <c r="C272" s="143">
        <f t="shared" si="92"/>
        <v>0</v>
      </c>
      <c r="D272" s="193" t="str">
        <f t="shared" si="92"/>
        <v>รวม</v>
      </c>
      <c r="E272" s="143">
        <f t="shared" si="92"/>
        <v>0</v>
      </c>
      <c r="F272" s="143">
        <f t="shared" si="92"/>
        <v>68859</v>
      </c>
      <c r="G272" s="143">
        <f t="shared" si="92"/>
        <v>0</v>
      </c>
      <c r="H272" s="143">
        <f t="shared" si="92"/>
        <v>45819.783333333326</v>
      </c>
      <c r="I272" s="143">
        <f t="shared" si="92"/>
        <v>114678.78333333333</v>
      </c>
      <c r="J272" s="143"/>
      <c r="K272" s="43"/>
    </row>
    <row r="273" spans="1:11" s="179" customFormat="1" ht="20" customHeight="1">
      <c r="A273" s="232" t="s">
        <v>11</v>
      </c>
      <c r="B273" s="233"/>
      <c r="C273" s="234"/>
      <c r="D273" s="180"/>
      <c r="E273" s="181"/>
      <c r="F273" s="182">
        <f>SUM(F269:F272)</f>
        <v>1570044.6037545362</v>
      </c>
      <c r="G273" s="182"/>
      <c r="H273" s="182">
        <f t="shared" ref="H273" si="93">SUM(H269:H272)</f>
        <v>1275481.125</v>
      </c>
      <c r="I273" s="183">
        <f>SUM(I269:I272)</f>
        <v>2845525.7287545362</v>
      </c>
      <c r="J273" s="180"/>
      <c r="K273" s="178">
        <f>H273+F273</f>
        <v>2845525.7287545362</v>
      </c>
    </row>
  </sheetData>
  <mergeCells count="9">
    <mergeCell ref="A273:C273"/>
    <mergeCell ref="A1:J1"/>
    <mergeCell ref="A4:A5"/>
    <mergeCell ref="B4:B5"/>
    <mergeCell ref="C4:C5"/>
    <mergeCell ref="D4:D5"/>
    <mergeCell ref="E4:F4"/>
    <mergeCell ref="G4:H4"/>
    <mergeCell ref="J4:J5"/>
  </mergeCells>
  <pageMargins left="0.7" right="0.7" top="0.75" bottom="0.75" header="0.3" footer="0.3"/>
  <pageSetup paperSize="9" scale="5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BEE5-D30E-44D8-9788-382678DB3205}">
  <dimension ref="A1:P276"/>
  <sheetViews>
    <sheetView topLeftCell="A247" workbookViewId="0">
      <selection activeCell="L8" sqref="L8"/>
    </sheetView>
  </sheetViews>
  <sheetFormatPr defaultRowHeight="19.899999999999999"/>
  <cols>
    <col min="1" max="1" width="6.59765625" style="185" customWidth="1"/>
    <col min="2" max="2" width="45.59765625" style="43" customWidth="1"/>
    <col min="3" max="3" width="8.59765625" style="43" customWidth="1"/>
    <col min="4" max="4" width="8.59765625" style="185" customWidth="1"/>
    <col min="5" max="8" width="13.59765625" style="43" customWidth="1"/>
    <col min="9" max="9" width="13.59765625" style="44" customWidth="1"/>
    <col min="10" max="10" width="13.59765625" style="43" customWidth="1"/>
    <col min="11" max="11" width="10.46484375" style="73" customWidth="1"/>
    <col min="12" max="12" width="11.53125" style="43" bestFit="1" customWidth="1"/>
    <col min="13" max="16384" width="9.06640625" style="43"/>
  </cols>
  <sheetData>
    <row r="1" spans="1:11" s="215" customFormat="1" ht="20" customHeight="1">
      <c r="A1" s="228" t="s">
        <v>283</v>
      </c>
      <c r="B1" s="228"/>
      <c r="C1" s="228"/>
      <c r="D1" s="228"/>
      <c r="E1" s="228"/>
      <c r="F1" s="228"/>
      <c r="G1" s="228"/>
      <c r="H1" s="228"/>
      <c r="I1" s="228"/>
      <c r="J1" s="228"/>
      <c r="K1" s="214"/>
    </row>
    <row r="2" spans="1:11" ht="20" customHeight="1">
      <c r="A2" s="196"/>
      <c r="B2" s="41"/>
      <c r="C2" s="41"/>
      <c r="D2" s="184"/>
      <c r="E2" s="41"/>
      <c r="F2" s="41"/>
      <c r="G2" s="41"/>
      <c r="H2" s="41"/>
      <c r="I2" s="42"/>
      <c r="J2" s="41"/>
    </row>
    <row r="3" spans="1:11" ht="20" customHeight="1" thickBot="1"/>
    <row r="4" spans="1:11" s="134" customFormat="1" ht="20" customHeight="1" thickTop="1">
      <c r="A4" s="226" t="s">
        <v>0</v>
      </c>
      <c r="B4" s="226" t="s">
        <v>1</v>
      </c>
      <c r="C4" s="226" t="s">
        <v>2</v>
      </c>
      <c r="D4" s="226" t="s">
        <v>3</v>
      </c>
      <c r="E4" s="226" t="s">
        <v>4</v>
      </c>
      <c r="F4" s="226"/>
      <c r="G4" s="226" t="s">
        <v>5</v>
      </c>
      <c r="H4" s="226"/>
      <c r="I4" s="217" t="s">
        <v>6</v>
      </c>
      <c r="J4" s="226" t="s">
        <v>7</v>
      </c>
      <c r="K4" s="133"/>
    </row>
    <row r="5" spans="1:11" s="134" customFormat="1" ht="20" customHeight="1" thickBot="1">
      <c r="A5" s="227"/>
      <c r="B5" s="227"/>
      <c r="C5" s="227"/>
      <c r="D5" s="227"/>
      <c r="E5" s="224" t="s">
        <v>8</v>
      </c>
      <c r="F5" s="224" t="s">
        <v>9</v>
      </c>
      <c r="G5" s="224" t="s">
        <v>8</v>
      </c>
      <c r="H5" s="224" t="s">
        <v>9</v>
      </c>
      <c r="I5" s="219" t="s">
        <v>10</v>
      </c>
      <c r="J5" s="227"/>
      <c r="K5" s="133"/>
    </row>
    <row r="6" spans="1:11" s="136" customFormat="1" ht="20" customHeight="1" thickTop="1">
      <c r="A6" s="197">
        <v>1</v>
      </c>
      <c r="B6" s="1" t="s">
        <v>12</v>
      </c>
      <c r="C6" s="2"/>
      <c r="D6" s="186"/>
      <c r="E6" s="2"/>
      <c r="F6" s="2"/>
      <c r="G6" s="2"/>
      <c r="H6" s="2"/>
      <c r="I6" s="46"/>
      <c r="J6" s="2"/>
      <c r="K6" s="135"/>
    </row>
    <row r="7" spans="1:11" ht="20" customHeight="1">
      <c r="A7" s="198"/>
      <c r="B7" s="3" t="s">
        <v>13</v>
      </c>
      <c r="C7" s="4"/>
      <c r="D7" s="6"/>
      <c r="E7" s="4"/>
      <c r="F7" s="4"/>
      <c r="G7" s="4"/>
      <c r="H7" s="4"/>
      <c r="I7" s="48"/>
      <c r="J7" s="4"/>
    </row>
    <row r="8" spans="1:11" ht="20" customHeight="1">
      <c r="A8" s="198"/>
      <c r="B8" s="4" t="s">
        <v>14</v>
      </c>
      <c r="C8" s="5">
        <f>10/6</f>
        <v>1.6666666666666667</v>
      </c>
      <c r="D8" s="6" t="s">
        <v>15</v>
      </c>
      <c r="E8" s="5">
        <v>3500</v>
      </c>
      <c r="F8" s="5">
        <f>E8*C8</f>
        <v>5833.3333333333339</v>
      </c>
      <c r="G8" s="5">
        <v>0</v>
      </c>
      <c r="H8" s="5">
        <f t="shared" ref="H8:H11" si="0">G8*C8</f>
        <v>0</v>
      </c>
      <c r="I8" s="49">
        <f>H8+F8</f>
        <v>5833.3333333333339</v>
      </c>
      <c r="J8" s="4"/>
    </row>
    <row r="9" spans="1:11" ht="20" customHeight="1">
      <c r="A9" s="198"/>
      <c r="B9" s="4" t="s">
        <v>36</v>
      </c>
      <c r="C9" s="5">
        <f>5.5/6</f>
        <v>0.91666666666666663</v>
      </c>
      <c r="D9" s="6" t="s">
        <v>16</v>
      </c>
      <c r="E9" s="5">
        <v>1500</v>
      </c>
      <c r="F9" s="5">
        <f t="shared" ref="F9:F11" si="1">E9*C9</f>
        <v>1375</v>
      </c>
      <c r="G9" s="5">
        <v>0</v>
      </c>
      <c r="H9" s="5">
        <f t="shared" si="0"/>
        <v>0</v>
      </c>
      <c r="I9" s="49">
        <f t="shared" ref="I9:I11" si="2">H9+F9</f>
        <v>1375</v>
      </c>
      <c r="J9" s="4"/>
    </row>
    <row r="10" spans="1:11" ht="20" customHeight="1">
      <c r="A10" s="198"/>
      <c r="B10" s="4" t="s">
        <v>17</v>
      </c>
      <c r="C10" s="9">
        <v>0</v>
      </c>
      <c r="D10" s="6" t="s">
        <v>16</v>
      </c>
      <c r="E10" s="5">
        <v>0</v>
      </c>
      <c r="F10" s="5">
        <f t="shared" si="1"/>
        <v>0</v>
      </c>
      <c r="G10" s="5">
        <v>0</v>
      </c>
      <c r="H10" s="5">
        <f t="shared" si="0"/>
        <v>0</v>
      </c>
      <c r="I10" s="49">
        <f t="shared" si="2"/>
        <v>0</v>
      </c>
      <c r="J10" s="4"/>
    </row>
    <row r="11" spans="1:11" ht="20" customHeight="1">
      <c r="A11" s="198"/>
      <c r="B11" s="4" t="s">
        <v>18</v>
      </c>
      <c r="C11" s="5">
        <f>40/6</f>
        <v>6.666666666666667</v>
      </c>
      <c r="D11" s="6" t="s">
        <v>16</v>
      </c>
      <c r="E11" s="11">
        <v>100</v>
      </c>
      <c r="F11" s="5">
        <f t="shared" si="1"/>
        <v>666.66666666666674</v>
      </c>
      <c r="G11" s="5">
        <v>0</v>
      </c>
      <c r="H11" s="5">
        <f t="shared" si="0"/>
        <v>0</v>
      </c>
      <c r="I11" s="49">
        <f t="shared" si="2"/>
        <v>666.66666666666674</v>
      </c>
      <c r="J11" s="4"/>
    </row>
    <row r="12" spans="1:11" s="137" customFormat="1" ht="20" customHeight="1">
      <c r="A12" s="199"/>
      <c r="B12" s="12" t="s">
        <v>19</v>
      </c>
      <c r="C12" s="13"/>
      <c r="D12" s="12"/>
      <c r="E12" s="13"/>
      <c r="F12" s="14">
        <f>SUM(F8:F11)</f>
        <v>7875.0000000000009</v>
      </c>
      <c r="G12" s="14"/>
      <c r="H12" s="14">
        <f t="shared" ref="H12:I12" si="3">SUM(H8:H11)</f>
        <v>0</v>
      </c>
      <c r="I12" s="14">
        <f t="shared" si="3"/>
        <v>7875.0000000000009</v>
      </c>
      <c r="J12" s="13"/>
      <c r="K12" s="58">
        <f>H12+F12</f>
        <v>7875.0000000000009</v>
      </c>
    </row>
    <row r="13" spans="1:11" ht="20" customHeight="1">
      <c r="A13" s="198"/>
      <c r="B13" s="3" t="s">
        <v>20</v>
      </c>
      <c r="C13" s="4"/>
      <c r="D13" s="6"/>
      <c r="E13" s="4"/>
      <c r="F13" s="4"/>
      <c r="G13" s="4"/>
      <c r="H13" s="4"/>
      <c r="I13" s="48"/>
      <c r="J13" s="4"/>
    </row>
    <row r="14" spans="1:11" ht="20" customHeight="1">
      <c r="A14" s="198"/>
      <c r="B14" s="4" t="s">
        <v>110</v>
      </c>
      <c r="C14" s="5">
        <f>53/6</f>
        <v>8.8333333333333339</v>
      </c>
      <c r="D14" s="6" t="s">
        <v>21</v>
      </c>
      <c r="E14" s="11">
        <v>2080</v>
      </c>
      <c r="F14" s="5">
        <f>E14*C14</f>
        <v>18373.333333333336</v>
      </c>
      <c r="G14" s="5">
        <v>750</v>
      </c>
      <c r="H14" s="5">
        <f>G14*C14</f>
        <v>6625</v>
      </c>
      <c r="I14" s="49">
        <f>H14+F14</f>
        <v>24998.333333333336</v>
      </c>
      <c r="J14" s="4"/>
    </row>
    <row r="15" spans="1:11" ht="20" customHeight="1">
      <c r="A15" s="198"/>
      <c r="B15" s="4" t="s">
        <v>22</v>
      </c>
      <c r="C15" s="5">
        <v>0</v>
      </c>
      <c r="D15" s="6" t="s">
        <v>21</v>
      </c>
      <c r="E15" s="5">
        <v>0</v>
      </c>
      <c r="F15" s="5">
        <f>E15*C15</f>
        <v>0</v>
      </c>
      <c r="G15" s="5">
        <v>0</v>
      </c>
      <c r="H15" s="5">
        <f>G15*C15</f>
        <v>0</v>
      </c>
      <c r="I15" s="49">
        <f>H15+F15</f>
        <v>0</v>
      </c>
      <c r="J15" s="4"/>
    </row>
    <row r="16" spans="1:11" s="137" customFormat="1" ht="20" customHeight="1">
      <c r="A16" s="199"/>
      <c r="B16" s="12" t="s">
        <v>23</v>
      </c>
      <c r="C16" s="13"/>
      <c r="D16" s="12"/>
      <c r="E16" s="13"/>
      <c r="F16" s="14">
        <f>SUM(F14:F15)</f>
        <v>18373.333333333336</v>
      </c>
      <c r="G16" s="14"/>
      <c r="H16" s="14">
        <f t="shared" ref="H16:I16" si="4">SUM(H14:H15)</f>
        <v>6625</v>
      </c>
      <c r="I16" s="14">
        <f t="shared" si="4"/>
        <v>24998.333333333336</v>
      </c>
      <c r="J16" s="13"/>
      <c r="K16" s="58">
        <f>H16+F16</f>
        <v>24998.333333333336</v>
      </c>
    </row>
    <row r="17" spans="1:11" ht="20" customHeight="1">
      <c r="A17" s="198"/>
      <c r="B17" s="3" t="s">
        <v>24</v>
      </c>
      <c r="C17" s="4"/>
      <c r="D17" s="6"/>
      <c r="E17" s="4"/>
      <c r="F17" s="4"/>
      <c r="G17" s="4"/>
      <c r="H17" s="4"/>
      <c r="I17" s="48"/>
      <c r="J17" s="4"/>
    </row>
    <row r="18" spans="1:11" ht="20" customHeight="1">
      <c r="A18" s="198"/>
      <c r="B18" s="4" t="s">
        <v>25</v>
      </c>
      <c r="C18" s="5">
        <f>20/6</f>
        <v>3.3333333333333335</v>
      </c>
      <c r="D18" s="6" t="s">
        <v>60</v>
      </c>
      <c r="E18" s="11">
        <v>590</v>
      </c>
      <c r="F18" s="5">
        <f>E18*C18</f>
        <v>1966.6666666666667</v>
      </c>
      <c r="G18" s="5">
        <v>0</v>
      </c>
      <c r="H18" s="5">
        <f t="shared" ref="H18:H22" si="5">G18*C18</f>
        <v>0</v>
      </c>
      <c r="I18" s="49">
        <f>H18+F18</f>
        <v>1966.6666666666667</v>
      </c>
      <c r="J18" s="4"/>
    </row>
    <row r="19" spans="1:11" ht="20" customHeight="1">
      <c r="A19" s="198"/>
      <c r="B19" s="4" t="s">
        <v>27</v>
      </c>
      <c r="C19" s="5">
        <v>0</v>
      </c>
      <c r="D19" s="6" t="s">
        <v>26</v>
      </c>
      <c r="E19" s="5">
        <v>0</v>
      </c>
      <c r="F19" s="5">
        <f t="shared" ref="F19:F22" si="6">E19*C19</f>
        <v>0</v>
      </c>
      <c r="G19" s="5">
        <v>0</v>
      </c>
      <c r="H19" s="5">
        <f t="shared" si="5"/>
        <v>0</v>
      </c>
      <c r="I19" s="49">
        <f t="shared" ref="I19:I22" si="7">H19+F19</f>
        <v>0</v>
      </c>
      <c r="J19" s="4"/>
    </row>
    <row r="20" spans="1:11" ht="20" customHeight="1">
      <c r="A20" s="6"/>
      <c r="B20" s="4" t="s">
        <v>28</v>
      </c>
      <c r="C20" s="5">
        <f>200/6</f>
        <v>33.333333333333336</v>
      </c>
      <c r="D20" s="6" t="s">
        <v>21</v>
      </c>
      <c r="E20" s="5">
        <v>25</v>
      </c>
      <c r="F20" s="5">
        <f t="shared" si="6"/>
        <v>833.33333333333337</v>
      </c>
      <c r="G20" s="5">
        <v>0</v>
      </c>
      <c r="H20" s="5">
        <f t="shared" si="5"/>
        <v>0</v>
      </c>
      <c r="I20" s="49">
        <f t="shared" si="7"/>
        <v>833.33333333333337</v>
      </c>
      <c r="J20" s="4"/>
    </row>
    <row r="21" spans="1:11" ht="20" customHeight="1">
      <c r="A21" s="6"/>
      <c r="B21" s="4" t="s">
        <v>29</v>
      </c>
      <c r="C21" s="5">
        <v>0</v>
      </c>
      <c r="D21" s="6" t="s">
        <v>30</v>
      </c>
      <c r="E21" s="5">
        <v>0</v>
      </c>
      <c r="F21" s="5">
        <f t="shared" si="6"/>
        <v>0</v>
      </c>
      <c r="G21" s="5">
        <v>0</v>
      </c>
      <c r="H21" s="5">
        <f t="shared" si="5"/>
        <v>0</v>
      </c>
      <c r="I21" s="49">
        <f t="shared" si="7"/>
        <v>0</v>
      </c>
      <c r="J21" s="4"/>
    </row>
    <row r="22" spans="1:11" ht="20" customHeight="1">
      <c r="A22" s="198"/>
      <c r="B22" s="4" t="s">
        <v>31</v>
      </c>
      <c r="C22" s="5">
        <v>0</v>
      </c>
      <c r="D22" s="6" t="s">
        <v>32</v>
      </c>
      <c r="E22" s="5">
        <v>0</v>
      </c>
      <c r="F22" s="5">
        <f t="shared" si="6"/>
        <v>0</v>
      </c>
      <c r="G22" s="5">
        <v>0</v>
      </c>
      <c r="H22" s="5">
        <f t="shared" si="5"/>
        <v>0</v>
      </c>
      <c r="I22" s="49">
        <f t="shared" si="7"/>
        <v>0</v>
      </c>
      <c r="J22" s="4"/>
    </row>
    <row r="23" spans="1:11" s="137" customFormat="1" ht="20" customHeight="1">
      <c r="A23" s="199"/>
      <c r="B23" s="12" t="s">
        <v>33</v>
      </c>
      <c r="C23" s="13"/>
      <c r="D23" s="12"/>
      <c r="E23" s="13"/>
      <c r="F23" s="14">
        <f>SUM(F18:F22)</f>
        <v>2800</v>
      </c>
      <c r="G23" s="14"/>
      <c r="H23" s="14">
        <f t="shared" ref="H23:I23" si="8">SUM(H18:H22)</f>
        <v>0</v>
      </c>
      <c r="I23" s="14">
        <f t="shared" si="8"/>
        <v>2800</v>
      </c>
      <c r="J23" s="13"/>
      <c r="K23" s="58">
        <f>H23+F23</f>
        <v>2800</v>
      </c>
    </row>
    <row r="24" spans="1:11" ht="20" customHeight="1">
      <c r="A24" s="198"/>
      <c r="B24" s="3" t="s">
        <v>34</v>
      </c>
      <c r="C24" s="4"/>
      <c r="D24" s="6"/>
      <c r="E24" s="4"/>
      <c r="F24" s="4"/>
      <c r="G24" s="4"/>
      <c r="H24" s="4"/>
      <c r="I24" s="48"/>
      <c r="J24" s="4"/>
    </row>
    <row r="25" spans="1:11" ht="20" customHeight="1">
      <c r="A25" s="198"/>
      <c r="B25" s="4" t="s">
        <v>35</v>
      </c>
      <c r="C25" s="4">
        <f>15/6</f>
        <v>2.5</v>
      </c>
      <c r="D25" s="6" t="s">
        <v>16</v>
      </c>
      <c r="E25" s="5">
        <v>1300</v>
      </c>
      <c r="F25" s="5">
        <f t="shared" ref="F25:F29" si="9">E25*C25</f>
        <v>3250</v>
      </c>
      <c r="G25" s="5">
        <v>0</v>
      </c>
      <c r="H25" s="5">
        <f>G25*C25</f>
        <v>0</v>
      </c>
      <c r="I25" s="49">
        <f>H25+F25</f>
        <v>3250</v>
      </c>
      <c r="J25" s="4"/>
    </row>
    <row r="26" spans="1:11" ht="20" customHeight="1">
      <c r="A26" s="198"/>
      <c r="B26" s="4" t="s">
        <v>36</v>
      </c>
      <c r="C26" s="17">
        <f>55/6</f>
        <v>9.1666666666666661</v>
      </c>
      <c r="D26" s="6" t="s">
        <v>16</v>
      </c>
      <c r="E26" s="5">
        <v>1500</v>
      </c>
      <c r="F26" s="5">
        <f t="shared" si="9"/>
        <v>13750</v>
      </c>
      <c r="G26" s="5">
        <v>0</v>
      </c>
      <c r="H26" s="5">
        <f t="shared" ref="H26:H29" si="10">G26*C26</f>
        <v>0</v>
      </c>
      <c r="I26" s="49">
        <f t="shared" ref="I26:I29" si="11">H26+F26</f>
        <v>13750</v>
      </c>
      <c r="J26" s="4"/>
    </row>
    <row r="27" spans="1:11" ht="20" customHeight="1">
      <c r="A27" s="198"/>
      <c r="B27" s="4" t="s">
        <v>37</v>
      </c>
      <c r="C27" s="5">
        <v>0</v>
      </c>
      <c r="D27" s="6" t="s">
        <v>16</v>
      </c>
      <c r="E27" s="5">
        <v>1600</v>
      </c>
      <c r="F27" s="5">
        <f t="shared" si="9"/>
        <v>0</v>
      </c>
      <c r="G27" s="5">
        <v>0</v>
      </c>
      <c r="H27" s="5">
        <f t="shared" si="10"/>
        <v>0</v>
      </c>
      <c r="I27" s="49">
        <f t="shared" si="11"/>
        <v>0</v>
      </c>
      <c r="J27" s="4"/>
    </row>
    <row r="28" spans="1:11" ht="20" customHeight="1">
      <c r="A28" s="198"/>
      <c r="B28" s="4" t="s">
        <v>38</v>
      </c>
      <c r="C28" s="5">
        <f>600/6</f>
        <v>100</v>
      </c>
      <c r="D28" s="6" t="s">
        <v>32</v>
      </c>
      <c r="E28" s="5">
        <v>74.2</v>
      </c>
      <c r="F28" s="5">
        <f t="shared" si="9"/>
        <v>7420</v>
      </c>
      <c r="G28" s="5">
        <v>0</v>
      </c>
      <c r="H28" s="5">
        <f t="shared" si="10"/>
        <v>0</v>
      </c>
      <c r="I28" s="49">
        <f t="shared" si="11"/>
        <v>7420</v>
      </c>
      <c r="J28" s="4"/>
    </row>
    <row r="29" spans="1:11" s="40" customFormat="1" ht="20" customHeight="1">
      <c r="A29" s="198"/>
      <c r="B29" s="4" t="s">
        <v>286</v>
      </c>
      <c r="C29" s="5">
        <f>600/6</f>
        <v>100</v>
      </c>
      <c r="D29" s="6" t="s">
        <v>32</v>
      </c>
      <c r="E29" s="11">
        <v>0</v>
      </c>
      <c r="F29" s="5">
        <f t="shared" si="9"/>
        <v>0</v>
      </c>
      <c r="G29" s="223">
        <v>173.47</v>
      </c>
      <c r="H29" s="5">
        <f t="shared" si="10"/>
        <v>17347</v>
      </c>
      <c r="I29" s="49">
        <f t="shared" si="11"/>
        <v>17347</v>
      </c>
      <c r="J29" s="4"/>
    </row>
    <row r="30" spans="1:11" s="137" customFormat="1" ht="20" customHeight="1">
      <c r="A30" s="12"/>
      <c r="B30" s="12" t="s">
        <v>39</v>
      </c>
      <c r="C30" s="13"/>
      <c r="D30" s="12"/>
      <c r="E30" s="13"/>
      <c r="F30" s="14">
        <f>SUM(F25:F29)</f>
        <v>24420</v>
      </c>
      <c r="G30" s="14"/>
      <c r="H30" s="14">
        <f t="shared" ref="H30:I30" si="12">SUM(H25:H29)</f>
        <v>17347</v>
      </c>
      <c r="I30" s="14">
        <f t="shared" si="12"/>
        <v>41767</v>
      </c>
      <c r="J30" s="13"/>
      <c r="K30" s="58">
        <f>H30+F30</f>
        <v>41767</v>
      </c>
    </row>
    <row r="31" spans="1:11" ht="20" customHeight="1">
      <c r="A31" s="198"/>
      <c r="B31" s="3" t="s">
        <v>40</v>
      </c>
      <c r="C31" s="4"/>
      <c r="D31" s="6"/>
      <c r="E31" s="4"/>
      <c r="F31" s="4"/>
      <c r="G31" s="8"/>
      <c r="H31" s="8"/>
      <c r="I31" s="25"/>
      <c r="J31" s="4"/>
    </row>
    <row r="32" spans="1:11" ht="20" customHeight="1">
      <c r="A32" s="198"/>
      <c r="B32" s="4" t="s">
        <v>41</v>
      </c>
      <c r="C32" s="5">
        <f>(50*2.22/1000)/6</f>
        <v>1.8500000000000003E-2</v>
      </c>
      <c r="D32" s="6" t="s">
        <v>42</v>
      </c>
      <c r="E32" s="11">
        <v>64</v>
      </c>
      <c r="F32" s="5">
        <f>C32*1000/2.22*E32</f>
        <v>533.33333333333337</v>
      </c>
      <c r="G32" s="5">
        <v>0</v>
      </c>
      <c r="H32" s="5">
        <f t="shared" ref="H32:H36" si="13">G32*C32</f>
        <v>0</v>
      </c>
      <c r="I32" s="49">
        <f>H32+F32</f>
        <v>533.33333333333337</v>
      </c>
      <c r="J32" s="4"/>
    </row>
    <row r="33" spans="1:11" ht="20" customHeight="1">
      <c r="A33" s="198"/>
      <c r="B33" s="4" t="s">
        <v>43</v>
      </c>
      <c r="C33" s="5">
        <f>(65*4.99/1000)/6</f>
        <v>5.405833333333334E-2</v>
      </c>
      <c r="D33" s="6" t="s">
        <v>42</v>
      </c>
      <c r="E33" s="11">
        <v>137</v>
      </c>
      <c r="F33" s="5">
        <f>C33*1000/4.99*E33</f>
        <v>1484.1666666666667</v>
      </c>
      <c r="G33" s="5">
        <v>0</v>
      </c>
      <c r="H33" s="5">
        <f t="shared" si="13"/>
        <v>0</v>
      </c>
      <c r="I33" s="49">
        <f t="shared" ref="I33:I36" si="14">H33+F33</f>
        <v>1484.1666666666667</v>
      </c>
      <c r="J33" s="4"/>
    </row>
    <row r="34" spans="1:11" ht="20" customHeight="1">
      <c r="A34" s="198"/>
      <c r="B34" s="4" t="s">
        <v>44</v>
      </c>
      <c r="C34" s="5">
        <f>(215*8.88/1000)/6</f>
        <v>0.31820000000000004</v>
      </c>
      <c r="D34" s="6" t="s">
        <v>42</v>
      </c>
      <c r="E34" s="11">
        <v>240</v>
      </c>
      <c r="F34" s="5">
        <f>C34*1000/8.88*E34</f>
        <v>8600</v>
      </c>
      <c r="G34" s="5">
        <v>0</v>
      </c>
      <c r="H34" s="5">
        <f t="shared" si="13"/>
        <v>0</v>
      </c>
      <c r="I34" s="49">
        <f t="shared" si="14"/>
        <v>8600</v>
      </c>
      <c r="J34" s="4"/>
    </row>
    <row r="35" spans="1:11" ht="20" customHeight="1">
      <c r="A35" s="198"/>
      <c r="B35" s="4" t="s">
        <v>45</v>
      </c>
      <c r="C35" s="5">
        <v>0</v>
      </c>
      <c r="D35" s="6" t="s">
        <v>42</v>
      </c>
      <c r="E35" s="11">
        <v>425</v>
      </c>
      <c r="F35" s="5">
        <f>C35*1000/15.78*E35</f>
        <v>0</v>
      </c>
      <c r="G35" s="5">
        <v>0</v>
      </c>
      <c r="H35" s="5">
        <f t="shared" si="13"/>
        <v>0</v>
      </c>
      <c r="I35" s="49">
        <f t="shared" si="14"/>
        <v>0</v>
      </c>
      <c r="J35" s="4"/>
    </row>
    <row r="36" spans="1:11" ht="20" customHeight="1">
      <c r="A36" s="198"/>
      <c r="B36" s="4" t="s">
        <v>46</v>
      </c>
      <c r="C36" s="5">
        <v>0</v>
      </c>
      <c r="D36" s="6" t="s">
        <v>30</v>
      </c>
      <c r="E36" s="5">
        <v>0</v>
      </c>
      <c r="F36" s="29">
        <f t="shared" ref="F36" si="15">E36*C36</f>
        <v>0</v>
      </c>
      <c r="G36" s="5">
        <v>0</v>
      </c>
      <c r="H36" s="5">
        <f t="shared" si="13"/>
        <v>0</v>
      </c>
      <c r="I36" s="49">
        <f t="shared" si="14"/>
        <v>0</v>
      </c>
      <c r="J36" s="4"/>
    </row>
    <row r="37" spans="1:11" s="137" customFormat="1" ht="20" customHeight="1">
      <c r="A37" s="199"/>
      <c r="B37" s="12" t="s">
        <v>47</v>
      </c>
      <c r="C37" s="18"/>
      <c r="D37" s="12"/>
      <c r="E37" s="19"/>
      <c r="F37" s="18">
        <f>SUM(F32:F36)</f>
        <v>10617.5</v>
      </c>
      <c r="G37" s="18"/>
      <c r="H37" s="18">
        <f t="shared" ref="H37:I37" si="16">SUM(H32:H36)</f>
        <v>0</v>
      </c>
      <c r="I37" s="18">
        <f t="shared" si="16"/>
        <v>10617.5</v>
      </c>
      <c r="J37" s="13"/>
      <c r="K37" s="58">
        <f>H37+F37</f>
        <v>10617.5</v>
      </c>
    </row>
    <row r="38" spans="1:11" ht="20" customHeight="1">
      <c r="A38" s="198"/>
      <c r="B38" s="3" t="s">
        <v>48</v>
      </c>
      <c r="C38" s="4"/>
      <c r="D38" s="6"/>
      <c r="E38" s="4"/>
      <c r="F38" s="4"/>
      <c r="G38" s="4"/>
      <c r="H38" s="4"/>
      <c r="I38" s="48"/>
      <c r="J38" s="4"/>
    </row>
    <row r="39" spans="1:11" ht="20" customHeight="1">
      <c r="A39" s="198"/>
      <c r="B39" s="4" t="s">
        <v>43</v>
      </c>
      <c r="C39" s="5">
        <f>0.299/6</f>
        <v>4.9833333333333334E-2</v>
      </c>
      <c r="D39" s="6" t="s">
        <v>42</v>
      </c>
      <c r="E39" s="11">
        <v>137</v>
      </c>
      <c r="F39" s="5">
        <f>C39*1000/4.99*E39</f>
        <v>1368.1696726786906</v>
      </c>
      <c r="G39" s="5">
        <v>0</v>
      </c>
      <c r="H39" s="5">
        <f t="shared" ref="H39:H43" si="17">G39*C39</f>
        <v>0</v>
      </c>
      <c r="I39" s="49">
        <f>H39+F39</f>
        <v>1368.1696726786906</v>
      </c>
      <c r="J39" s="4"/>
    </row>
    <row r="40" spans="1:11" ht="20" customHeight="1">
      <c r="A40" s="198"/>
      <c r="B40" s="4" t="s">
        <v>44</v>
      </c>
      <c r="C40" s="5">
        <f>0.53/6</f>
        <v>8.8333333333333333E-2</v>
      </c>
      <c r="D40" s="6" t="s">
        <v>42</v>
      </c>
      <c r="E40" s="11">
        <v>240</v>
      </c>
      <c r="F40" s="5">
        <f>C40*1000/8.88*E40</f>
        <v>2387.3873873873872</v>
      </c>
      <c r="G40" s="5">
        <v>0</v>
      </c>
      <c r="H40" s="5">
        <f t="shared" si="17"/>
        <v>0</v>
      </c>
      <c r="I40" s="49">
        <f t="shared" ref="I40:I43" si="18">H40+F40</f>
        <v>2387.3873873873872</v>
      </c>
      <c r="J40" s="4"/>
    </row>
    <row r="41" spans="1:11" ht="20" customHeight="1">
      <c r="A41" s="6"/>
      <c r="B41" s="4" t="s">
        <v>111</v>
      </c>
      <c r="C41" s="5">
        <f>59/6</f>
        <v>9.8333333333333339</v>
      </c>
      <c r="D41" s="6" t="s">
        <v>16</v>
      </c>
      <c r="E41" s="11">
        <v>1600</v>
      </c>
      <c r="F41" s="5">
        <f>E41*C41</f>
        <v>15733.333333333334</v>
      </c>
      <c r="G41" s="5">
        <v>0</v>
      </c>
      <c r="H41" s="5">
        <f t="shared" si="17"/>
        <v>0</v>
      </c>
      <c r="I41" s="49">
        <f t="shared" si="18"/>
        <v>15733.333333333334</v>
      </c>
      <c r="J41" s="4"/>
    </row>
    <row r="42" spans="1:11" ht="20" customHeight="1">
      <c r="A42" s="6"/>
      <c r="B42" s="4" t="s">
        <v>49</v>
      </c>
      <c r="C42" s="5">
        <f>600/6</f>
        <v>100</v>
      </c>
      <c r="D42" s="6" t="s">
        <v>32</v>
      </c>
      <c r="E42" s="11">
        <v>74.2</v>
      </c>
      <c r="F42" s="5">
        <f>E42*C42</f>
        <v>7420</v>
      </c>
      <c r="G42" s="5">
        <v>0</v>
      </c>
      <c r="H42" s="5">
        <f t="shared" si="17"/>
        <v>0</v>
      </c>
      <c r="I42" s="49">
        <f t="shared" si="18"/>
        <v>7420</v>
      </c>
      <c r="J42" s="4"/>
    </row>
    <row r="43" spans="1:11" s="40" customFormat="1" ht="20" customHeight="1">
      <c r="A43" s="198"/>
      <c r="B43" s="4" t="s">
        <v>287</v>
      </c>
      <c r="C43" s="5">
        <f>600/6</f>
        <v>100</v>
      </c>
      <c r="D43" s="6" t="s">
        <v>32</v>
      </c>
      <c r="E43" s="11">
        <v>0</v>
      </c>
      <c r="F43" s="29">
        <f t="shared" ref="F43" si="19">E43*C43</f>
        <v>0</v>
      </c>
      <c r="G43" s="20">
        <v>115</v>
      </c>
      <c r="H43" s="5">
        <f t="shared" si="17"/>
        <v>11500</v>
      </c>
      <c r="I43" s="49">
        <f t="shared" si="18"/>
        <v>11500</v>
      </c>
      <c r="J43" s="4"/>
    </row>
    <row r="44" spans="1:11" s="137" customFormat="1" ht="20" customHeight="1" thickBot="1">
      <c r="A44" s="12"/>
      <c r="B44" s="12" t="s">
        <v>50</v>
      </c>
      <c r="C44" s="18"/>
      <c r="D44" s="12"/>
      <c r="E44" s="21"/>
      <c r="F44" s="18">
        <f>SUM(F39:F43)</f>
        <v>26908.890393399412</v>
      </c>
      <c r="G44" s="18"/>
      <c r="H44" s="18">
        <f t="shared" ref="H44:I44" si="20">SUM(H39:H43)</f>
        <v>11500</v>
      </c>
      <c r="I44" s="18">
        <f t="shared" si="20"/>
        <v>38408.890393399415</v>
      </c>
      <c r="J44" s="13"/>
      <c r="K44" s="58">
        <f>H44+F44</f>
        <v>38408.890393399415</v>
      </c>
    </row>
    <row r="45" spans="1:11" ht="20" customHeight="1" thickTop="1">
      <c r="A45" s="200"/>
      <c r="B45" s="22" t="s">
        <v>51</v>
      </c>
      <c r="C45" s="23"/>
      <c r="D45" s="187"/>
      <c r="E45" s="23"/>
      <c r="F45" s="23"/>
      <c r="G45" s="23"/>
      <c r="H45" s="23"/>
      <c r="I45" s="51"/>
      <c r="J45" s="23"/>
    </row>
    <row r="46" spans="1:11" ht="20" customHeight="1">
      <c r="A46" s="198"/>
      <c r="B46" s="4" t="s">
        <v>52</v>
      </c>
      <c r="C46" s="5">
        <f>12/6</f>
        <v>2</v>
      </c>
      <c r="D46" s="6" t="s">
        <v>53</v>
      </c>
      <c r="E46" s="11">
        <v>225</v>
      </c>
      <c r="F46" s="5">
        <f>E46*C46</f>
        <v>450</v>
      </c>
      <c r="G46" s="5">
        <v>0</v>
      </c>
      <c r="H46" s="5">
        <f t="shared" ref="H46:H64" si="21">G46*C46</f>
        <v>0</v>
      </c>
      <c r="I46" s="49">
        <f>H46+F46</f>
        <v>450</v>
      </c>
      <c r="J46" s="24"/>
    </row>
    <row r="47" spans="1:11" ht="20" customHeight="1">
      <c r="A47" s="198"/>
      <c r="B47" s="4" t="s">
        <v>54</v>
      </c>
      <c r="C47" s="5">
        <f>73/6</f>
        <v>12.166666666666666</v>
      </c>
      <c r="D47" s="6" t="s">
        <v>53</v>
      </c>
      <c r="E47" s="11">
        <v>500</v>
      </c>
      <c r="F47" s="5">
        <f t="shared" ref="F47:F64" si="22">E47*C47</f>
        <v>6083.333333333333</v>
      </c>
      <c r="G47" s="5">
        <v>0</v>
      </c>
      <c r="H47" s="5">
        <f t="shared" si="21"/>
        <v>0</v>
      </c>
      <c r="I47" s="49">
        <f t="shared" ref="I47:I64" si="23">H47+F47</f>
        <v>6083.333333333333</v>
      </c>
      <c r="J47" s="24"/>
    </row>
    <row r="48" spans="1:11" ht="20" customHeight="1">
      <c r="A48" s="6"/>
      <c r="B48" s="4" t="s">
        <v>112</v>
      </c>
      <c r="C48" s="5">
        <f>46/6</f>
        <v>7.666666666666667</v>
      </c>
      <c r="D48" s="6" t="s">
        <v>53</v>
      </c>
      <c r="E48" s="11">
        <v>650</v>
      </c>
      <c r="F48" s="5">
        <f t="shared" si="22"/>
        <v>4983.3333333333339</v>
      </c>
      <c r="G48" s="5">
        <v>0</v>
      </c>
      <c r="H48" s="5">
        <f t="shared" si="21"/>
        <v>0</v>
      </c>
      <c r="I48" s="49">
        <f t="shared" si="23"/>
        <v>4983.3333333333339</v>
      </c>
      <c r="J48" s="24"/>
    </row>
    <row r="49" spans="1:16" ht="20" customHeight="1">
      <c r="A49" s="198"/>
      <c r="B49" s="4" t="s">
        <v>55</v>
      </c>
      <c r="C49" s="5">
        <f>28/6</f>
        <v>4.666666666666667</v>
      </c>
      <c r="D49" s="6" t="s">
        <v>53</v>
      </c>
      <c r="E49" s="11">
        <v>740</v>
      </c>
      <c r="F49" s="5">
        <f t="shared" si="22"/>
        <v>3453.3333333333335</v>
      </c>
      <c r="G49" s="5">
        <v>0</v>
      </c>
      <c r="H49" s="5">
        <f t="shared" si="21"/>
        <v>0</v>
      </c>
      <c r="I49" s="49">
        <f t="shared" si="23"/>
        <v>3453.3333333333335</v>
      </c>
      <c r="J49" s="24"/>
    </row>
    <row r="50" spans="1:16" ht="20" customHeight="1">
      <c r="A50" s="198"/>
      <c r="B50" s="4" t="s">
        <v>56</v>
      </c>
      <c r="C50" s="5">
        <f>2/6</f>
        <v>0.33333333333333331</v>
      </c>
      <c r="D50" s="6" t="s">
        <v>53</v>
      </c>
      <c r="E50" s="11">
        <v>1900</v>
      </c>
      <c r="F50" s="5">
        <f t="shared" si="22"/>
        <v>633.33333333333326</v>
      </c>
      <c r="G50" s="5">
        <v>0</v>
      </c>
      <c r="H50" s="5">
        <f t="shared" si="21"/>
        <v>0</v>
      </c>
      <c r="I50" s="49">
        <f t="shared" si="23"/>
        <v>633.33333333333326</v>
      </c>
      <c r="J50" s="24"/>
    </row>
    <row r="51" spans="1:16" ht="20" customHeight="1">
      <c r="A51" s="198"/>
      <c r="B51" s="4" t="s">
        <v>57</v>
      </c>
      <c r="C51" s="5">
        <f>1/6</f>
        <v>0.16666666666666666</v>
      </c>
      <c r="D51" s="6" t="s">
        <v>53</v>
      </c>
      <c r="E51" s="11">
        <v>905</v>
      </c>
      <c r="F51" s="5">
        <f t="shared" si="22"/>
        <v>150.83333333333331</v>
      </c>
      <c r="G51" s="5">
        <v>0</v>
      </c>
      <c r="H51" s="5">
        <f t="shared" si="21"/>
        <v>0</v>
      </c>
      <c r="I51" s="49">
        <f t="shared" si="23"/>
        <v>150.83333333333331</v>
      </c>
      <c r="J51" s="24"/>
    </row>
    <row r="52" spans="1:16" ht="20" customHeight="1">
      <c r="A52" s="198"/>
      <c r="B52" s="4" t="s">
        <v>58</v>
      </c>
      <c r="C52" s="5">
        <f>8/6</f>
        <v>1.3333333333333333</v>
      </c>
      <c r="D52" s="6" t="s">
        <v>53</v>
      </c>
      <c r="E52" s="11">
        <v>1040</v>
      </c>
      <c r="F52" s="5">
        <f t="shared" si="22"/>
        <v>1386.6666666666665</v>
      </c>
      <c r="G52" s="5">
        <v>0</v>
      </c>
      <c r="H52" s="5">
        <f t="shared" si="21"/>
        <v>0</v>
      </c>
      <c r="I52" s="49">
        <f t="shared" si="23"/>
        <v>1386.6666666666665</v>
      </c>
      <c r="J52" s="24"/>
    </row>
    <row r="53" spans="1:16" ht="20" customHeight="1">
      <c r="A53" s="198"/>
      <c r="B53" s="4" t="s">
        <v>59</v>
      </c>
      <c r="C53" s="5">
        <f>6/6</f>
        <v>1</v>
      </c>
      <c r="D53" s="6" t="s">
        <v>60</v>
      </c>
      <c r="E53" s="11">
        <v>109</v>
      </c>
      <c r="F53" s="5">
        <f t="shared" si="22"/>
        <v>109</v>
      </c>
      <c r="G53" s="5">
        <v>0</v>
      </c>
      <c r="H53" s="5">
        <f t="shared" si="21"/>
        <v>0</v>
      </c>
      <c r="I53" s="49">
        <f t="shared" si="23"/>
        <v>109</v>
      </c>
      <c r="J53" s="24"/>
    </row>
    <row r="54" spans="1:16" ht="20" customHeight="1">
      <c r="A54" s="6"/>
      <c r="B54" s="4" t="s">
        <v>61</v>
      </c>
      <c r="C54" s="5">
        <f>14/6</f>
        <v>2.3333333333333335</v>
      </c>
      <c r="D54" s="6" t="s">
        <v>60</v>
      </c>
      <c r="E54" s="11">
        <v>53</v>
      </c>
      <c r="F54" s="5">
        <f t="shared" si="22"/>
        <v>123.66666666666667</v>
      </c>
      <c r="G54" s="5">
        <v>0</v>
      </c>
      <c r="H54" s="5">
        <f t="shared" si="21"/>
        <v>0</v>
      </c>
      <c r="I54" s="49">
        <f t="shared" si="23"/>
        <v>123.66666666666667</v>
      </c>
      <c r="J54" s="24"/>
      <c r="P54" s="43" t="s">
        <v>277</v>
      </c>
    </row>
    <row r="55" spans="1:16" ht="20" customHeight="1">
      <c r="A55" s="6"/>
      <c r="B55" s="4" t="s">
        <v>62</v>
      </c>
      <c r="C55" s="5">
        <f>1/6</f>
        <v>0.16666666666666666</v>
      </c>
      <c r="D55" s="6" t="s">
        <v>60</v>
      </c>
      <c r="E55" s="11">
        <v>670</v>
      </c>
      <c r="F55" s="5">
        <f t="shared" si="22"/>
        <v>111.66666666666666</v>
      </c>
      <c r="G55" s="5">
        <v>0</v>
      </c>
      <c r="H55" s="5">
        <f t="shared" si="21"/>
        <v>0</v>
      </c>
      <c r="I55" s="49">
        <f t="shared" si="23"/>
        <v>111.66666666666666</v>
      </c>
      <c r="J55" s="24"/>
    </row>
    <row r="56" spans="1:16" ht="20" customHeight="1">
      <c r="A56" s="198"/>
      <c r="B56" s="4" t="s">
        <v>63</v>
      </c>
      <c r="C56" s="5">
        <f>1/6</f>
        <v>0.16666666666666666</v>
      </c>
      <c r="D56" s="6" t="s">
        <v>64</v>
      </c>
      <c r="E56" s="5">
        <v>1500</v>
      </c>
      <c r="F56" s="5">
        <f t="shared" si="22"/>
        <v>250</v>
      </c>
      <c r="G56" s="5">
        <v>0</v>
      </c>
      <c r="H56" s="5">
        <f t="shared" si="21"/>
        <v>0</v>
      </c>
      <c r="I56" s="49">
        <f t="shared" si="23"/>
        <v>250</v>
      </c>
      <c r="J56" s="4"/>
    </row>
    <row r="57" spans="1:16" ht="20" customHeight="1">
      <c r="A57" s="198"/>
      <c r="B57" s="4" t="s">
        <v>65</v>
      </c>
      <c r="C57" s="5">
        <f>6/6</f>
        <v>1</v>
      </c>
      <c r="D57" s="6" t="s">
        <v>66</v>
      </c>
      <c r="E57" s="11">
        <v>1189</v>
      </c>
      <c r="F57" s="5">
        <f t="shared" si="22"/>
        <v>1189</v>
      </c>
      <c r="G57" s="5">
        <v>0</v>
      </c>
      <c r="H57" s="5">
        <f t="shared" si="21"/>
        <v>0</v>
      </c>
      <c r="I57" s="49">
        <f t="shared" si="23"/>
        <v>1189</v>
      </c>
      <c r="J57" s="4"/>
    </row>
    <row r="58" spans="1:16" ht="20" customHeight="1">
      <c r="A58" s="198"/>
      <c r="B58" s="4" t="s">
        <v>67</v>
      </c>
      <c r="C58" s="5">
        <f>10/6</f>
        <v>1.6666666666666667</v>
      </c>
      <c r="D58" s="6" t="s">
        <v>66</v>
      </c>
      <c r="E58" s="11">
        <v>499</v>
      </c>
      <c r="F58" s="5">
        <f t="shared" si="22"/>
        <v>831.66666666666674</v>
      </c>
      <c r="G58" s="5">
        <v>0</v>
      </c>
      <c r="H58" s="5">
        <f t="shared" si="21"/>
        <v>0</v>
      </c>
      <c r="I58" s="49">
        <f t="shared" si="23"/>
        <v>831.66666666666674</v>
      </c>
      <c r="J58" s="4"/>
    </row>
    <row r="59" spans="1:16" ht="20" customHeight="1">
      <c r="A59" s="198"/>
      <c r="B59" s="4" t="s">
        <v>68</v>
      </c>
      <c r="C59" s="17">
        <f>10/6</f>
        <v>1.6666666666666667</v>
      </c>
      <c r="D59" s="6" t="s">
        <v>69</v>
      </c>
      <c r="E59" s="5">
        <v>98</v>
      </c>
      <c r="F59" s="5">
        <f t="shared" si="22"/>
        <v>163.33333333333334</v>
      </c>
      <c r="G59" s="5">
        <v>0</v>
      </c>
      <c r="H59" s="5">
        <f t="shared" si="21"/>
        <v>0</v>
      </c>
      <c r="I59" s="49">
        <f t="shared" si="23"/>
        <v>163.33333333333334</v>
      </c>
      <c r="J59" s="4"/>
    </row>
    <row r="60" spans="1:16" ht="20" customHeight="1">
      <c r="A60" s="198"/>
      <c r="B60" s="39" t="s">
        <v>255</v>
      </c>
      <c r="C60" s="26">
        <f>446.43/6</f>
        <v>74.405000000000001</v>
      </c>
      <c r="D60" s="27" t="s">
        <v>263</v>
      </c>
      <c r="E60" s="5">
        <v>0</v>
      </c>
      <c r="F60" s="5">
        <f t="shared" si="22"/>
        <v>0</v>
      </c>
      <c r="G60" s="5">
        <v>0</v>
      </c>
      <c r="H60" s="5">
        <f t="shared" si="21"/>
        <v>0</v>
      </c>
      <c r="I60" s="49">
        <f t="shared" si="23"/>
        <v>0</v>
      </c>
      <c r="J60" s="24"/>
    </row>
    <row r="61" spans="1:16" ht="20" customHeight="1">
      <c r="A61" s="198"/>
      <c r="B61" s="4" t="s">
        <v>266</v>
      </c>
      <c r="C61" s="30">
        <v>1</v>
      </c>
      <c r="D61" s="31" t="s">
        <v>264</v>
      </c>
      <c r="E61" s="5">
        <v>0</v>
      </c>
      <c r="F61" s="5">
        <f t="shared" si="22"/>
        <v>0</v>
      </c>
      <c r="G61" s="32">
        <v>1000</v>
      </c>
      <c r="H61" s="5">
        <f t="shared" si="21"/>
        <v>1000</v>
      </c>
      <c r="I61" s="49">
        <f t="shared" si="23"/>
        <v>1000</v>
      </c>
      <c r="J61" s="24"/>
    </row>
    <row r="62" spans="1:16" ht="20" customHeight="1">
      <c r="A62" s="198"/>
      <c r="B62" s="4" t="s">
        <v>258</v>
      </c>
      <c r="C62" s="30">
        <f>11/6</f>
        <v>1.8333333333333333</v>
      </c>
      <c r="D62" s="31" t="s">
        <v>21</v>
      </c>
      <c r="E62" s="5">
        <v>0</v>
      </c>
      <c r="F62" s="5">
        <f t="shared" si="22"/>
        <v>0</v>
      </c>
      <c r="G62" s="33">
        <v>300</v>
      </c>
      <c r="H62" s="5">
        <f t="shared" si="21"/>
        <v>550</v>
      </c>
      <c r="I62" s="49">
        <f t="shared" si="23"/>
        <v>550</v>
      </c>
      <c r="J62" s="24"/>
    </row>
    <row r="63" spans="1:16" ht="20" customHeight="1">
      <c r="A63" s="6"/>
      <c r="B63" s="4" t="s">
        <v>267</v>
      </c>
      <c r="C63" s="30">
        <f>8/6</f>
        <v>1.3333333333333333</v>
      </c>
      <c r="D63" s="31" t="s">
        <v>21</v>
      </c>
      <c r="E63" s="5">
        <v>0</v>
      </c>
      <c r="F63" s="5">
        <f t="shared" si="22"/>
        <v>0</v>
      </c>
      <c r="G63" s="11">
        <v>500</v>
      </c>
      <c r="H63" s="5">
        <f t="shared" si="21"/>
        <v>666.66666666666663</v>
      </c>
      <c r="I63" s="49">
        <f t="shared" si="23"/>
        <v>666.66666666666663</v>
      </c>
      <c r="J63" s="24"/>
    </row>
    <row r="64" spans="1:16" ht="20" customHeight="1">
      <c r="A64" s="6"/>
      <c r="B64" s="39" t="s">
        <v>268</v>
      </c>
      <c r="C64" s="30">
        <v>4</v>
      </c>
      <c r="D64" s="34" t="s">
        <v>123</v>
      </c>
      <c r="E64" s="5">
        <v>0</v>
      </c>
      <c r="F64" s="5">
        <f t="shared" si="22"/>
        <v>0</v>
      </c>
      <c r="G64" s="11">
        <v>80</v>
      </c>
      <c r="H64" s="5">
        <f t="shared" si="21"/>
        <v>320</v>
      </c>
      <c r="I64" s="49">
        <f t="shared" si="23"/>
        <v>320</v>
      </c>
      <c r="J64" s="24"/>
    </row>
    <row r="65" spans="1:11" s="137" customFormat="1" ht="20" customHeight="1">
      <c r="A65" s="199"/>
      <c r="B65" s="12" t="s">
        <v>70</v>
      </c>
      <c r="C65" s="13"/>
      <c r="D65" s="12"/>
      <c r="E65" s="13"/>
      <c r="F65" s="14">
        <f>SUM(F46:F64)</f>
        <v>19919.166666666672</v>
      </c>
      <c r="G65" s="14"/>
      <c r="H65" s="14">
        <f t="shared" ref="H65:I65" si="24">SUM(H46:H64)</f>
        <v>2536.6666666666665</v>
      </c>
      <c r="I65" s="14">
        <f t="shared" si="24"/>
        <v>22455.833333333339</v>
      </c>
      <c r="J65" s="13"/>
      <c r="K65" s="58">
        <f>H65+F65</f>
        <v>22455.833333333339</v>
      </c>
    </row>
    <row r="66" spans="1:11" s="136" customFormat="1" ht="20" customHeight="1">
      <c r="A66" s="201">
        <v>1</v>
      </c>
      <c r="B66" s="52" t="s">
        <v>71</v>
      </c>
      <c r="C66" s="53"/>
      <c r="D66" s="54" t="s">
        <v>11</v>
      </c>
      <c r="E66" s="55"/>
      <c r="F66" s="56">
        <f>F12+F16+F23+F30+F37+F44+F65</f>
        <v>110913.89039339942</v>
      </c>
      <c r="G66" s="56"/>
      <c r="H66" s="56">
        <f t="shared" ref="H66:I66" si="25">H12+H16+H23+H30+H37+H44+H65</f>
        <v>38008.666666666664</v>
      </c>
      <c r="I66" s="56">
        <f t="shared" si="25"/>
        <v>148922.55706006609</v>
      </c>
      <c r="J66" s="57"/>
      <c r="K66" s="58">
        <f>H66+F66</f>
        <v>148922.55706006609</v>
      </c>
    </row>
    <row r="67" spans="1:11" s="138" customFormat="1" ht="20" customHeight="1" thickBot="1">
      <c r="A67" s="202"/>
      <c r="B67" s="59"/>
      <c r="C67" s="60"/>
      <c r="D67" s="61"/>
      <c r="E67" s="62"/>
      <c r="F67" s="63"/>
      <c r="G67" s="63"/>
      <c r="H67" s="63"/>
      <c r="I67" s="63"/>
      <c r="J67" s="64"/>
      <c r="K67" s="65"/>
    </row>
    <row r="68" spans="1:11" s="140" customFormat="1" ht="20" customHeight="1" thickTop="1">
      <c r="A68" s="203">
        <v>2</v>
      </c>
      <c r="B68" s="66" t="s">
        <v>72</v>
      </c>
      <c r="C68" s="67"/>
      <c r="D68" s="188"/>
      <c r="E68" s="67"/>
      <c r="F68" s="67"/>
      <c r="G68" s="67"/>
      <c r="H68" s="67"/>
      <c r="I68" s="68"/>
      <c r="J68" s="67"/>
      <c r="K68" s="139"/>
    </row>
    <row r="69" spans="1:11" ht="20" customHeight="1">
      <c r="A69" s="198"/>
      <c r="B69" s="3" t="s">
        <v>73</v>
      </c>
      <c r="C69" s="4"/>
      <c r="D69" s="6"/>
      <c r="E69" s="4"/>
      <c r="F69" s="4"/>
      <c r="G69" s="4"/>
      <c r="H69" s="4"/>
      <c r="I69" s="48"/>
      <c r="J69" s="4"/>
    </row>
    <row r="70" spans="1:11" ht="20" customHeight="1">
      <c r="A70" s="198"/>
      <c r="B70" s="4" t="s">
        <v>74</v>
      </c>
      <c r="C70" s="5">
        <f>30/6</f>
        <v>5</v>
      </c>
      <c r="D70" s="6" t="s">
        <v>53</v>
      </c>
      <c r="E70" s="11">
        <v>1090</v>
      </c>
      <c r="F70" s="5">
        <f>E70*C70</f>
        <v>5450</v>
      </c>
      <c r="G70" s="5">
        <v>0</v>
      </c>
      <c r="H70" s="20">
        <f>G70*C70</f>
        <v>0</v>
      </c>
      <c r="I70" s="49">
        <f>H70+F70</f>
        <v>5450</v>
      </c>
      <c r="J70" s="4"/>
    </row>
    <row r="71" spans="1:11" ht="20" customHeight="1">
      <c r="A71" s="198"/>
      <c r="B71" s="4" t="s">
        <v>75</v>
      </c>
      <c r="C71" s="5">
        <f>12/6</f>
        <v>2</v>
      </c>
      <c r="D71" s="6" t="s">
        <v>53</v>
      </c>
      <c r="E71" s="11">
        <v>510</v>
      </c>
      <c r="F71" s="5">
        <f t="shared" ref="F71:F95" si="26">E71*C71</f>
        <v>1020</v>
      </c>
      <c r="G71" s="5">
        <v>0</v>
      </c>
      <c r="H71" s="20">
        <f t="shared" ref="H71:H95" si="27">G71*C71</f>
        <v>0</v>
      </c>
      <c r="I71" s="49">
        <f t="shared" ref="I71:I95" si="28">H71+F71</f>
        <v>1020</v>
      </c>
      <c r="J71" s="4"/>
    </row>
    <row r="72" spans="1:11" ht="20" customHeight="1">
      <c r="A72" s="6"/>
      <c r="B72" s="4" t="s">
        <v>76</v>
      </c>
      <c r="C72" s="5">
        <f>6/6</f>
        <v>1</v>
      </c>
      <c r="D72" s="6" t="s">
        <v>53</v>
      </c>
      <c r="E72" s="11">
        <v>234</v>
      </c>
      <c r="F72" s="5">
        <f t="shared" si="26"/>
        <v>234</v>
      </c>
      <c r="G72" s="5">
        <v>0</v>
      </c>
      <c r="H72" s="20">
        <f t="shared" si="27"/>
        <v>0</v>
      </c>
      <c r="I72" s="49">
        <f t="shared" si="28"/>
        <v>234</v>
      </c>
      <c r="J72" s="4"/>
    </row>
    <row r="73" spans="1:11" ht="20" customHeight="1">
      <c r="A73" s="198"/>
      <c r="B73" s="4" t="s">
        <v>77</v>
      </c>
      <c r="C73" s="5">
        <f>12/6</f>
        <v>2</v>
      </c>
      <c r="D73" s="6" t="s">
        <v>53</v>
      </c>
      <c r="E73" s="11">
        <v>144</v>
      </c>
      <c r="F73" s="5">
        <f t="shared" si="26"/>
        <v>288</v>
      </c>
      <c r="G73" s="5">
        <v>0</v>
      </c>
      <c r="H73" s="20">
        <f t="shared" si="27"/>
        <v>0</v>
      </c>
      <c r="I73" s="49">
        <f t="shared" si="28"/>
        <v>288</v>
      </c>
      <c r="J73" s="4"/>
    </row>
    <row r="74" spans="1:11" ht="20" customHeight="1">
      <c r="A74" s="198"/>
      <c r="B74" s="4" t="s">
        <v>78</v>
      </c>
      <c r="C74" s="5">
        <f>6/6</f>
        <v>1</v>
      </c>
      <c r="D74" s="6" t="s">
        <v>53</v>
      </c>
      <c r="E74" s="11">
        <v>53</v>
      </c>
      <c r="F74" s="5">
        <f t="shared" si="26"/>
        <v>53</v>
      </c>
      <c r="G74" s="5">
        <v>0</v>
      </c>
      <c r="H74" s="20">
        <f t="shared" si="27"/>
        <v>0</v>
      </c>
      <c r="I74" s="49">
        <f t="shared" si="28"/>
        <v>53</v>
      </c>
      <c r="J74" s="4"/>
    </row>
    <row r="75" spans="1:11" ht="20" customHeight="1">
      <c r="A75" s="6"/>
      <c r="B75" s="4" t="s">
        <v>79</v>
      </c>
      <c r="C75" s="5">
        <f>6/6</f>
        <v>1</v>
      </c>
      <c r="D75" s="6" t="s">
        <v>53</v>
      </c>
      <c r="E75" s="11">
        <v>48</v>
      </c>
      <c r="F75" s="5">
        <f t="shared" si="26"/>
        <v>48</v>
      </c>
      <c r="G75" s="5">
        <v>0</v>
      </c>
      <c r="H75" s="20">
        <f t="shared" si="27"/>
        <v>0</v>
      </c>
      <c r="I75" s="49">
        <f t="shared" si="28"/>
        <v>48</v>
      </c>
      <c r="J75" s="4"/>
    </row>
    <row r="76" spans="1:11" ht="20" customHeight="1">
      <c r="A76" s="6"/>
      <c r="B76" s="4" t="s">
        <v>80</v>
      </c>
      <c r="C76" s="5">
        <f>6/6</f>
        <v>1</v>
      </c>
      <c r="D76" s="6" t="s">
        <v>53</v>
      </c>
      <c r="E76" s="11">
        <v>64</v>
      </c>
      <c r="F76" s="5">
        <f t="shared" si="26"/>
        <v>64</v>
      </c>
      <c r="G76" s="5">
        <v>0</v>
      </c>
      <c r="H76" s="20">
        <f t="shared" si="27"/>
        <v>0</v>
      </c>
      <c r="I76" s="49">
        <f t="shared" si="28"/>
        <v>64</v>
      </c>
      <c r="J76" s="4"/>
    </row>
    <row r="77" spans="1:11" ht="20" customHeight="1">
      <c r="A77" s="198"/>
      <c r="B77" s="4" t="s">
        <v>81</v>
      </c>
      <c r="C77" s="5">
        <f>6/6</f>
        <v>1</v>
      </c>
      <c r="D77" s="6" t="s">
        <v>82</v>
      </c>
      <c r="E77" s="11">
        <v>84.6</v>
      </c>
      <c r="F77" s="5">
        <f t="shared" si="26"/>
        <v>84.6</v>
      </c>
      <c r="G77" s="5">
        <v>0</v>
      </c>
      <c r="H77" s="20">
        <f t="shared" si="27"/>
        <v>0</v>
      </c>
      <c r="I77" s="49">
        <f t="shared" si="28"/>
        <v>84.6</v>
      </c>
      <c r="J77" s="4"/>
    </row>
    <row r="78" spans="1:11" ht="20" customHeight="1">
      <c r="A78" s="198"/>
      <c r="B78" s="4" t="s">
        <v>83</v>
      </c>
      <c r="C78" s="5">
        <f>18/6</f>
        <v>3</v>
      </c>
      <c r="D78" s="6" t="s">
        <v>82</v>
      </c>
      <c r="E78" s="11">
        <v>84.6</v>
      </c>
      <c r="F78" s="5">
        <f t="shared" si="26"/>
        <v>253.79999999999998</v>
      </c>
      <c r="G78" s="5">
        <v>0</v>
      </c>
      <c r="H78" s="20">
        <f t="shared" si="27"/>
        <v>0</v>
      </c>
      <c r="I78" s="49">
        <f t="shared" si="28"/>
        <v>253.79999999999998</v>
      </c>
      <c r="J78" s="4"/>
    </row>
    <row r="79" spans="1:11" ht="20" customHeight="1">
      <c r="A79" s="198"/>
      <c r="B79" s="4" t="s">
        <v>84</v>
      </c>
      <c r="C79" s="5">
        <f>24/6</f>
        <v>4</v>
      </c>
      <c r="D79" s="6" t="s">
        <v>82</v>
      </c>
      <c r="E79" s="11">
        <v>22.8</v>
      </c>
      <c r="F79" s="5">
        <f t="shared" si="26"/>
        <v>91.2</v>
      </c>
      <c r="G79" s="5">
        <v>0</v>
      </c>
      <c r="H79" s="20">
        <f t="shared" si="27"/>
        <v>0</v>
      </c>
      <c r="I79" s="49">
        <f t="shared" si="28"/>
        <v>91.2</v>
      </c>
      <c r="J79" s="4"/>
    </row>
    <row r="80" spans="1:11" ht="20" customHeight="1">
      <c r="A80" s="198"/>
      <c r="B80" s="4" t="s">
        <v>85</v>
      </c>
      <c r="C80" s="5">
        <f>12/6</f>
        <v>2</v>
      </c>
      <c r="D80" s="6" t="s">
        <v>82</v>
      </c>
      <c r="E80" s="11">
        <v>31.3</v>
      </c>
      <c r="F80" s="5">
        <f t="shared" si="26"/>
        <v>62.6</v>
      </c>
      <c r="G80" s="5">
        <v>0</v>
      </c>
      <c r="H80" s="20">
        <f t="shared" si="27"/>
        <v>0</v>
      </c>
      <c r="I80" s="49">
        <f t="shared" si="28"/>
        <v>62.6</v>
      </c>
      <c r="J80" s="4"/>
    </row>
    <row r="81" spans="1:11" ht="20" customHeight="1">
      <c r="A81" s="198"/>
      <c r="B81" s="4" t="s">
        <v>86</v>
      </c>
      <c r="C81" s="5">
        <f>24/6</f>
        <v>4</v>
      </c>
      <c r="D81" s="6" t="s">
        <v>82</v>
      </c>
      <c r="E81" s="11">
        <v>13.9</v>
      </c>
      <c r="F81" s="5">
        <f t="shared" si="26"/>
        <v>55.6</v>
      </c>
      <c r="G81" s="5">
        <v>0</v>
      </c>
      <c r="H81" s="20">
        <f t="shared" si="27"/>
        <v>0</v>
      </c>
      <c r="I81" s="49">
        <f t="shared" si="28"/>
        <v>55.6</v>
      </c>
      <c r="J81" s="4"/>
    </row>
    <row r="82" spans="1:11" ht="20" customHeight="1">
      <c r="A82" s="198"/>
      <c r="B82" s="4" t="s">
        <v>87</v>
      </c>
      <c r="C82" s="5">
        <f>6/6</f>
        <v>1</v>
      </c>
      <c r="D82" s="6" t="s">
        <v>82</v>
      </c>
      <c r="E82" s="11">
        <v>8.0500000000000007</v>
      </c>
      <c r="F82" s="5">
        <f t="shared" si="26"/>
        <v>8.0500000000000007</v>
      </c>
      <c r="G82" s="5">
        <v>0</v>
      </c>
      <c r="H82" s="20">
        <f t="shared" si="27"/>
        <v>0</v>
      </c>
      <c r="I82" s="49">
        <f t="shared" si="28"/>
        <v>8.0500000000000007</v>
      </c>
      <c r="J82" s="4"/>
    </row>
    <row r="83" spans="1:11" ht="20" customHeight="1">
      <c r="A83" s="198"/>
      <c r="B83" s="4" t="s">
        <v>88</v>
      </c>
      <c r="C83" s="5">
        <f>12/6</f>
        <v>2</v>
      </c>
      <c r="D83" s="6" t="s">
        <v>82</v>
      </c>
      <c r="E83" s="11">
        <v>18.600000000000001</v>
      </c>
      <c r="F83" s="5">
        <f t="shared" si="26"/>
        <v>37.200000000000003</v>
      </c>
      <c r="G83" s="5">
        <v>0</v>
      </c>
      <c r="H83" s="20">
        <f t="shared" si="27"/>
        <v>0</v>
      </c>
      <c r="I83" s="49">
        <f t="shared" si="28"/>
        <v>37.200000000000003</v>
      </c>
      <c r="J83" s="4"/>
    </row>
    <row r="84" spans="1:11" ht="20" customHeight="1">
      <c r="A84" s="198"/>
      <c r="B84" s="4" t="s">
        <v>89</v>
      </c>
      <c r="C84" s="5">
        <f>6/6</f>
        <v>1</v>
      </c>
      <c r="D84" s="6" t="s">
        <v>82</v>
      </c>
      <c r="E84" s="11">
        <v>13.8</v>
      </c>
      <c r="F84" s="5">
        <f t="shared" si="26"/>
        <v>13.8</v>
      </c>
      <c r="G84" s="5">
        <v>0</v>
      </c>
      <c r="H84" s="20">
        <f t="shared" si="27"/>
        <v>0</v>
      </c>
      <c r="I84" s="49">
        <f t="shared" si="28"/>
        <v>13.8</v>
      </c>
      <c r="J84" s="4"/>
    </row>
    <row r="85" spans="1:11" ht="20" customHeight="1">
      <c r="A85" s="198"/>
      <c r="B85" s="4" t="s">
        <v>90</v>
      </c>
      <c r="C85" s="5">
        <f>6/6</f>
        <v>1</v>
      </c>
      <c r="D85" s="6" t="s">
        <v>82</v>
      </c>
      <c r="E85" s="11">
        <v>15</v>
      </c>
      <c r="F85" s="5">
        <f t="shared" si="26"/>
        <v>15</v>
      </c>
      <c r="G85" s="5">
        <v>0</v>
      </c>
      <c r="H85" s="20">
        <f t="shared" si="27"/>
        <v>0</v>
      </c>
      <c r="I85" s="49">
        <f t="shared" si="28"/>
        <v>15</v>
      </c>
      <c r="J85" s="4"/>
    </row>
    <row r="86" spans="1:11" ht="20" customHeight="1">
      <c r="A86" s="198"/>
      <c r="B86" s="4" t="s">
        <v>91</v>
      </c>
      <c r="C86" s="5">
        <f>6/6</f>
        <v>1</v>
      </c>
      <c r="D86" s="6" t="s">
        <v>82</v>
      </c>
      <c r="E86" s="11">
        <v>13</v>
      </c>
      <c r="F86" s="5">
        <f t="shared" si="26"/>
        <v>13</v>
      </c>
      <c r="G86" s="5">
        <v>0</v>
      </c>
      <c r="H86" s="20">
        <f t="shared" si="27"/>
        <v>0</v>
      </c>
      <c r="I86" s="49">
        <f t="shared" si="28"/>
        <v>13</v>
      </c>
      <c r="J86" s="4"/>
    </row>
    <row r="87" spans="1:11" ht="20" customHeight="1">
      <c r="A87" s="198"/>
      <c r="B87" s="4" t="s">
        <v>92</v>
      </c>
      <c r="C87" s="5">
        <f>6/6</f>
        <v>1</v>
      </c>
      <c r="D87" s="6" t="s">
        <v>82</v>
      </c>
      <c r="E87" s="11">
        <v>12</v>
      </c>
      <c r="F87" s="5">
        <f t="shared" si="26"/>
        <v>12</v>
      </c>
      <c r="G87" s="5">
        <v>0</v>
      </c>
      <c r="H87" s="20">
        <f t="shared" si="27"/>
        <v>0</v>
      </c>
      <c r="I87" s="49">
        <f t="shared" si="28"/>
        <v>12</v>
      </c>
      <c r="J87" s="4"/>
    </row>
    <row r="88" spans="1:11" ht="20" customHeight="1">
      <c r="A88" s="198"/>
      <c r="B88" s="4" t="s">
        <v>93</v>
      </c>
      <c r="C88" s="5">
        <f>6/6</f>
        <v>1</v>
      </c>
      <c r="D88" s="6" t="s">
        <v>82</v>
      </c>
      <c r="E88" s="11">
        <v>4.7</v>
      </c>
      <c r="F88" s="5">
        <f t="shared" si="26"/>
        <v>4.7</v>
      </c>
      <c r="G88" s="5">
        <v>0</v>
      </c>
      <c r="H88" s="20">
        <f t="shared" si="27"/>
        <v>0</v>
      </c>
      <c r="I88" s="49">
        <f t="shared" si="28"/>
        <v>4.7</v>
      </c>
      <c r="J88" s="4"/>
    </row>
    <row r="89" spans="1:11" ht="20" customHeight="1">
      <c r="A89" s="6"/>
      <c r="B89" s="4" t="s">
        <v>94</v>
      </c>
      <c r="C89" s="5">
        <f>7.5/6</f>
        <v>1.25</v>
      </c>
      <c r="D89" s="6" t="s">
        <v>95</v>
      </c>
      <c r="E89" s="11">
        <v>434</v>
      </c>
      <c r="F89" s="5">
        <f t="shared" si="26"/>
        <v>542.5</v>
      </c>
      <c r="G89" s="5">
        <v>0</v>
      </c>
      <c r="H89" s="20">
        <f t="shared" si="27"/>
        <v>0</v>
      </c>
      <c r="I89" s="49">
        <f t="shared" si="28"/>
        <v>542.5</v>
      </c>
      <c r="J89" s="4"/>
    </row>
    <row r="90" spans="1:11" ht="20" customHeight="1">
      <c r="A90" s="6"/>
      <c r="B90" s="4" t="s">
        <v>96</v>
      </c>
      <c r="C90" s="5">
        <f>6/6</f>
        <v>1</v>
      </c>
      <c r="D90" s="6" t="s">
        <v>66</v>
      </c>
      <c r="E90" s="11">
        <v>3600</v>
      </c>
      <c r="F90" s="5">
        <f t="shared" si="26"/>
        <v>3600</v>
      </c>
      <c r="G90" s="5">
        <v>0</v>
      </c>
      <c r="H90" s="20">
        <f t="shared" si="27"/>
        <v>0</v>
      </c>
      <c r="I90" s="49">
        <f t="shared" si="28"/>
        <v>3600</v>
      </c>
      <c r="J90" s="4"/>
    </row>
    <row r="91" spans="1:11" ht="20" customHeight="1">
      <c r="A91" s="198"/>
      <c r="B91" s="3" t="s">
        <v>280</v>
      </c>
      <c r="C91" s="5">
        <f>2/6</f>
        <v>0.33333333333333331</v>
      </c>
      <c r="D91" s="6" t="s">
        <v>97</v>
      </c>
      <c r="E91" s="5">
        <v>600</v>
      </c>
      <c r="F91" s="5">
        <f t="shared" si="26"/>
        <v>200</v>
      </c>
      <c r="G91" s="5">
        <v>0</v>
      </c>
      <c r="H91" s="20">
        <f t="shared" si="27"/>
        <v>0</v>
      </c>
      <c r="I91" s="49">
        <f t="shared" si="28"/>
        <v>200</v>
      </c>
      <c r="J91" s="4"/>
    </row>
    <row r="92" spans="1:11" ht="20" customHeight="1">
      <c r="A92" s="198"/>
      <c r="B92" s="4" t="s">
        <v>113</v>
      </c>
      <c r="C92" s="5">
        <f>6/6</f>
        <v>1</v>
      </c>
      <c r="D92" s="6" t="s">
        <v>66</v>
      </c>
      <c r="E92" s="5">
        <v>1100</v>
      </c>
      <c r="F92" s="5">
        <f t="shared" si="26"/>
        <v>1100</v>
      </c>
      <c r="G92" s="5">
        <v>0</v>
      </c>
      <c r="H92" s="20">
        <f t="shared" si="27"/>
        <v>0</v>
      </c>
      <c r="I92" s="49">
        <f t="shared" si="28"/>
        <v>1100</v>
      </c>
      <c r="J92" s="4"/>
    </row>
    <row r="93" spans="1:11" ht="20" customHeight="1">
      <c r="A93" s="198"/>
      <c r="B93" s="4" t="s">
        <v>98</v>
      </c>
      <c r="C93" s="5">
        <f>3.5/6</f>
        <v>0.58333333333333337</v>
      </c>
      <c r="D93" s="6" t="s">
        <v>97</v>
      </c>
      <c r="E93" s="5">
        <v>160</v>
      </c>
      <c r="F93" s="5">
        <f t="shared" si="26"/>
        <v>93.333333333333343</v>
      </c>
      <c r="G93" s="5">
        <v>0</v>
      </c>
      <c r="H93" s="20">
        <f t="shared" si="27"/>
        <v>0</v>
      </c>
      <c r="I93" s="49">
        <f t="shared" si="28"/>
        <v>93.333333333333343</v>
      </c>
      <c r="J93" s="4"/>
    </row>
    <row r="94" spans="1:11" ht="20" customHeight="1">
      <c r="A94" s="6"/>
      <c r="B94" s="4" t="s">
        <v>99</v>
      </c>
      <c r="C94" s="5">
        <f>12/6</f>
        <v>2</v>
      </c>
      <c r="D94" s="6" t="s">
        <v>100</v>
      </c>
      <c r="E94" s="11">
        <v>108</v>
      </c>
      <c r="F94" s="5">
        <f t="shared" si="26"/>
        <v>216</v>
      </c>
      <c r="G94" s="5">
        <v>0</v>
      </c>
      <c r="H94" s="20">
        <f t="shared" si="27"/>
        <v>0</v>
      </c>
      <c r="I94" s="49">
        <f t="shared" si="28"/>
        <v>216</v>
      </c>
      <c r="J94" s="4"/>
    </row>
    <row r="95" spans="1:11" ht="20" customHeight="1">
      <c r="A95" s="6"/>
      <c r="B95" s="4" t="s">
        <v>101</v>
      </c>
      <c r="C95" s="5">
        <f>12/6</f>
        <v>2</v>
      </c>
      <c r="D95" s="6" t="s">
        <v>102</v>
      </c>
      <c r="E95" s="11">
        <v>42</v>
      </c>
      <c r="F95" s="5">
        <f t="shared" si="26"/>
        <v>84</v>
      </c>
      <c r="G95" s="5">
        <v>0</v>
      </c>
      <c r="H95" s="20">
        <f t="shared" si="27"/>
        <v>0</v>
      </c>
      <c r="I95" s="49">
        <f t="shared" si="28"/>
        <v>84</v>
      </c>
      <c r="J95" s="4"/>
    </row>
    <row r="96" spans="1:11" s="137" customFormat="1" ht="20" customHeight="1">
      <c r="A96" s="199"/>
      <c r="B96" s="12" t="s">
        <v>103</v>
      </c>
      <c r="C96" s="18"/>
      <c r="D96" s="12"/>
      <c r="E96" s="19"/>
      <c r="F96" s="18">
        <f>SUM(F70:F95)</f>
        <v>13644.383333333335</v>
      </c>
      <c r="G96" s="18"/>
      <c r="H96" s="18">
        <f t="shared" ref="H96" si="29">SUM(H70:H95)</f>
        <v>0</v>
      </c>
      <c r="I96" s="18">
        <f>SUM(I70:I95)</f>
        <v>13644.383333333335</v>
      </c>
      <c r="J96" s="13"/>
      <c r="K96" s="58">
        <f>H96+F96</f>
        <v>13644.383333333335</v>
      </c>
    </row>
    <row r="97" spans="1:11" ht="20" customHeight="1">
      <c r="A97" s="6"/>
      <c r="B97" s="3" t="s">
        <v>114</v>
      </c>
      <c r="C97" s="5"/>
      <c r="D97" s="6"/>
      <c r="E97" s="10"/>
      <c r="F97" s="5"/>
      <c r="G97" s="10"/>
      <c r="H97" s="5"/>
      <c r="I97" s="49"/>
      <c r="J97" s="4"/>
    </row>
    <row r="98" spans="1:11" ht="20" customHeight="1">
      <c r="A98" s="198"/>
      <c r="B98" s="4" t="s">
        <v>104</v>
      </c>
      <c r="C98" s="5">
        <v>1</v>
      </c>
      <c r="D98" s="6" t="s">
        <v>105</v>
      </c>
      <c r="E98" s="5">
        <v>109</v>
      </c>
      <c r="F98" s="5">
        <f>E98*C98</f>
        <v>109</v>
      </c>
      <c r="G98" s="20">
        <v>6000</v>
      </c>
      <c r="H98" s="20">
        <f t="shared" ref="H98:H99" si="30">G98*C98</f>
        <v>6000</v>
      </c>
      <c r="I98" s="49">
        <f>H98+F98</f>
        <v>6109</v>
      </c>
      <c r="J98" s="4"/>
    </row>
    <row r="99" spans="1:11" ht="20" customHeight="1">
      <c r="A99" s="198"/>
      <c r="B99" s="4" t="s">
        <v>106</v>
      </c>
      <c r="C99" s="5">
        <f>20/6</f>
        <v>3.3333333333333335</v>
      </c>
      <c r="D99" s="6" t="s">
        <v>105</v>
      </c>
      <c r="E99" s="5">
        <v>75</v>
      </c>
      <c r="F99" s="5">
        <f>E99*C99</f>
        <v>250</v>
      </c>
      <c r="G99" s="5">
        <v>0</v>
      </c>
      <c r="H99" s="20">
        <f t="shared" si="30"/>
        <v>0</v>
      </c>
      <c r="I99" s="49">
        <f>H99+F99</f>
        <v>250</v>
      </c>
      <c r="J99" s="4"/>
    </row>
    <row r="100" spans="1:11" s="137" customFormat="1" ht="20" customHeight="1">
      <c r="A100" s="12"/>
      <c r="B100" s="12" t="s">
        <v>115</v>
      </c>
      <c r="C100" s="13"/>
      <c r="D100" s="12"/>
      <c r="E100" s="13"/>
      <c r="F100" s="14">
        <f>SUM(F98:F99)</f>
        <v>359</v>
      </c>
      <c r="G100" s="14"/>
      <c r="H100" s="14">
        <f t="shared" ref="H100" si="31">SUM(H98:H99)</f>
        <v>6000</v>
      </c>
      <c r="I100" s="14">
        <f>SUM(I98:I99)</f>
        <v>6359</v>
      </c>
      <c r="J100" s="13"/>
      <c r="K100" s="58">
        <f>H100+F100</f>
        <v>6359</v>
      </c>
    </row>
    <row r="101" spans="1:11" ht="20" customHeight="1">
      <c r="A101" s="198"/>
      <c r="B101" s="3" t="s">
        <v>210</v>
      </c>
      <c r="C101" s="4"/>
      <c r="D101" s="6"/>
      <c r="E101" s="4"/>
      <c r="F101" s="4"/>
      <c r="G101" s="4"/>
      <c r="H101" s="4"/>
      <c r="I101" s="48"/>
      <c r="J101" s="4"/>
    </row>
    <row r="102" spans="1:11" ht="20" customHeight="1">
      <c r="A102" s="198"/>
      <c r="B102" s="4" t="s">
        <v>211</v>
      </c>
      <c r="C102" s="5">
        <f>525/6</f>
        <v>87.5</v>
      </c>
      <c r="D102" s="6" t="s">
        <v>246</v>
      </c>
      <c r="E102" s="5">
        <v>5.5</v>
      </c>
      <c r="F102" s="5">
        <f>E102*C102</f>
        <v>481.25</v>
      </c>
      <c r="G102" s="5">
        <v>0</v>
      </c>
      <c r="H102" s="20">
        <f>G102*C102</f>
        <v>0</v>
      </c>
      <c r="I102" s="49">
        <f>H102+F102</f>
        <v>481.25</v>
      </c>
      <c r="J102" s="4"/>
    </row>
    <row r="103" spans="1:11" ht="20" customHeight="1">
      <c r="A103" s="198"/>
      <c r="B103" s="4" t="s">
        <v>212</v>
      </c>
      <c r="C103" s="5">
        <f>2/6</f>
        <v>0.33333333333333331</v>
      </c>
      <c r="D103" s="6" t="s">
        <v>214</v>
      </c>
      <c r="E103" s="5">
        <v>500</v>
      </c>
      <c r="F103" s="5">
        <f t="shared" ref="F103:F110" si="32">E103*C103</f>
        <v>166.66666666666666</v>
      </c>
      <c r="G103" s="5">
        <v>0</v>
      </c>
      <c r="H103" s="20">
        <f t="shared" ref="H103:H109" si="33">G103*C103</f>
        <v>0</v>
      </c>
      <c r="I103" s="49">
        <f t="shared" ref="I103:I110" si="34">H103+F103</f>
        <v>166.66666666666666</v>
      </c>
      <c r="J103" s="4"/>
    </row>
    <row r="104" spans="1:11" ht="20" customHeight="1">
      <c r="A104" s="198"/>
      <c r="B104" s="4" t="s">
        <v>213</v>
      </c>
      <c r="C104" s="5">
        <f>2/6</f>
        <v>0.33333333333333331</v>
      </c>
      <c r="D104" s="6" t="s">
        <v>214</v>
      </c>
      <c r="E104" s="5">
        <v>400</v>
      </c>
      <c r="F104" s="5">
        <f t="shared" si="32"/>
        <v>133.33333333333331</v>
      </c>
      <c r="G104" s="5">
        <v>0</v>
      </c>
      <c r="H104" s="20">
        <f t="shared" si="33"/>
        <v>0</v>
      </c>
      <c r="I104" s="49">
        <f t="shared" si="34"/>
        <v>133.33333333333331</v>
      </c>
      <c r="J104" s="4"/>
    </row>
    <row r="105" spans="1:11" ht="20" customHeight="1">
      <c r="A105" s="198"/>
      <c r="B105" s="4" t="s">
        <v>107</v>
      </c>
      <c r="C105" s="5">
        <f>20/6</f>
        <v>3.3333333333333335</v>
      </c>
      <c r="D105" s="6" t="s">
        <v>105</v>
      </c>
      <c r="E105" s="5">
        <v>92</v>
      </c>
      <c r="F105" s="5">
        <f t="shared" si="32"/>
        <v>306.66666666666669</v>
      </c>
      <c r="G105" s="5">
        <v>0</v>
      </c>
      <c r="H105" s="20">
        <f t="shared" si="33"/>
        <v>0</v>
      </c>
      <c r="I105" s="49">
        <f t="shared" si="34"/>
        <v>306.66666666666669</v>
      </c>
      <c r="J105" s="4"/>
    </row>
    <row r="106" spans="1:11" ht="20" customHeight="1">
      <c r="A106" s="198"/>
      <c r="B106" s="4" t="s">
        <v>108</v>
      </c>
      <c r="C106" s="5">
        <f>60/6</f>
        <v>10</v>
      </c>
      <c r="D106" s="6" t="s">
        <v>105</v>
      </c>
      <c r="E106" s="5">
        <v>61</v>
      </c>
      <c r="F106" s="5">
        <f t="shared" si="32"/>
        <v>610</v>
      </c>
      <c r="G106" s="5">
        <v>0</v>
      </c>
      <c r="H106" s="20">
        <f t="shared" si="33"/>
        <v>0</v>
      </c>
      <c r="I106" s="49">
        <f t="shared" si="34"/>
        <v>610</v>
      </c>
      <c r="J106" s="4"/>
    </row>
    <row r="107" spans="1:11" ht="20" customHeight="1">
      <c r="A107" s="198"/>
      <c r="B107" s="4" t="s">
        <v>245</v>
      </c>
      <c r="C107" s="5">
        <f>10/6</f>
        <v>1.6666666666666667</v>
      </c>
      <c r="D107" s="6" t="s">
        <v>53</v>
      </c>
      <c r="E107" s="11">
        <v>110</v>
      </c>
      <c r="F107" s="5">
        <f t="shared" si="32"/>
        <v>183.33333333333334</v>
      </c>
      <c r="G107" s="5">
        <v>0</v>
      </c>
      <c r="H107" s="20">
        <f t="shared" si="33"/>
        <v>0</v>
      </c>
      <c r="I107" s="49">
        <f t="shared" si="34"/>
        <v>183.33333333333334</v>
      </c>
      <c r="J107" s="4"/>
    </row>
    <row r="108" spans="1:11" ht="20" customHeight="1">
      <c r="A108" s="198"/>
      <c r="B108" s="4" t="s">
        <v>41</v>
      </c>
      <c r="C108" s="5">
        <f>10/6</f>
        <v>1.6666666666666667</v>
      </c>
      <c r="D108" s="6" t="s">
        <v>53</v>
      </c>
      <c r="E108" s="11">
        <v>64</v>
      </c>
      <c r="F108" s="5">
        <f t="shared" si="32"/>
        <v>106.66666666666667</v>
      </c>
      <c r="G108" s="5">
        <v>0</v>
      </c>
      <c r="H108" s="20">
        <f t="shared" si="33"/>
        <v>0</v>
      </c>
      <c r="I108" s="49">
        <f t="shared" si="34"/>
        <v>106.66666666666667</v>
      </c>
      <c r="J108" s="4"/>
    </row>
    <row r="109" spans="1:11" ht="20" customHeight="1">
      <c r="A109" s="198"/>
      <c r="B109" s="4" t="s">
        <v>215</v>
      </c>
      <c r="C109" s="5">
        <f>1/6</f>
        <v>0.16666666666666666</v>
      </c>
      <c r="D109" s="6" t="s">
        <v>97</v>
      </c>
      <c r="E109" s="5">
        <v>0</v>
      </c>
      <c r="F109" s="5">
        <f t="shared" si="32"/>
        <v>0</v>
      </c>
      <c r="G109" s="5">
        <v>0</v>
      </c>
      <c r="H109" s="20">
        <f t="shared" si="33"/>
        <v>0</v>
      </c>
      <c r="I109" s="49">
        <f t="shared" si="34"/>
        <v>0</v>
      </c>
      <c r="J109" s="4"/>
    </row>
    <row r="110" spans="1:11" ht="20" customHeight="1">
      <c r="A110" s="6"/>
      <c r="B110" s="4" t="s">
        <v>276</v>
      </c>
      <c r="C110" s="5">
        <v>1</v>
      </c>
      <c r="D110" s="6" t="s">
        <v>264</v>
      </c>
      <c r="E110" s="5">
        <v>0</v>
      </c>
      <c r="F110" s="5">
        <f t="shared" si="32"/>
        <v>0</v>
      </c>
      <c r="G110" s="70">
        <v>1012</v>
      </c>
      <c r="H110" s="20">
        <f>G110*C110</f>
        <v>1012</v>
      </c>
      <c r="I110" s="49">
        <f t="shared" si="34"/>
        <v>1012</v>
      </c>
      <c r="J110" s="4"/>
    </row>
    <row r="111" spans="1:11" s="141" customFormat="1" ht="20" customHeight="1">
      <c r="A111" s="12"/>
      <c r="B111" s="12" t="s">
        <v>128</v>
      </c>
      <c r="C111" s="12"/>
      <c r="D111" s="12"/>
      <c r="E111" s="12"/>
      <c r="F111" s="71">
        <f>SUM(F102:F110)</f>
        <v>1987.9166666666667</v>
      </c>
      <c r="G111" s="71"/>
      <c r="H111" s="71">
        <f t="shared" ref="H111:I111" si="35">SUM(H102:H110)</f>
        <v>1012</v>
      </c>
      <c r="I111" s="71">
        <f t="shared" si="35"/>
        <v>2999.916666666667</v>
      </c>
      <c r="J111" s="12"/>
      <c r="K111" s="58">
        <f>H111+F111</f>
        <v>2999.916666666667</v>
      </c>
    </row>
    <row r="112" spans="1:11" ht="20" customHeight="1">
      <c r="A112" s="198"/>
      <c r="B112" s="3" t="s">
        <v>216</v>
      </c>
      <c r="C112" s="4"/>
      <c r="D112" s="6"/>
      <c r="E112" s="4"/>
      <c r="F112" s="4"/>
      <c r="G112" s="4"/>
      <c r="H112" s="4"/>
      <c r="I112" s="48"/>
      <c r="J112" s="4"/>
    </row>
    <row r="113" spans="1:11" ht="20" customHeight="1">
      <c r="A113" s="198"/>
      <c r="B113" s="4" t="s">
        <v>217</v>
      </c>
      <c r="C113" s="5">
        <f>144/6</f>
        <v>24</v>
      </c>
      <c r="D113" s="6" t="s">
        <v>32</v>
      </c>
      <c r="E113" s="5">
        <v>45</v>
      </c>
      <c r="F113" s="5">
        <f>E113*C113</f>
        <v>1080</v>
      </c>
      <c r="G113" s="5">
        <v>80</v>
      </c>
      <c r="H113" s="5">
        <f>G113*C113</f>
        <v>1920</v>
      </c>
      <c r="I113" s="49">
        <f>H113+F113</f>
        <v>3000</v>
      </c>
      <c r="J113" s="4"/>
    </row>
    <row r="114" spans="1:11" ht="20" customHeight="1">
      <c r="A114" s="198"/>
      <c r="B114" s="4" t="s">
        <v>36</v>
      </c>
      <c r="C114" s="17">
        <f>17/6</f>
        <v>2.8333333333333335</v>
      </c>
      <c r="D114" s="6" t="s">
        <v>16</v>
      </c>
      <c r="E114" s="5">
        <v>1500</v>
      </c>
      <c r="F114" s="5">
        <f>E114*C114</f>
        <v>4250</v>
      </c>
      <c r="G114" s="5">
        <v>0</v>
      </c>
      <c r="H114" s="5">
        <f>G114*C114</f>
        <v>0</v>
      </c>
      <c r="I114" s="49">
        <f>H114+F114</f>
        <v>4250</v>
      </c>
      <c r="J114" s="4"/>
    </row>
    <row r="115" spans="1:11" s="141" customFormat="1" ht="20" customHeight="1">
      <c r="A115" s="12"/>
      <c r="B115" s="12" t="s">
        <v>134</v>
      </c>
      <c r="C115" s="12"/>
      <c r="D115" s="12"/>
      <c r="E115" s="12"/>
      <c r="F115" s="71">
        <f>SUM(F113:F114)</f>
        <v>5330</v>
      </c>
      <c r="G115" s="71"/>
      <c r="H115" s="71">
        <f t="shared" ref="H115:I115" si="36">SUM(H113:H114)</f>
        <v>1920</v>
      </c>
      <c r="I115" s="71">
        <f t="shared" si="36"/>
        <v>7250</v>
      </c>
      <c r="J115" s="12"/>
      <c r="K115" s="58">
        <f>H115+F115</f>
        <v>7250</v>
      </c>
    </row>
    <row r="116" spans="1:11" ht="20" customHeight="1">
      <c r="A116" s="198"/>
      <c r="B116" s="3" t="s">
        <v>247</v>
      </c>
      <c r="C116" s="5"/>
      <c r="D116" s="6"/>
      <c r="E116" s="10"/>
      <c r="F116" s="5"/>
      <c r="G116" s="5"/>
      <c r="H116" s="5"/>
      <c r="I116" s="49"/>
      <c r="J116" s="4"/>
    </row>
    <row r="117" spans="1:11" ht="20" customHeight="1">
      <c r="A117" s="198"/>
      <c r="B117" s="4" t="s">
        <v>43</v>
      </c>
      <c r="C117" s="5">
        <f>0.05/6</f>
        <v>8.3333333333333332E-3</v>
      </c>
      <c r="D117" s="6" t="s">
        <v>42</v>
      </c>
      <c r="E117" s="11">
        <v>137</v>
      </c>
      <c r="F117" s="5">
        <f>C117*1000/4.99*E117</f>
        <v>228.79091516366066</v>
      </c>
      <c r="G117" s="5">
        <v>0</v>
      </c>
      <c r="H117" s="20">
        <f>G117*C117</f>
        <v>0</v>
      </c>
      <c r="I117" s="49">
        <f>H117+F117</f>
        <v>228.79091516366066</v>
      </c>
      <c r="J117" s="4"/>
    </row>
    <row r="118" spans="1:11" ht="20" customHeight="1">
      <c r="A118" s="198"/>
      <c r="B118" s="4" t="s">
        <v>44</v>
      </c>
      <c r="C118" s="5">
        <f>0.04/6</f>
        <v>6.6666666666666671E-3</v>
      </c>
      <c r="D118" s="6" t="s">
        <v>42</v>
      </c>
      <c r="E118" s="11">
        <v>240</v>
      </c>
      <c r="F118" s="5">
        <f>C118*1000/8.88*E118</f>
        <v>180.18018018018017</v>
      </c>
      <c r="G118" s="5">
        <v>0</v>
      </c>
      <c r="H118" s="20">
        <f t="shared" ref="H118:H120" si="37">G118*C118</f>
        <v>0</v>
      </c>
      <c r="I118" s="49">
        <f t="shared" ref="I118:I121" si="38">H118+F118</f>
        <v>180.18018018018017</v>
      </c>
      <c r="J118" s="4"/>
    </row>
    <row r="119" spans="1:11" ht="20" customHeight="1">
      <c r="A119" s="6"/>
      <c r="B119" s="4" t="s">
        <v>111</v>
      </c>
      <c r="C119" s="5">
        <f>13/6</f>
        <v>2.1666666666666665</v>
      </c>
      <c r="D119" s="6" t="s">
        <v>16</v>
      </c>
      <c r="E119" s="11">
        <v>1600</v>
      </c>
      <c r="F119" s="5">
        <f>E119*C119</f>
        <v>3466.6666666666665</v>
      </c>
      <c r="G119" s="5">
        <v>0</v>
      </c>
      <c r="H119" s="20">
        <f t="shared" si="37"/>
        <v>0</v>
      </c>
      <c r="I119" s="49">
        <f t="shared" si="38"/>
        <v>3466.6666666666665</v>
      </c>
      <c r="J119" s="4"/>
    </row>
    <row r="120" spans="1:11" ht="20" customHeight="1">
      <c r="A120" s="6"/>
      <c r="B120" s="4" t="s">
        <v>49</v>
      </c>
      <c r="C120" s="5">
        <f>130/6</f>
        <v>21.666666666666668</v>
      </c>
      <c r="D120" s="6" t="s">
        <v>32</v>
      </c>
      <c r="E120" s="11">
        <v>74.2</v>
      </c>
      <c r="F120" s="5">
        <f>E120*C120</f>
        <v>1607.6666666666667</v>
      </c>
      <c r="G120" s="5">
        <v>0</v>
      </c>
      <c r="H120" s="20">
        <f t="shared" si="37"/>
        <v>0</v>
      </c>
      <c r="I120" s="49">
        <f t="shared" si="38"/>
        <v>1607.6666666666667</v>
      </c>
      <c r="J120" s="4"/>
    </row>
    <row r="121" spans="1:11" ht="20" customHeight="1">
      <c r="A121" s="6"/>
      <c r="B121" s="4" t="s">
        <v>275</v>
      </c>
      <c r="C121" s="5">
        <v>1</v>
      </c>
      <c r="D121" s="6" t="s">
        <v>264</v>
      </c>
      <c r="E121" s="5">
        <v>0</v>
      </c>
      <c r="F121" s="5">
        <f>E121*C121</f>
        <v>0</v>
      </c>
      <c r="G121" s="70">
        <v>2500</v>
      </c>
      <c r="H121" s="20">
        <f>G121*C121</f>
        <v>2500</v>
      </c>
      <c r="I121" s="49">
        <f t="shared" si="38"/>
        <v>2500</v>
      </c>
      <c r="J121" s="4"/>
    </row>
    <row r="122" spans="1:11" s="141" customFormat="1" ht="20" customHeight="1">
      <c r="A122" s="12"/>
      <c r="B122" s="12" t="s">
        <v>162</v>
      </c>
      <c r="C122" s="12"/>
      <c r="D122" s="12"/>
      <c r="E122" s="12"/>
      <c r="F122" s="71">
        <f>SUM(F117:F121)</f>
        <v>5483.3044286771737</v>
      </c>
      <c r="G122" s="71"/>
      <c r="H122" s="71">
        <f t="shared" ref="H122:I122" si="39">SUM(H117:H121)</f>
        <v>2500</v>
      </c>
      <c r="I122" s="71">
        <f t="shared" si="39"/>
        <v>7983.3044286771737</v>
      </c>
      <c r="J122" s="12"/>
      <c r="K122" s="58">
        <f>H122+F122</f>
        <v>7983.3044286771737</v>
      </c>
    </row>
    <row r="123" spans="1:11" ht="20" customHeight="1">
      <c r="A123" s="198"/>
      <c r="B123" s="3" t="s">
        <v>223</v>
      </c>
      <c r="C123" s="4"/>
      <c r="D123" s="6"/>
      <c r="E123" s="4"/>
      <c r="F123" s="4"/>
      <c r="G123" s="4"/>
      <c r="H123" s="4"/>
      <c r="I123" s="48"/>
      <c r="J123" s="4"/>
    </row>
    <row r="124" spans="1:11" ht="20" customHeight="1">
      <c r="A124" s="198"/>
      <c r="B124" s="4" t="s">
        <v>117</v>
      </c>
      <c r="C124" s="5">
        <f>624/6</f>
        <v>104</v>
      </c>
      <c r="D124" s="6" t="s">
        <v>60</v>
      </c>
      <c r="E124" s="11">
        <v>67</v>
      </c>
      <c r="F124" s="5">
        <f>E124*C124</f>
        <v>6968</v>
      </c>
      <c r="G124" s="5">
        <v>0</v>
      </c>
      <c r="H124" s="20">
        <f>G124*C124</f>
        <v>0</v>
      </c>
      <c r="I124" s="49">
        <f>H124+F124</f>
        <v>6968</v>
      </c>
      <c r="J124" s="4"/>
    </row>
    <row r="125" spans="1:11" ht="20" customHeight="1">
      <c r="A125" s="198"/>
      <c r="B125" s="4" t="s">
        <v>118</v>
      </c>
      <c r="C125" s="5">
        <f>156/6</f>
        <v>26</v>
      </c>
      <c r="D125" s="6" t="s">
        <v>60</v>
      </c>
      <c r="E125" s="11">
        <v>82</v>
      </c>
      <c r="F125" s="5">
        <f t="shared" ref="F125:F136" si="40">E125*C125</f>
        <v>2132</v>
      </c>
      <c r="G125" s="5">
        <v>0</v>
      </c>
      <c r="H125" s="20">
        <f t="shared" ref="H125:H134" si="41">G125*C125</f>
        <v>0</v>
      </c>
      <c r="I125" s="49">
        <f t="shared" ref="I125:I136" si="42">H125+F125</f>
        <v>2132</v>
      </c>
      <c r="J125" s="4"/>
    </row>
    <row r="126" spans="1:11" ht="20" customHeight="1">
      <c r="A126" s="6"/>
      <c r="B126" s="4" t="s">
        <v>156</v>
      </c>
      <c r="C126" s="5">
        <f>15/6</f>
        <v>2.5</v>
      </c>
      <c r="D126" s="6" t="s">
        <v>125</v>
      </c>
      <c r="E126" s="11">
        <v>870</v>
      </c>
      <c r="F126" s="5">
        <f t="shared" si="40"/>
        <v>2175</v>
      </c>
      <c r="G126" s="5">
        <v>0</v>
      </c>
      <c r="H126" s="20">
        <f t="shared" si="41"/>
        <v>0</v>
      </c>
      <c r="I126" s="49">
        <f t="shared" si="42"/>
        <v>2175</v>
      </c>
      <c r="J126" s="4"/>
    </row>
    <row r="127" spans="1:11" ht="20" customHeight="1">
      <c r="A127" s="198"/>
      <c r="B127" s="4" t="s">
        <v>126</v>
      </c>
      <c r="C127" s="5">
        <v>1</v>
      </c>
      <c r="D127" s="6" t="s">
        <v>60</v>
      </c>
      <c r="E127" s="11">
        <v>53</v>
      </c>
      <c r="F127" s="5">
        <f t="shared" si="40"/>
        <v>53</v>
      </c>
      <c r="G127" s="5">
        <v>0</v>
      </c>
      <c r="H127" s="20">
        <f t="shared" si="41"/>
        <v>0</v>
      </c>
      <c r="I127" s="49">
        <f t="shared" si="42"/>
        <v>53</v>
      </c>
      <c r="J127" s="4"/>
    </row>
    <row r="128" spans="1:11" ht="20" customHeight="1">
      <c r="A128" s="198"/>
      <c r="B128" s="4" t="s">
        <v>127</v>
      </c>
      <c r="C128" s="5">
        <v>2</v>
      </c>
      <c r="D128" s="6" t="s">
        <v>60</v>
      </c>
      <c r="E128" s="11">
        <v>63</v>
      </c>
      <c r="F128" s="5">
        <f t="shared" si="40"/>
        <v>126</v>
      </c>
      <c r="G128" s="5">
        <v>0</v>
      </c>
      <c r="H128" s="20">
        <f t="shared" si="41"/>
        <v>0</v>
      </c>
      <c r="I128" s="49">
        <f t="shared" si="42"/>
        <v>126</v>
      </c>
      <c r="J128" s="4"/>
    </row>
    <row r="129" spans="1:11" ht="20" customHeight="1">
      <c r="A129" s="198"/>
      <c r="B129" s="4" t="s">
        <v>116</v>
      </c>
      <c r="C129" s="5">
        <v>4</v>
      </c>
      <c r="D129" s="6" t="s">
        <v>60</v>
      </c>
      <c r="E129" s="11">
        <v>137</v>
      </c>
      <c r="F129" s="5">
        <f t="shared" si="40"/>
        <v>548</v>
      </c>
      <c r="G129" s="5">
        <v>0</v>
      </c>
      <c r="H129" s="20">
        <f t="shared" si="41"/>
        <v>0</v>
      </c>
      <c r="I129" s="49">
        <f t="shared" si="42"/>
        <v>548</v>
      </c>
      <c r="J129" s="4"/>
    </row>
    <row r="130" spans="1:11" ht="20" customHeight="1">
      <c r="A130" s="6"/>
      <c r="B130" s="4" t="s">
        <v>119</v>
      </c>
      <c r="C130" s="5">
        <f>106/6</f>
        <v>17.666666666666668</v>
      </c>
      <c r="D130" s="6" t="s">
        <v>60</v>
      </c>
      <c r="E130" s="5">
        <v>39</v>
      </c>
      <c r="F130" s="5">
        <f t="shared" si="40"/>
        <v>689</v>
      </c>
      <c r="G130" s="5">
        <v>0</v>
      </c>
      <c r="H130" s="20">
        <f t="shared" si="41"/>
        <v>0</v>
      </c>
      <c r="I130" s="49">
        <f t="shared" si="42"/>
        <v>689</v>
      </c>
      <c r="J130" s="4"/>
    </row>
    <row r="131" spans="1:11" ht="20" customHeight="1">
      <c r="A131" s="6"/>
      <c r="B131" s="4" t="s">
        <v>120</v>
      </c>
      <c r="C131" s="5">
        <v>44</v>
      </c>
      <c r="D131" s="6" t="s">
        <v>60</v>
      </c>
      <c r="E131" s="5">
        <v>39</v>
      </c>
      <c r="F131" s="5">
        <f t="shared" si="40"/>
        <v>1716</v>
      </c>
      <c r="G131" s="5">
        <v>0</v>
      </c>
      <c r="H131" s="20">
        <f t="shared" si="41"/>
        <v>0</v>
      </c>
      <c r="I131" s="49">
        <f t="shared" si="42"/>
        <v>1716</v>
      </c>
      <c r="J131" s="4"/>
    </row>
    <row r="132" spans="1:11" ht="20" customHeight="1">
      <c r="A132" s="6"/>
      <c r="B132" s="4" t="s">
        <v>121</v>
      </c>
      <c r="C132" s="5">
        <v>1</v>
      </c>
      <c r="D132" s="6" t="s">
        <v>60</v>
      </c>
      <c r="E132" s="5">
        <v>52</v>
      </c>
      <c r="F132" s="5">
        <f t="shared" si="40"/>
        <v>52</v>
      </c>
      <c r="G132" s="5">
        <v>0</v>
      </c>
      <c r="H132" s="20">
        <f t="shared" si="41"/>
        <v>0</v>
      </c>
      <c r="I132" s="49">
        <f t="shared" si="42"/>
        <v>52</v>
      </c>
      <c r="J132" s="4"/>
    </row>
    <row r="133" spans="1:11" ht="20" customHeight="1">
      <c r="A133" s="6"/>
      <c r="B133" s="4" t="s">
        <v>124</v>
      </c>
      <c r="C133" s="5">
        <f>14/6</f>
        <v>2.3333333333333335</v>
      </c>
      <c r="D133" s="6" t="s">
        <v>125</v>
      </c>
      <c r="E133" s="5">
        <v>170</v>
      </c>
      <c r="F133" s="5">
        <f t="shared" si="40"/>
        <v>396.66666666666669</v>
      </c>
      <c r="G133" s="5">
        <v>0</v>
      </c>
      <c r="H133" s="20">
        <f t="shared" si="41"/>
        <v>0</v>
      </c>
      <c r="I133" s="49">
        <f t="shared" si="42"/>
        <v>396.66666666666669</v>
      </c>
      <c r="J133" s="4"/>
    </row>
    <row r="134" spans="1:11" ht="20" customHeight="1">
      <c r="A134" s="6"/>
      <c r="B134" s="4" t="s">
        <v>155</v>
      </c>
      <c r="C134" s="5">
        <f>3/6</f>
        <v>0.5</v>
      </c>
      <c r="D134" s="6" t="s">
        <v>97</v>
      </c>
      <c r="E134" s="5">
        <v>1359</v>
      </c>
      <c r="F134" s="5">
        <f t="shared" si="40"/>
        <v>679.5</v>
      </c>
      <c r="G134" s="5">
        <v>0</v>
      </c>
      <c r="H134" s="20">
        <f t="shared" si="41"/>
        <v>0</v>
      </c>
      <c r="I134" s="49">
        <f t="shared" si="42"/>
        <v>679.5</v>
      </c>
      <c r="J134" s="4"/>
    </row>
    <row r="135" spans="1:11" ht="20" customHeight="1">
      <c r="A135" s="6"/>
      <c r="B135" s="4" t="s">
        <v>122</v>
      </c>
      <c r="C135" s="5">
        <f>19.2/2</f>
        <v>9.6</v>
      </c>
      <c r="D135" s="6" t="s">
        <v>123</v>
      </c>
      <c r="E135" s="5">
        <v>0</v>
      </c>
      <c r="F135" s="5">
        <f>E135*C135</f>
        <v>0</v>
      </c>
      <c r="G135" s="5">
        <v>400</v>
      </c>
      <c r="H135" s="5">
        <f>C135*G135</f>
        <v>3840</v>
      </c>
      <c r="I135" s="49">
        <f t="shared" si="42"/>
        <v>3840</v>
      </c>
      <c r="J135" s="4"/>
    </row>
    <row r="136" spans="1:11" ht="20" customHeight="1">
      <c r="A136" s="6"/>
      <c r="B136" s="4" t="s">
        <v>274</v>
      </c>
      <c r="C136" s="5">
        <v>57.5</v>
      </c>
      <c r="D136" s="6" t="s">
        <v>32</v>
      </c>
      <c r="E136" s="5">
        <v>0</v>
      </c>
      <c r="F136" s="5">
        <f t="shared" si="40"/>
        <v>0</v>
      </c>
      <c r="G136" s="70">
        <v>70</v>
      </c>
      <c r="H136" s="5">
        <f>C136*G136</f>
        <v>4025</v>
      </c>
      <c r="I136" s="49">
        <f t="shared" si="42"/>
        <v>4025</v>
      </c>
      <c r="J136" s="4"/>
    </row>
    <row r="137" spans="1:11" s="137" customFormat="1" ht="20" customHeight="1">
      <c r="A137" s="12"/>
      <c r="B137" s="12" t="s">
        <v>218</v>
      </c>
      <c r="C137" s="13"/>
      <c r="D137" s="12"/>
      <c r="E137" s="13"/>
      <c r="F137" s="14">
        <f>SUM(F124:F136)</f>
        <v>15535.166666666666</v>
      </c>
      <c r="G137" s="14"/>
      <c r="H137" s="14">
        <f t="shared" ref="H137:I137" si="43">SUM(H124:H136)</f>
        <v>7865</v>
      </c>
      <c r="I137" s="14">
        <f t="shared" si="43"/>
        <v>23400.166666666664</v>
      </c>
      <c r="J137" s="13"/>
      <c r="K137" s="58">
        <f>H137+F137</f>
        <v>23400.166666666664</v>
      </c>
    </row>
    <row r="138" spans="1:11" ht="20" customHeight="1">
      <c r="A138" s="198"/>
      <c r="B138" s="3" t="s">
        <v>224</v>
      </c>
      <c r="C138" s="4"/>
      <c r="D138" s="6"/>
      <c r="E138" s="4"/>
      <c r="F138" s="4"/>
      <c r="G138" s="4"/>
      <c r="H138" s="4"/>
      <c r="I138" s="48"/>
      <c r="J138" s="4"/>
    </row>
    <row r="139" spans="1:11" ht="20" customHeight="1">
      <c r="A139" s="198"/>
      <c r="B139" s="4" t="s">
        <v>130</v>
      </c>
      <c r="C139" s="5">
        <v>7</v>
      </c>
      <c r="D139" s="6" t="s">
        <v>32</v>
      </c>
      <c r="E139" s="5">
        <v>0</v>
      </c>
      <c r="F139" s="5">
        <f>E139*C139</f>
        <v>0</v>
      </c>
      <c r="G139" s="5">
        <f>320</f>
        <v>320</v>
      </c>
      <c r="H139" s="20">
        <f>G139*C139</f>
        <v>2240</v>
      </c>
      <c r="I139" s="49">
        <f>H139+F139</f>
        <v>2240</v>
      </c>
      <c r="J139" s="24" t="s">
        <v>132</v>
      </c>
    </row>
    <row r="140" spans="1:11" ht="20" customHeight="1">
      <c r="A140" s="198"/>
      <c r="B140" s="4" t="s">
        <v>131</v>
      </c>
      <c r="C140" s="5">
        <v>18</v>
      </c>
      <c r="D140" s="6" t="s">
        <v>32</v>
      </c>
      <c r="E140" s="5">
        <v>0</v>
      </c>
      <c r="F140" s="5">
        <f t="shared" ref="F140:F145" si="44">E140*C140</f>
        <v>0</v>
      </c>
      <c r="G140" s="5">
        <v>280</v>
      </c>
      <c r="H140" s="20">
        <f t="shared" ref="H140:H145" si="45">G140*C140</f>
        <v>5040</v>
      </c>
      <c r="I140" s="49">
        <f t="shared" ref="I140:I145" si="46">H140+F140</f>
        <v>5040</v>
      </c>
      <c r="J140" s="24" t="s">
        <v>133</v>
      </c>
    </row>
    <row r="141" spans="1:11" ht="20" customHeight="1">
      <c r="A141" s="198"/>
      <c r="B141" s="4" t="s">
        <v>129</v>
      </c>
      <c r="C141" s="5">
        <f>180/6</f>
        <v>30</v>
      </c>
      <c r="D141" s="6" t="s">
        <v>32</v>
      </c>
      <c r="E141" s="5">
        <v>0</v>
      </c>
      <c r="F141" s="5">
        <f t="shared" si="44"/>
        <v>0</v>
      </c>
      <c r="G141" s="5">
        <v>240</v>
      </c>
      <c r="H141" s="20">
        <f t="shared" si="45"/>
        <v>7200</v>
      </c>
      <c r="I141" s="49">
        <f t="shared" si="46"/>
        <v>7200</v>
      </c>
      <c r="J141" s="24" t="s">
        <v>133</v>
      </c>
    </row>
    <row r="142" spans="1:11" ht="20" customHeight="1">
      <c r="A142" s="198"/>
      <c r="B142" s="4" t="s">
        <v>135</v>
      </c>
      <c r="C142" s="5">
        <v>57.6</v>
      </c>
      <c r="D142" s="6" t="s">
        <v>123</v>
      </c>
      <c r="E142" s="5">
        <v>0</v>
      </c>
      <c r="F142" s="5">
        <f t="shared" si="44"/>
        <v>0</v>
      </c>
      <c r="G142" s="5">
        <v>70</v>
      </c>
      <c r="H142" s="20">
        <f t="shared" si="45"/>
        <v>4032</v>
      </c>
      <c r="I142" s="49">
        <f t="shared" si="46"/>
        <v>4032</v>
      </c>
      <c r="J142" s="4"/>
    </row>
    <row r="143" spans="1:11" ht="20" customHeight="1">
      <c r="A143" s="198"/>
      <c r="B143" s="4" t="s">
        <v>137</v>
      </c>
      <c r="C143" s="5">
        <v>1</v>
      </c>
      <c r="D143" s="6" t="s">
        <v>136</v>
      </c>
      <c r="E143" s="225">
        <v>8067</v>
      </c>
      <c r="F143" s="225">
        <f t="shared" si="44"/>
        <v>8067</v>
      </c>
      <c r="G143" s="5">
        <v>2000</v>
      </c>
      <c r="H143" s="20">
        <f t="shared" si="45"/>
        <v>2000</v>
      </c>
      <c r="I143" s="49">
        <f t="shared" si="46"/>
        <v>10067</v>
      </c>
      <c r="J143" s="4"/>
    </row>
    <row r="144" spans="1:11" ht="20" customHeight="1">
      <c r="A144" s="198"/>
      <c r="B144" s="4" t="s">
        <v>139</v>
      </c>
      <c r="C144" s="5">
        <v>8</v>
      </c>
      <c r="D144" s="6" t="s">
        <v>32</v>
      </c>
      <c r="E144" s="5">
        <v>0</v>
      </c>
      <c r="F144" s="5">
        <f t="shared" si="44"/>
        <v>0</v>
      </c>
      <c r="G144" s="5">
        <v>280</v>
      </c>
      <c r="H144" s="20">
        <f t="shared" si="45"/>
        <v>2240</v>
      </c>
      <c r="I144" s="49">
        <f t="shared" si="46"/>
        <v>2240</v>
      </c>
      <c r="J144" s="4"/>
    </row>
    <row r="145" spans="1:11" ht="20" customHeight="1">
      <c r="A145" s="6"/>
      <c r="B145" s="4" t="s">
        <v>138</v>
      </c>
      <c r="C145" s="5">
        <v>8</v>
      </c>
      <c r="D145" s="6" t="s">
        <v>32</v>
      </c>
      <c r="E145" s="5">
        <v>0</v>
      </c>
      <c r="F145" s="5">
        <f t="shared" si="44"/>
        <v>0</v>
      </c>
      <c r="G145" s="5">
        <v>965</v>
      </c>
      <c r="H145" s="20">
        <f t="shared" si="45"/>
        <v>7720</v>
      </c>
      <c r="I145" s="49">
        <f t="shared" si="46"/>
        <v>7720</v>
      </c>
      <c r="J145" s="4"/>
    </row>
    <row r="146" spans="1:11" s="137" customFormat="1" ht="20" customHeight="1">
      <c r="A146" s="12"/>
      <c r="B146" s="12" t="s">
        <v>177</v>
      </c>
      <c r="C146" s="13"/>
      <c r="D146" s="12"/>
      <c r="E146" s="13"/>
      <c r="F146" s="14">
        <f>SUM(F139:F145)</f>
        <v>8067</v>
      </c>
      <c r="G146" s="14"/>
      <c r="H146" s="14">
        <f t="shared" ref="H146:I146" si="47">SUM(H139:H145)</f>
        <v>30472</v>
      </c>
      <c r="I146" s="14">
        <f t="shared" si="47"/>
        <v>38539</v>
      </c>
      <c r="J146" s="13"/>
      <c r="K146" s="58">
        <f>H146+F146</f>
        <v>38539</v>
      </c>
    </row>
    <row r="147" spans="1:11" ht="20" customHeight="1">
      <c r="A147" s="198"/>
      <c r="B147" s="3" t="s">
        <v>225</v>
      </c>
      <c r="C147" s="4"/>
      <c r="D147" s="6"/>
      <c r="E147" s="4"/>
      <c r="F147" s="4"/>
      <c r="G147" s="4"/>
      <c r="H147" s="4"/>
      <c r="I147" s="48"/>
      <c r="J147" s="4"/>
    </row>
    <row r="148" spans="1:11" ht="20" customHeight="1">
      <c r="A148" s="198"/>
      <c r="B148" s="4" t="s">
        <v>140</v>
      </c>
      <c r="C148" s="5">
        <v>1</v>
      </c>
      <c r="D148" s="6" t="s">
        <v>141</v>
      </c>
      <c r="E148" s="5">
        <v>1869</v>
      </c>
      <c r="F148" s="5">
        <f>E148*C148</f>
        <v>1869</v>
      </c>
      <c r="G148" s="5">
        <v>0</v>
      </c>
      <c r="H148" s="5">
        <f>G148*C148</f>
        <v>0</v>
      </c>
      <c r="I148" s="49">
        <f>H148+F148</f>
        <v>1869</v>
      </c>
      <c r="J148" s="4"/>
    </row>
    <row r="149" spans="1:11" ht="20" customHeight="1">
      <c r="A149" s="198"/>
      <c r="B149" s="4" t="s">
        <v>142</v>
      </c>
      <c r="C149" s="5">
        <v>1</v>
      </c>
      <c r="D149" s="6" t="s">
        <v>141</v>
      </c>
      <c r="E149" s="5">
        <v>640</v>
      </c>
      <c r="F149" s="5">
        <f t="shared" ref="F149:F165" si="48">E149*C149</f>
        <v>640</v>
      </c>
      <c r="G149" s="5">
        <v>0</v>
      </c>
      <c r="H149" s="5">
        <f t="shared" ref="H149:H165" si="49">G149*C149</f>
        <v>0</v>
      </c>
      <c r="I149" s="49">
        <f t="shared" ref="I149:I165" si="50">H149+F149</f>
        <v>640</v>
      </c>
      <c r="J149" s="4"/>
    </row>
    <row r="150" spans="1:11" ht="20" customHeight="1">
      <c r="A150" s="198"/>
      <c r="B150" s="4" t="s">
        <v>158</v>
      </c>
      <c r="C150" s="5">
        <v>1</v>
      </c>
      <c r="D150" s="6" t="s">
        <v>141</v>
      </c>
      <c r="E150" s="5">
        <v>664</v>
      </c>
      <c r="F150" s="5">
        <f t="shared" si="48"/>
        <v>664</v>
      </c>
      <c r="G150" s="5">
        <v>0</v>
      </c>
      <c r="H150" s="5">
        <f t="shared" si="49"/>
        <v>0</v>
      </c>
      <c r="I150" s="49">
        <f t="shared" si="50"/>
        <v>664</v>
      </c>
      <c r="J150" s="4"/>
    </row>
    <row r="151" spans="1:11" ht="20" customHeight="1">
      <c r="A151" s="198"/>
      <c r="B151" s="4" t="s">
        <v>157</v>
      </c>
      <c r="C151" s="5">
        <v>1</v>
      </c>
      <c r="D151" s="6" t="s">
        <v>141</v>
      </c>
      <c r="E151" s="5">
        <v>159</v>
      </c>
      <c r="F151" s="5">
        <f t="shared" si="48"/>
        <v>159</v>
      </c>
      <c r="G151" s="5">
        <v>0</v>
      </c>
      <c r="H151" s="5">
        <f t="shared" si="49"/>
        <v>0</v>
      </c>
      <c r="I151" s="49">
        <f t="shared" si="50"/>
        <v>159</v>
      </c>
      <c r="J151" s="4"/>
    </row>
    <row r="152" spans="1:11" ht="20" customHeight="1">
      <c r="A152" s="198"/>
      <c r="B152" s="4" t="s">
        <v>159</v>
      </c>
      <c r="C152" s="5">
        <v>1</v>
      </c>
      <c r="D152" s="6" t="s">
        <v>141</v>
      </c>
      <c r="E152" s="5">
        <v>425</v>
      </c>
      <c r="F152" s="5">
        <f t="shared" si="48"/>
        <v>425</v>
      </c>
      <c r="G152" s="5">
        <v>0</v>
      </c>
      <c r="H152" s="5">
        <f t="shared" si="49"/>
        <v>0</v>
      </c>
      <c r="I152" s="49">
        <f t="shared" si="50"/>
        <v>425</v>
      </c>
      <c r="J152" s="4"/>
    </row>
    <row r="153" spans="1:11" ht="20" customHeight="1">
      <c r="A153" s="198"/>
      <c r="B153" s="4" t="s">
        <v>143</v>
      </c>
      <c r="C153" s="5">
        <v>1</v>
      </c>
      <c r="D153" s="6" t="s">
        <v>141</v>
      </c>
      <c r="E153" s="5">
        <v>183</v>
      </c>
      <c r="F153" s="5">
        <f t="shared" si="48"/>
        <v>183</v>
      </c>
      <c r="G153" s="5">
        <v>0</v>
      </c>
      <c r="H153" s="5">
        <f t="shared" si="49"/>
        <v>0</v>
      </c>
      <c r="I153" s="49">
        <f t="shared" si="50"/>
        <v>183</v>
      </c>
      <c r="J153" s="4"/>
    </row>
    <row r="154" spans="1:11" ht="20" customHeight="1">
      <c r="A154" s="198"/>
      <c r="B154" s="4" t="s">
        <v>144</v>
      </c>
      <c r="C154" s="5">
        <v>1</v>
      </c>
      <c r="D154" s="6" t="s">
        <v>100</v>
      </c>
      <c r="E154" s="5">
        <v>151</v>
      </c>
      <c r="F154" s="5">
        <f t="shared" si="48"/>
        <v>151</v>
      </c>
      <c r="G154" s="5">
        <v>0</v>
      </c>
      <c r="H154" s="5">
        <f t="shared" si="49"/>
        <v>0</v>
      </c>
      <c r="I154" s="49">
        <f t="shared" si="50"/>
        <v>151</v>
      </c>
      <c r="J154" s="4"/>
    </row>
    <row r="155" spans="1:11" ht="20" customHeight="1">
      <c r="A155" s="198"/>
      <c r="B155" s="4" t="s">
        <v>145</v>
      </c>
      <c r="C155" s="5">
        <v>1</v>
      </c>
      <c r="D155" s="6" t="s">
        <v>146</v>
      </c>
      <c r="E155" s="5">
        <v>0</v>
      </c>
      <c r="F155" s="5">
        <f t="shared" si="48"/>
        <v>0</v>
      </c>
      <c r="G155" s="5">
        <v>0</v>
      </c>
      <c r="H155" s="5">
        <f t="shared" si="49"/>
        <v>0</v>
      </c>
      <c r="I155" s="49">
        <f t="shared" si="50"/>
        <v>0</v>
      </c>
      <c r="J155" s="4"/>
    </row>
    <row r="156" spans="1:11" ht="20" customHeight="1">
      <c r="A156" s="198"/>
      <c r="B156" s="4" t="s">
        <v>160</v>
      </c>
      <c r="C156" s="5">
        <v>1</v>
      </c>
      <c r="D156" s="6" t="s">
        <v>100</v>
      </c>
      <c r="E156" s="5">
        <v>77</v>
      </c>
      <c r="F156" s="5">
        <f t="shared" si="48"/>
        <v>77</v>
      </c>
      <c r="G156" s="5">
        <v>0</v>
      </c>
      <c r="H156" s="5">
        <f t="shared" si="49"/>
        <v>0</v>
      </c>
      <c r="I156" s="49">
        <f t="shared" si="50"/>
        <v>77</v>
      </c>
      <c r="J156" s="4"/>
    </row>
    <row r="157" spans="1:11" ht="20" customHeight="1">
      <c r="A157" s="198"/>
      <c r="B157" s="4" t="s">
        <v>147</v>
      </c>
      <c r="C157" s="5">
        <v>1</v>
      </c>
      <c r="D157" s="6" t="s">
        <v>100</v>
      </c>
      <c r="E157" s="5">
        <v>234</v>
      </c>
      <c r="F157" s="5">
        <f t="shared" si="48"/>
        <v>234</v>
      </c>
      <c r="G157" s="5">
        <v>0</v>
      </c>
      <c r="H157" s="5">
        <f t="shared" si="49"/>
        <v>0</v>
      </c>
      <c r="I157" s="49">
        <f t="shared" si="50"/>
        <v>234</v>
      </c>
      <c r="J157" s="4"/>
    </row>
    <row r="158" spans="1:11" ht="20" customHeight="1">
      <c r="A158" s="198"/>
      <c r="B158" s="4" t="s">
        <v>161</v>
      </c>
      <c r="C158" s="5">
        <v>1</v>
      </c>
      <c r="D158" s="6" t="s">
        <v>100</v>
      </c>
      <c r="E158" s="5">
        <v>151</v>
      </c>
      <c r="F158" s="5">
        <f t="shared" si="48"/>
        <v>151</v>
      </c>
      <c r="G158" s="5">
        <v>0</v>
      </c>
      <c r="H158" s="5">
        <f t="shared" si="49"/>
        <v>0</v>
      </c>
      <c r="I158" s="49">
        <f t="shared" si="50"/>
        <v>151</v>
      </c>
      <c r="J158" s="4"/>
    </row>
    <row r="159" spans="1:11" ht="20" customHeight="1">
      <c r="A159" s="198"/>
      <c r="B159" s="4" t="s">
        <v>148</v>
      </c>
      <c r="C159" s="5">
        <v>1</v>
      </c>
      <c r="D159" s="6" t="s">
        <v>100</v>
      </c>
      <c r="E159" s="5">
        <v>584</v>
      </c>
      <c r="F159" s="5">
        <f t="shared" si="48"/>
        <v>584</v>
      </c>
      <c r="G159" s="5">
        <v>0</v>
      </c>
      <c r="H159" s="5">
        <f t="shared" si="49"/>
        <v>0</v>
      </c>
      <c r="I159" s="49">
        <f t="shared" si="50"/>
        <v>584</v>
      </c>
      <c r="J159" s="4"/>
    </row>
    <row r="160" spans="1:11" ht="20" customHeight="1">
      <c r="A160" s="198"/>
      <c r="B160" s="4" t="s">
        <v>149</v>
      </c>
      <c r="C160" s="5">
        <v>2</v>
      </c>
      <c r="D160" s="6" t="s">
        <v>100</v>
      </c>
      <c r="E160" s="5">
        <v>140</v>
      </c>
      <c r="F160" s="5">
        <f t="shared" si="48"/>
        <v>280</v>
      </c>
      <c r="G160" s="5">
        <v>0</v>
      </c>
      <c r="H160" s="5">
        <f t="shared" si="49"/>
        <v>0</v>
      </c>
      <c r="I160" s="49">
        <f t="shared" si="50"/>
        <v>280</v>
      </c>
      <c r="J160" s="4"/>
    </row>
    <row r="161" spans="1:11" ht="20" customHeight="1">
      <c r="A161" s="198"/>
      <c r="B161" s="4" t="s">
        <v>150</v>
      </c>
      <c r="C161" s="5">
        <v>1</v>
      </c>
      <c r="D161" s="6" t="s">
        <v>100</v>
      </c>
      <c r="E161" s="5">
        <v>45</v>
      </c>
      <c r="F161" s="5">
        <f t="shared" si="48"/>
        <v>45</v>
      </c>
      <c r="G161" s="5">
        <v>0</v>
      </c>
      <c r="H161" s="5">
        <f t="shared" si="49"/>
        <v>0</v>
      </c>
      <c r="I161" s="49">
        <f t="shared" si="50"/>
        <v>45</v>
      </c>
      <c r="J161" s="4"/>
    </row>
    <row r="162" spans="1:11" ht="20" customHeight="1">
      <c r="A162" s="198"/>
      <c r="B162" s="4" t="s">
        <v>151</v>
      </c>
      <c r="C162" s="5">
        <v>1</v>
      </c>
      <c r="D162" s="6" t="s">
        <v>100</v>
      </c>
      <c r="E162" s="5">
        <v>215</v>
      </c>
      <c r="F162" s="5">
        <f t="shared" si="48"/>
        <v>215</v>
      </c>
      <c r="G162" s="5">
        <v>0</v>
      </c>
      <c r="H162" s="5">
        <f t="shared" si="49"/>
        <v>0</v>
      </c>
      <c r="I162" s="49">
        <f t="shared" si="50"/>
        <v>215</v>
      </c>
      <c r="J162" s="4"/>
    </row>
    <row r="163" spans="1:11" ht="20" customHeight="1">
      <c r="A163" s="198"/>
      <c r="B163" s="4" t="s">
        <v>152</v>
      </c>
      <c r="C163" s="5">
        <v>1</v>
      </c>
      <c r="D163" s="6" t="s">
        <v>100</v>
      </c>
      <c r="E163" s="5">
        <v>0</v>
      </c>
      <c r="F163" s="5">
        <f t="shared" si="48"/>
        <v>0</v>
      </c>
      <c r="G163" s="5">
        <v>0</v>
      </c>
      <c r="H163" s="5">
        <f t="shared" si="49"/>
        <v>0</v>
      </c>
      <c r="I163" s="49">
        <f t="shared" si="50"/>
        <v>0</v>
      </c>
      <c r="J163" s="4"/>
    </row>
    <row r="164" spans="1:11" ht="20" customHeight="1">
      <c r="A164" s="6"/>
      <c r="B164" s="4" t="s">
        <v>153</v>
      </c>
      <c r="C164" s="5">
        <v>2</v>
      </c>
      <c r="D164" s="6" t="s">
        <v>100</v>
      </c>
      <c r="E164" s="4">
        <v>110</v>
      </c>
      <c r="F164" s="5">
        <f t="shared" si="48"/>
        <v>220</v>
      </c>
      <c r="G164" s="5">
        <v>0</v>
      </c>
      <c r="H164" s="5">
        <f t="shared" si="49"/>
        <v>0</v>
      </c>
      <c r="I164" s="49">
        <f t="shared" si="50"/>
        <v>220</v>
      </c>
      <c r="J164" s="4"/>
    </row>
    <row r="165" spans="1:11" ht="20" customHeight="1">
      <c r="A165" s="6"/>
      <c r="B165" s="4" t="s">
        <v>273</v>
      </c>
      <c r="C165" s="5">
        <v>1</v>
      </c>
      <c r="D165" s="6" t="s">
        <v>264</v>
      </c>
      <c r="E165" s="5">
        <v>0</v>
      </c>
      <c r="F165" s="5">
        <f t="shared" si="48"/>
        <v>0</v>
      </c>
      <c r="G165" s="70">
        <v>810</v>
      </c>
      <c r="H165" s="5">
        <f t="shared" si="49"/>
        <v>810</v>
      </c>
      <c r="I165" s="49">
        <f t="shared" si="50"/>
        <v>810</v>
      </c>
      <c r="J165" s="4"/>
    </row>
    <row r="166" spans="1:11" s="137" customFormat="1" ht="20" customHeight="1">
      <c r="A166" s="12"/>
      <c r="B166" s="12" t="s">
        <v>154</v>
      </c>
      <c r="C166" s="13"/>
      <c r="D166" s="12"/>
      <c r="E166" s="13"/>
      <c r="F166" s="14">
        <f>SUM(F148:F165)</f>
        <v>5897</v>
      </c>
      <c r="G166" s="14"/>
      <c r="H166" s="14">
        <f t="shared" ref="H166:I166" si="51">SUM(H148:H165)</f>
        <v>810</v>
      </c>
      <c r="I166" s="14">
        <f t="shared" si="51"/>
        <v>6707</v>
      </c>
      <c r="J166" s="13"/>
      <c r="K166" s="58">
        <f>H166+F166</f>
        <v>6707</v>
      </c>
    </row>
    <row r="167" spans="1:11" ht="20" customHeight="1">
      <c r="A167" s="198"/>
      <c r="B167" s="3" t="s">
        <v>226</v>
      </c>
      <c r="C167" s="4"/>
      <c r="D167" s="6"/>
      <c r="E167" s="4"/>
      <c r="F167" s="4"/>
      <c r="G167" s="4"/>
      <c r="H167" s="4"/>
      <c r="I167" s="48"/>
      <c r="J167" s="4"/>
    </row>
    <row r="168" spans="1:11" ht="20" customHeight="1">
      <c r="A168" s="198"/>
      <c r="B168" s="4" t="s">
        <v>163</v>
      </c>
      <c r="C168" s="5">
        <v>1</v>
      </c>
      <c r="D168" s="6" t="s">
        <v>141</v>
      </c>
      <c r="E168" s="5">
        <v>0</v>
      </c>
      <c r="F168" s="5">
        <f>E168*C168</f>
        <v>0</v>
      </c>
      <c r="G168" s="5">
        <v>8000</v>
      </c>
      <c r="H168" s="5">
        <f>G168*C168</f>
        <v>8000</v>
      </c>
      <c r="I168" s="49">
        <f>H168+F168</f>
        <v>8000</v>
      </c>
      <c r="J168" s="24" t="s">
        <v>172</v>
      </c>
    </row>
    <row r="169" spans="1:11" ht="20" customHeight="1">
      <c r="A169" s="198"/>
      <c r="B169" s="4" t="s">
        <v>164</v>
      </c>
      <c r="C169" s="5">
        <v>1</v>
      </c>
      <c r="D169" s="6" t="s">
        <v>141</v>
      </c>
      <c r="E169" s="5">
        <v>2670</v>
      </c>
      <c r="F169" s="5">
        <f t="shared" ref="F169:F176" si="52">E169*C169</f>
        <v>2670</v>
      </c>
      <c r="G169" s="5">
        <v>400</v>
      </c>
      <c r="H169" s="5">
        <f t="shared" ref="H169:H176" si="53">G169*C169</f>
        <v>400</v>
      </c>
      <c r="I169" s="49">
        <f t="shared" ref="I169:I176" si="54">H169+F169</f>
        <v>3070</v>
      </c>
      <c r="J169" s="4"/>
    </row>
    <row r="170" spans="1:11" ht="20" customHeight="1">
      <c r="A170" s="198"/>
      <c r="B170" s="4" t="s">
        <v>165</v>
      </c>
      <c r="C170" s="5">
        <v>1</v>
      </c>
      <c r="D170" s="6" t="s">
        <v>141</v>
      </c>
      <c r="E170" s="5">
        <v>2670</v>
      </c>
      <c r="F170" s="5">
        <f t="shared" si="52"/>
        <v>2670</v>
      </c>
      <c r="G170" s="5">
        <v>400</v>
      </c>
      <c r="H170" s="5">
        <f t="shared" si="53"/>
        <v>400</v>
      </c>
      <c r="I170" s="49">
        <f t="shared" si="54"/>
        <v>3070</v>
      </c>
      <c r="J170" s="4"/>
    </row>
    <row r="171" spans="1:11" ht="20" customHeight="1">
      <c r="A171" s="198"/>
      <c r="B171" s="4" t="s">
        <v>166</v>
      </c>
      <c r="C171" s="5">
        <v>2</v>
      </c>
      <c r="D171" s="6" t="s">
        <v>141</v>
      </c>
      <c r="E171" s="5">
        <v>1458</v>
      </c>
      <c r="F171" s="5">
        <f t="shared" si="52"/>
        <v>2916</v>
      </c>
      <c r="G171" s="5">
        <v>400</v>
      </c>
      <c r="H171" s="5">
        <f t="shared" si="53"/>
        <v>800</v>
      </c>
      <c r="I171" s="49">
        <f t="shared" si="54"/>
        <v>3716</v>
      </c>
      <c r="J171" s="4"/>
    </row>
    <row r="172" spans="1:11" ht="20" customHeight="1">
      <c r="A172" s="198"/>
      <c r="B172" s="4" t="s">
        <v>169</v>
      </c>
      <c r="C172" s="5">
        <v>1</v>
      </c>
      <c r="D172" s="6" t="s">
        <v>141</v>
      </c>
      <c r="E172" s="5">
        <v>0</v>
      </c>
      <c r="F172" s="5">
        <f t="shared" si="52"/>
        <v>0</v>
      </c>
      <c r="G172" s="5">
        <v>3300</v>
      </c>
      <c r="H172" s="5">
        <f t="shared" si="53"/>
        <v>3300</v>
      </c>
      <c r="I172" s="49">
        <f t="shared" si="54"/>
        <v>3300</v>
      </c>
      <c r="J172" s="24" t="s">
        <v>172</v>
      </c>
    </row>
    <row r="173" spans="1:11" ht="20" customHeight="1">
      <c r="A173" s="198"/>
      <c r="B173" s="4" t="s">
        <v>167</v>
      </c>
      <c r="C173" s="5">
        <v>1</v>
      </c>
      <c r="D173" s="6" t="s">
        <v>141</v>
      </c>
      <c r="E173" s="5">
        <v>0</v>
      </c>
      <c r="F173" s="5">
        <f t="shared" si="52"/>
        <v>0</v>
      </c>
      <c r="G173" s="5">
        <v>2500</v>
      </c>
      <c r="H173" s="5">
        <f t="shared" si="53"/>
        <v>2500</v>
      </c>
      <c r="I173" s="49">
        <f t="shared" si="54"/>
        <v>2500</v>
      </c>
      <c r="J173" s="24" t="s">
        <v>172</v>
      </c>
    </row>
    <row r="174" spans="1:11" ht="20" customHeight="1">
      <c r="A174" s="198"/>
      <c r="B174" s="4" t="s">
        <v>168</v>
      </c>
      <c r="C174" s="5">
        <v>1</v>
      </c>
      <c r="D174" s="6" t="s">
        <v>141</v>
      </c>
      <c r="E174" s="5">
        <v>0</v>
      </c>
      <c r="F174" s="5">
        <f t="shared" si="52"/>
        <v>0</v>
      </c>
      <c r="G174" s="5">
        <v>1200</v>
      </c>
      <c r="H174" s="5">
        <f t="shared" si="53"/>
        <v>1200</v>
      </c>
      <c r="I174" s="49">
        <f t="shared" si="54"/>
        <v>1200</v>
      </c>
      <c r="J174" s="24" t="s">
        <v>172</v>
      </c>
    </row>
    <row r="175" spans="1:11" ht="20" customHeight="1">
      <c r="A175" s="198"/>
      <c r="B175" s="4" t="s">
        <v>170</v>
      </c>
      <c r="C175" s="5">
        <v>1</v>
      </c>
      <c r="D175" s="6" t="s">
        <v>141</v>
      </c>
      <c r="E175" s="5">
        <v>0</v>
      </c>
      <c r="F175" s="5">
        <f t="shared" si="52"/>
        <v>0</v>
      </c>
      <c r="G175" s="5">
        <v>4400</v>
      </c>
      <c r="H175" s="5">
        <f t="shared" si="53"/>
        <v>4400</v>
      </c>
      <c r="I175" s="49">
        <f t="shared" si="54"/>
        <v>4400</v>
      </c>
      <c r="J175" s="24" t="s">
        <v>172</v>
      </c>
    </row>
    <row r="176" spans="1:11" ht="20" customHeight="1">
      <c r="A176" s="198"/>
      <c r="B176" s="4" t="s">
        <v>171</v>
      </c>
      <c r="C176" s="5">
        <v>1</v>
      </c>
      <c r="D176" s="6" t="s">
        <v>141</v>
      </c>
      <c r="E176" s="5">
        <v>0</v>
      </c>
      <c r="F176" s="5">
        <f t="shared" si="52"/>
        <v>0</v>
      </c>
      <c r="G176" s="5">
        <v>5300</v>
      </c>
      <c r="H176" s="5">
        <f t="shared" si="53"/>
        <v>5300</v>
      </c>
      <c r="I176" s="49">
        <f t="shared" si="54"/>
        <v>5300</v>
      </c>
      <c r="J176" s="24" t="s">
        <v>172</v>
      </c>
    </row>
    <row r="177" spans="1:11" s="137" customFormat="1" ht="20" customHeight="1">
      <c r="A177" s="12"/>
      <c r="B177" s="12" t="s">
        <v>178</v>
      </c>
      <c r="C177" s="13"/>
      <c r="D177" s="12"/>
      <c r="E177" s="13"/>
      <c r="F177" s="14">
        <f>SUM(F168:F176)</f>
        <v>8256</v>
      </c>
      <c r="G177" s="14"/>
      <c r="H177" s="14">
        <f t="shared" ref="H177" si="55">SUM(H168:H176)</f>
        <v>26300</v>
      </c>
      <c r="I177" s="14">
        <f>SUM(I168:I176)</f>
        <v>34556</v>
      </c>
      <c r="J177" s="13"/>
      <c r="K177" s="58">
        <f>H177+F177</f>
        <v>34556</v>
      </c>
    </row>
    <row r="178" spans="1:11" ht="20" customHeight="1">
      <c r="A178" s="198"/>
      <c r="B178" s="3" t="s">
        <v>227</v>
      </c>
      <c r="C178" s="4"/>
      <c r="D178" s="6"/>
      <c r="E178" s="4"/>
      <c r="F178" s="4"/>
      <c r="G178" s="4"/>
      <c r="H178" s="4"/>
      <c r="I178" s="48"/>
      <c r="J178" s="4"/>
    </row>
    <row r="179" spans="1:11" ht="20" customHeight="1">
      <c r="A179" s="198"/>
      <c r="B179" s="4" t="s">
        <v>173</v>
      </c>
      <c r="C179" s="5">
        <f>192/6</f>
        <v>32</v>
      </c>
      <c r="D179" s="6" t="s">
        <v>32</v>
      </c>
      <c r="E179" s="5">
        <v>250</v>
      </c>
      <c r="F179" s="5">
        <f>E179*C179</f>
        <v>8000</v>
      </c>
      <c r="G179" s="5">
        <v>150</v>
      </c>
      <c r="H179" s="5">
        <f>G179*C179</f>
        <v>4800</v>
      </c>
      <c r="I179" s="49">
        <f>H179+F179</f>
        <v>12800</v>
      </c>
      <c r="J179" s="4"/>
    </row>
    <row r="180" spans="1:11" ht="20" customHeight="1">
      <c r="A180" s="198"/>
      <c r="B180" s="4" t="s">
        <v>174</v>
      </c>
      <c r="C180" s="5">
        <f>24/6</f>
        <v>4</v>
      </c>
      <c r="D180" s="6" t="s">
        <v>32</v>
      </c>
      <c r="E180" s="5">
        <v>250</v>
      </c>
      <c r="F180" s="5">
        <f t="shared" ref="F180:F183" si="56">E180*C180</f>
        <v>1000</v>
      </c>
      <c r="G180" s="5">
        <v>150</v>
      </c>
      <c r="H180" s="5">
        <f t="shared" ref="H180:H183" si="57">G180*C180</f>
        <v>600</v>
      </c>
      <c r="I180" s="49">
        <f t="shared" ref="I180:I183" si="58">H180+F180</f>
        <v>1600</v>
      </c>
      <c r="J180" s="4"/>
    </row>
    <row r="181" spans="1:11" ht="20" customHeight="1">
      <c r="A181" s="198"/>
      <c r="B181" s="4" t="s">
        <v>175</v>
      </c>
      <c r="C181" s="5">
        <f>36/6</f>
        <v>6</v>
      </c>
      <c r="D181" s="6" t="s">
        <v>32</v>
      </c>
      <c r="E181" s="5">
        <v>300</v>
      </c>
      <c r="F181" s="5">
        <f t="shared" si="56"/>
        <v>1800</v>
      </c>
      <c r="G181" s="5">
        <v>150</v>
      </c>
      <c r="H181" s="5">
        <f t="shared" si="57"/>
        <v>900</v>
      </c>
      <c r="I181" s="49">
        <f t="shared" si="58"/>
        <v>2700</v>
      </c>
      <c r="J181" s="4"/>
    </row>
    <row r="182" spans="1:11" ht="20" customHeight="1">
      <c r="A182" s="198"/>
      <c r="B182" s="4" t="s">
        <v>265</v>
      </c>
      <c r="C182" s="5">
        <f>144/6</f>
        <v>24</v>
      </c>
      <c r="D182" s="6" t="s">
        <v>32</v>
      </c>
      <c r="E182" s="5">
        <v>250</v>
      </c>
      <c r="F182" s="5">
        <f t="shared" si="56"/>
        <v>6000</v>
      </c>
      <c r="G182" s="5">
        <v>170</v>
      </c>
      <c r="H182" s="5">
        <f t="shared" si="57"/>
        <v>4080</v>
      </c>
      <c r="I182" s="49">
        <f t="shared" si="58"/>
        <v>10080</v>
      </c>
      <c r="J182" s="4"/>
    </row>
    <row r="183" spans="1:11" ht="20" customHeight="1">
      <c r="A183" s="198"/>
      <c r="B183" s="4" t="s">
        <v>176</v>
      </c>
      <c r="C183" s="5">
        <f>144/6</f>
        <v>24</v>
      </c>
      <c r="D183" s="6" t="s">
        <v>32</v>
      </c>
      <c r="E183" s="5">
        <v>38</v>
      </c>
      <c r="F183" s="5">
        <f t="shared" si="56"/>
        <v>912</v>
      </c>
      <c r="G183" s="5">
        <v>1000</v>
      </c>
      <c r="H183" s="5">
        <f t="shared" si="57"/>
        <v>24000</v>
      </c>
      <c r="I183" s="49">
        <f t="shared" si="58"/>
        <v>24912</v>
      </c>
      <c r="J183" s="4"/>
    </row>
    <row r="184" spans="1:11" s="134" customFormat="1" ht="20" customHeight="1">
      <c r="A184" s="189"/>
      <c r="B184" s="12" t="s">
        <v>219</v>
      </c>
      <c r="C184" s="76"/>
      <c r="D184" s="189"/>
      <c r="E184" s="76"/>
      <c r="F184" s="14">
        <f>SUM(F179:F183)</f>
        <v>17712</v>
      </c>
      <c r="G184" s="14"/>
      <c r="H184" s="14">
        <f t="shared" ref="H184:I184" si="59">SUM(H179:H183)</f>
        <v>34380</v>
      </c>
      <c r="I184" s="14">
        <f t="shared" si="59"/>
        <v>52092</v>
      </c>
      <c r="J184" s="76"/>
      <c r="K184" s="58">
        <f>H184+F184</f>
        <v>52092</v>
      </c>
    </row>
    <row r="185" spans="1:11" ht="20" customHeight="1">
      <c r="A185" s="198"/>
      <c r="B185" s="3" t="s">
        <v>228</v>
      </c>
      <c r="C185" s="4"/>
      <c r="D185" s="6"/>
      <c r="E185" s="4"/>
      <c r="F185" s="74"/>
      <c r="G185" s="77"/>
      <c r="H185" s="74"/>
      <c r="I185" s="75"/>
      <c r="J185" s="4"/>
    </row>
    <row r="186" spans="1:11" ht="20" customHeight="1">
      <c r="A186" s="198"/>
      <c r="B186" s="4" t="s">
        <v>185</v>
      </c>
      <c r="C186" s="5">
        <v>93.16</v>
      </c>
      <c r="D186" s="6" t="s">
        <v>32</v>
      </c>
      <c r="E186" s="5">
        <v>60</v>
      </c>
      <c r="F186" s="5">
        <f>E186*C186</f>
        <v>5589.5999999999995</v>
      </c>
      <c r="G186" s="5">
        <v>25</v>
      </c>
      <c r="H186" s="5">
        <f>G186*C186</f>
        <v>2329</v>
      </c>
      <c r="I186" s="49">
        <f>H186+F186</f>
        <v>7918.5999999999995</v>
      </c>
      <c r="J186" s="4"/>
    </row>
    <row r="187" spans="1:11" ht="20" customHeight="1">
      <c r="A187" s="198"/>
      <c r="B187" s="4" t="s">
        <v>186</v>
      </c>
      <c r="C187" s="5">
        <v>111</v>
      </c>
      <c r="D187" s="6" t="s">
        <v>32</v>
      </c>
      <c r="E187" s="5">
        <v>60</v>
      </c>
      <c r="F187" s="5">
        <f t="shared" ref="F187:F199" si="60">E187*C187</f>
        <v>6660</v>
      </c>
      <c r="G187" s="5">
        <v>25</v>
      </c>
      <c r="H187" s="5">
        <f t="shared" ref="H187:H199" si="61">G187*C187</f>
        <v>2775</v>
      </c>
      <c r="I187" s="49">
        <f t="shared" ref="I187:I199" si="62">H187+F187</f>
        <v>9435</v>
      </c>
      <c r="J187" s="4"/>
    </row>
    <row r="188" spans="1:11" ht="20" customHeight="1">
      <c r="A188" s="198"/>
      <c r="B188" s="4" t="s">
        <v>187</v>
      </c>
      <c r="C188" s="5">
        <v>46.28</v>
      </c>
      <c r="D188" s="6" t="s">
        <v>32</v>
      </c>
      <c r="E188" s="5">
        <v>45</v>
      </c>
      <c r="F188" s="5">
        <f t="shared" si="60"/>
        <v>2082.6</v>
      </c>
      <c r="G188" s="5">
        <v>25</v>
      </c>
      <c r="H188" s="5">
        <f t="shared" si="61"/>
        <v>1157</v>
      </c>
      <c r="I188" s="49">
        <f t="shared" si="62"/>
        <v>3239.6</v>
      </c>
      <c r="J188" s="4"/>
    </row>
    <row r="189" spans="1:11" ht="20" customHeight="1">
      <c r="A189" s="198"/>
      <c r="B189" s="4" t="s">
        <v>188</v>
      </c>
      <c r="C189" s="5">
        <v>7.5</v>
      </c>
      <c r="D189" s="6" t="s">
        <v>32</v>
      </c>
      <c r="E189" s="5">
        <v>45</v>
      </c>
      <c r="F189" s="5">
        <f t="shared" si="60"/>
        <v>337.5</v>
      </c>
      <c r="G189" s="5">
        <v>25</v>
      </c>
      <c r="H189" s="5">
        <f t="shared" si="61"/>
        <v>187.5</v>
      </c>
      <c r="I189" s="49">
        <f t="shared" si="62"/>
        <v>525</v>
      </c>
      <c r="J189" s="4"/>
    </row>
    <row r="190" spans="1:11" ht="20" customHeight="1">
      <c r="A190" s="198"/>
      <c r="B190" s="4" t="s">
        <v>249</v>
      </c>
      <c r="C190" s="5">
        <v>27</v>
      </c>
      <c r="D190" s="6" t="s">
        <v>32</v>
      </c>
      <c r="E190" s="5">
        <v>45</v>
      </c>
      <c r="F190" s="5">
        <f t="shared" si="60"/>
        <v>1215</v>
      </c>
      <c r="G190" s="5">
        <v>25</v>
      </c>
      <c r="H190" s="5">
        <f t="shared" si="61"/>
        <v>675</v>
      </c>
      <c r="I190" s="49">
        <f t="shared" si="62"/>
        <v>1890</v>
      </c>
      <c r="J190" s="4"/>
    </row>
    <row r="191" spans="1:11" ht="20" customHeight="1">
      <c r="A191" s="198"/>
      <c r="B191" s="4" t="s">
        <v>250</v>
      </c>
      <c r="C191" s="5">
        <v>25.62</v>
      </c>
      <c r="D191" s="6" t="s">
        <v>32</v>
      </c>
      <c r="E191" s="5">
        <v>45</v>
      </c>
      <c r="F191" s="5">
        <f t="shared" si="60"/>
        <v>1152.9000000000001</v>
      </c>
      <c r="G191" s="5">
        <v>25</v>
      </c>
      <c r="H191" s="5">
        <f t="shared" si="61"/>
        <v>640.5</v>
      </c>
      <c r="I191" s="49">
        <f t="shared" si="62"/>
        <v>1793.4</v>
      </c>
      <c r="J191" s="4"/>
    </row>
    <row r="192" spans="1:11" ht="20" customHeight="1">
      <c r="A192" s="198"/>
      <c r="B192" s="4" t="s">
        <v>248</v>
      </c>
      <c r="C192" s="5">
        <v>5</v>
      </c>
      <c r="D192" s="6" t="s">
        <v>32</v>
      </c>
      <c r="E192" s="5">
        <v>45</v>
      </c>
      <c r="F192" s="5">
        <f t="shared" si="60"/>
        <v>225</v>
      </c>
      <c r="G192" s="5">
        <v>25</v>
      </c>
      <c r="H192" s="5">
        <f t="shared" si="61"/>
        <v>125</v>
      </c>
      <c r="I192" s="49">
        <f t="shared" si="62"/>
        <v>350</v>
      </c>
      <c r="J192" s="4"/>
    </row>
    <row r="193" spans="1:11" ht="20" customHeight="1">
      <c r="A193" s="198"/>
      <c r="B193" s="78" t="s">
        <v>269</v>
      </c>
      <c r="C193" s="79">
        <v>4.47</v>
      </c>
      <c r="D193" s="6" t="s">
        <v>32</v>
      </c>
      <c r="E193" s="5">
        <v>45</v>
      </c>
      <c r="F193" s="5">
        <f t="shared" si="60"/>
        <v>201.14999999999998</v>
      </c>
      <c r="G193" s="5">
        <v>25</v>
      </c>
      <c r="H193" s="5">
        <f t="shared" si="61"/>
        <v>111.75</v>
      </c>
      <c r="I193" s="49">
        <f t="shared" si="62"/>
        <v>312.89999999999998</v>
      </c>
      <c r="J193" s="4"/>
    </row>
    <row r="194" spans="1:11" ht="20" customHeight="1">
      <c r="A194" s="198"/>
      <c r="B194" s="78" t="s">
        <v>270</v>
      </c>
      <c r="C194" s="79">
        <v>8</v>
      </c>
      <c r="D194" s="6" t="s">
        <v>32</v>
      </c>
      <c r="E194" s="5">
        <v>45</v>
      </c>
      <c r="F194" s="5">
        <f t="shared" si="60"/>
        <v>360</v>
      </c>
      <c r="G194" s="5">
        <v>25</v>
      </c>
      <c r="H194" s="5">
        <f t="shared" si="61"/>
        <v>200</v>
      </c>
      <c r="I194" s="49">
        <f t="shared" si="62"/>
        <v>560</v>
      </c>
      <c r="J194" s="4"/>
    </row>
    <row r="195" spans="1:11" ht="20" customHeight="1">
      <c r="A195" s="198"/>
      <c r="B195" s="4" t="s">
        <v>251</v>
      </c>
      <c r="C195" s="5">
        <v>5</v>
      </c>
      <c r="D195" s="6" t="s">
        <v>32</v>
      </c>
      <c r="E195" s="5">
        <v>45</v>
      </c>
      <c r="F195" s="5">
        <f t="shared" si="60"/>
        <v>225</v>
      </c>
      <c r="G195" s="5">
        <v>25</v>
      </c>
      <c r="H195" s="5">
        <f t="shared" si="61"/>
        <v>125</v>
      </c>
      <c r="I195" s="49">
        <f t="shared" si="62"/>
        <v>350</v>
      </c>
      <c r="J195" s="4"/>
    </row>
    <row r="196" spans="1:11" ht="20" customHeight="1">
      <c r="A196" s="198"/>
      <c r="B196" s="4" t="s">
        <v>252</v>
      </c>
      <c r="C196" s="5">
        <v>6.24</v>
      </c>
      <c r="D196" s="6" t="s">
        <v>32</v>
      </c>
      <c r="E196" s="5">
        <v>45</v>
      </c>
      <c r="F196" s="5">
        <f t="shared" si="60"/>
        <v>280.8</v>
      </c>
      <c r="G196" s="5">
        <v>25</v>
      </c>
      <c r="H196" s="5">
        <f t="shared" si="61"/>
        <v>156</v>
      </c>
      <c r="I196" s="49">
        <f t="shared" si="62"/>
        <v>436.8</v>
      </c>
      <c r="J196" s="4"/>
    </row>
    <row r="197" spans="1:11" ht="20" customHeight="1">
      <c r="A197" s="198"/>
      <c r="B197" s="4" t="s">
        <v>253</v>
      </c>
      <c r="C197" s="5">
        <v>1</v>
      </c>
      <c r="D197" s="6" t="s">
        <v>254</v>
      </c>
      <c r="E197" s="5">
        <v>0</v>
      </c>
      <c r="F197" s="5">
        <f t="shared" si="60"/>
        <v>0</v>
      </c>
      <c r="G197" s="5">
        <v>2000</v>
      </c>
      <c r="H197" s="5">
        <f t="shared" si="61"/>
        <v>2000</v>
      </c>
      <c r="I197" s="49">
        <f t="shared" si="62"/>
        <v>2000</v>
      </c>
      <c r="J197" s="4"/>
    </row>
    <row r="198" spans="1:11" ht="20" customHeight="1">
      <c r="A198" s="198"/>
      <c r="B198" s="4" t="s">
        <v>189</v>
      </c>
      <c r="C198" s="5">
        <v>226.08</v>
      </c>
      <c r="D198" s="6" t="s">
        <v>32</v>
      </c>
      <c r="E198" s="5">
        <v>15</v>
      </c>
      <c r="F198" s="5">
        <f t="shared" si="60"/>
        <v>3391.2000000000003</v>
      </c>
      <c r="G198" s="5">
        <v>20</v>
      </c>
      <c r="H198" s="5">
        <f t="shared" si="61"/>
        <v>4521.6000000000004</v>
      </c>
      <c r="I198" s="49">
        <f t="shared" si="62"/>
        <v>7912.8000000000011</v>
      </c>
      <c r="J198" s="4"/>
    </row>
    <row r="199" spans="1:11" ht="20" customHeight="1">
      <c r="A199" s="198"/>
      <c r="B199" s="4" t="s">
        <v>190</v>
      </c>
      <c r="C199" s="5">
        <v>1</v>
      </c>
      <c r="D199" s="6" t="s">
        <v>136</v>
      </c>
      <c r="E199" s="5">
        <v>0</v>
      </c>
      <c r="F199" s="5">
        <f t="shared" si="60"/>
        <v>0</v>
      </c>
      <c r="G199" s="5">
        <v>100</v>
      </c>
      <c r="H199" s="5">
        <f t="shared" si="61"/>
        <v>100</v>
      </c>
      <c r="I199" s="49">
        <f t="shared" si="62"/>
        <v>100</v>
      </c>
      <c r="J199" s="4"/>
    </row>
    <row r="200" spans="1:11" s="134" customFormat="1" ht="20" customHeight="1">
      <c r="A200" s="189"/>
      <c r="B200" s="12" t="s">
        <v>220</v>
      </c>
      <c r="C200" s="76"/>
      <c r="D200" s="189"/>
      <c r="E200" s="76"/>
      <c r="F200" s="14">
        <f>SUM(F186:F199)</f>
        <v>21720.75</v>
      </c>
      <c r="G200" s="14"/>
      <c r="H200" s="14">
        <f t="shared" ref="H200:I200" si="63">SUM(H186:H199)</f>
        <v>15103.35</v>
      </c>
      <c r="I200" s="14">
        <f t="shared" si="63"/>
        <v>36824.1</v>
      </c>
      <c r="J200" s="76"/>
      <c r="K200" s="58">
        <f>H200+F200</f>
        <v>36824.1</v>
      </c>
    </row>
    <row r="201" spans="1:11" ht="20" customHeight="1">
      <c r="A201" s="198"/>
      <c r="B201" s="3" t="s">
        <v>229</v>
      </c>
      <c r="C201" s="4"/>
      <c r="D201" s="6"/>
      <c r="E201" s="4"/>
      <c r="F201" s="4"/>
      <c r="G201" s="4"/>
      <c r="H201" s="4"/>
      <c r="I201" s="48"/>
      <c r="J201" s="4"/>
    </row>
    <row r="202" spans="1:11" ht="20" customHeight="1">
      <c r="A202" s="198"/>
      <c r="B202" s="4" t="s">
        <v>52</v>
      </c>
      <c r="C202" s="5">
        <f>48/6</f>
        <v>8</v>
      </c>
      <c r="D202" s="6" t="s">
        <v>53</v>
      </c>
      <c r="E202" s="11">
        <v>225</v>
      </c>
      <c r="F202" s="5">
        <f>E202*C202</f>
        <v>1800</v>
      </c>
      <c r="G202" s="70">
        <v>0</v>
      </c>
      <c r="H202" s="70">
        <f>G202*C202</f>
        <v>0</v>
      </c>
      <c r="I202" s="49">
        <f>H202+F202</f>
        <v>1800</v>
      </c>
      <c r="J202" s="4"/>
    </row>
    <row r="203" spans="1:11" ht="20" customHeight="1">
      <c r="A203" s="198"/>
      <c r="B203" s="4" t="s">
        <v>179</v>
      </c>
      <c r="C203" s="5">
        <f>48/6</f>
        <v>8</v>
      </c>
      <c r="D203" s="6" t="s">
        <v>141</v>
      </c>
      <c r="E203" s="11">
        <v>25</v>
      </c>
      <c r="F203" s="5">
        <f t="shared" ref="F203:F213" si="64">E203*C203</f>
        <v>200</v>
      </c>
      <c r="G203" s="70">
        <v>0</v>
      </c>
      <c r="H203" s="70">
        <f t="shared" ref="H203:H213" si="65">G203*C203</f>
        <v>0</v>
      </c>
      <c r="I203" s="49">
        <f t="shared" ref="I203:I213" si="66">H203+F203</f>
        <v>200</v>
      </c>
      <c r="J203" s="4"/>
    </row>
    <row r="204" spans="1:11" ht="20" customHeight="1">
      <c r="A204" s="198"/>
      <c r="B204" s="4" t="s">
        <v>180</v>
      </c>
      <c r="C204" s="5">
        <f>12/6</f>
        <v>2</v>
      </c>
      <c r="D204" s="6" t="s">
        <v>141</v>
      </c>
      <c r="E204" s="11">
        <v>99</v>
      </c>
      <c r="F204" s="5">
        <f t="shared" si="64"/>
        <v>198</v>
      </c>
      <c r="G204" s="70">
        <v>0</v>
      </c>
      <c r="H204" s="70">
        <f t="shared" si="65"/>
        <v>0</v>
      </c>
      <c r="I204" s="49">
        <f t="shared" si="66"/>
        <v>198</v>
      </c>
      <c r="J204" s="4"/>
    </row>
    <row r="205" spans="1:11" ht="20" customHeight="1">
      <c r="A205" s="198"/>
      <c r="B205" s="4" t="s">
        <v>181</v>
      </c>
      <c r="C205" s="5">
        <f>12/6</f>
        <v>2</v>
      </c>
      <c r="D205" s="6" t="s">
        <v>141</v>
      </c>
      <c r="E205" s="11">
        <v>99</v>
      </c>
      <c r="F205" s="5">
        <f t="shared" si="64"/>
        <v>198</v>
      </c>
      <c r="G205" s="70">
        <v>0</v>
      </c>
      <c r="H205" s="70">
        <f t="shared" si="65"/>
        <v>0</v>
      </c>
      <c r="I205" s="49">
        <f t="shared" si="66"/>
        <v>198</v>
      </c>
      <c r="J205" s="4"/>
    </row>
    <row r="206" spans="1:11" ht="20" customHeight="1">
      <c r="A206" s="198"/>
      <c r="B206" s="4" t="s">
        <v>182</v>
      </c>
      <c r="C206" s="5">
        <f>1/6</f>
        <v>0.16666666666666666</v>
      </c>
      <c r="D206" s="6" t="s">
        <v>53</v>
      </c>
      <c r="E206" s="11">
        <v>335</v>
      </c>
      <c r="F206" s="5">
        <f t="shared" si="64"/>
        <v>55.833333333333329</v>
      </c>
      <c r="G206" s="70">
        <v>0</v>
      </c>
      <c r="H206" s="70">
        <f t="shared" si="65"/>
        <v>0</v>
      </c>
      <c r="I206" s="49">
        <f t="shared" si="66"/>
        <v>55.833333333333329</v>
      </c>
      <c r="J206" s="4"/>
    </row>
    <row r="207" spans="1:11" ht="20" customHeight="1">
      <c r="A207" s="6"/>
      <c r="B207" s="4" t="s">
        <v>63</v>
      </c>
      <c r="C207" s="5">
        <f>1/6</f>
        <v>0.16666666666666666</v>
      </c>
      <c r="D207" s="6" t="s">
        <v>64</v>
      </c>
      <c r="E207" s="5">
        <v>1240</v>
      </c>
      <c r="F207" s="5">
        <f t="shared" si="64"/>
        <v>206.66666666666666</v>
      </c>
      <c r="G207" s="70">
        <v>0</v>
      </c>
      <c r="H207" s="70">
        <f t="shared" si="65"/>
        <v>0</v>
      </c>
      <c r="I207" s="49">
        <f t="shared" si="66"/>
        <v>206.66666666666666</v>
      </c>
      <c r="J207" s="4"/>
    </row>
    <row r="208" spans="1:11" ht="20" customHeight="1">
      <c r="A208" s="198"/>
      <c r="B208" s="4" t="s">
        <v>65</v>
      </c>
      <c r="C208" s="5">
        <f>2/6</f>
        <v>0.33333333333333331</v>
      </c>
      <c r="D208" s="6" t="s">
        <v>66</v>
      </c>
      <c r="E208" s="11">
        <v>1089</v>
      </c>
      <c r="F208" s="5">
        <f t="shared" si="64"/>
        <v>363</v>
      </c>
      <c r="G208" s="70">
        <v>0</v>
      </c>
      <c r="H208" s="70">
        <f t="shared" si="65"/>
        <v>0</v>
      </c>
      <c r="I208" s="49">
        <f t="shared" si="66"/>
        <v>363</v>
      </c>
      <c r="J208" s="4"/>
    </row>
    <row r="209" spans="1:11" ht="20" customHeight="1">
      <c r="A209" s="198"/>
      <c r="B209" s="4" t="s">
        <v>68</v>
      </c>
      <c r="C209" s="5">
        <v>0.17</v>
      </c>
      <c r="D209" s="6" t="s">
        <v>64</v>
      </c>
      <c r="E209" s="5">
        <v>1595</v>
      </c>
      <c r="F209" s="5">
        <f t="shared" si="64"/>
        <v>271.15000000000003</v>
      </c>
      <c r="G209" s="70">
        <v>0</v>
      </c>
      <c r="H209" s="70">
        <f t="shared" si="65"/>
        <v>0</v>
      </c>
      <c r="I209" s="49">
        <f t="shared" si="66"/>
        <v>271.15000000000003</v>
      </c>
      <c r="J209" s="4"/>
    </row>
    <row r="210" spans="1:11" ht="20" customHeight="1">
      <c r="A210" s="198"/>
      <c r="B210" s="4" t="s">
        <v>67</v>
      </c>
      <c r="C210" s="5">
        <f>4/6</f>
        <v>0.66666666666666663</v>
      </c>
      <c r="D210" s="6" t="s">
        <v>66</v>
      </c>
      <c r="E210" s="11">
        <v>389</v>
      </c>
      <c r="F210" s="5">
        <f t="shared" si="64"/>
        <v>259.33333333333331</v>
      </c>
      <c r="G210" s="70">
        <v>0</v>
      </c>
      <c r="H210" s="70">
        <f t="shared" si="65"/>
        <v>0</v>
      </c>
      <c r="I210" s="49">
        <f t="shared" si="66"/>
        <v>259.33333333333331</v>
      </c>
      <c r="J210" s="4"/>
    </row>
    <row r="211" spans="1:11" ht="20" customHeight="1">
      <c r="A211" s="198"/>
      <c r="B211" s="4" t="s">
        <v>183</v>
      </c>
      <c r="C211" s="5">
        <v>0.17</v>
      </c>
      <c r="D211" s="6" t="s">
        <v>125</v>
      </c>
      <c r="E211" s="5">
        <v>357</v>
      </c>
      <c r="F211" s="5">
        <f t="shared" si="64"/>
        <v>60.690000000000005</v>
      </c>
      <c r="G211" s="70">
        <v>0</v>
      </c>
      <c r="H211" s="70">
        <f t="shared" si="65"/>
        <v>0</v>
      </c>
      <c r="I211" s="49">
        <f t="shared" si="66"/>
        <v>60.690000000000005</v>
      </c>
      <c r="J211" s="4"/>
    </row>
    <row r="212" spans="1:11" ht="20" customHeight="1">
      <c r="A212" s="198"/>
      <c r="B212" s="4" t="s">
        <v>184</v>
      </c>
      <c r="C212" s="5">
        <v>0.17</v>
      </c>
      <c r="D212" s="6" t="s">
        <v>125</v>
      </c>
      <c r="E212" s="5">
        <v>329</v>
      </c>
      <c r="F212" s="5">
        <f t="shared" si="64"/>
        <v>55.930000000000007</v>
      </c>
      <c r="G212" s="70">
        <v>0</v>
      </c>
      <c r="H212" s="70">
        <f t="shared" si="65"/>
        <v>0</v>
      </c>
      <c r="I212" s="49">
        <f t="shared" si="66"/>
        <v>55.930000000000007</v>
      </c>
      <c r="J212" s="4"/>
    </row>
    <row r="213" spans="1:11" ht="20" customHeight="1">
      <c r="A213" s="198"/>
      <c r="B213" s="4" t="s">
        <v>272</v>
      </c>
      <c r="C213" s="5">
        <v>1</v>
      </c>
      <c r="D213" s="6" t="s">
        <v>264</v>
      </c>
      <c r="E213" s="5">
        <v>0</v>
      </c>
      <c r="F213" s="5">
        <f t="shared" si="64"/>
        <v>0</v>
      </c>
      <c r="G213" s="70">
        <v>1600</v>
      </c>
      <c r="H213" s="70">
        <f t="shared" si="65"/>
        <v>1600</v>
      </c>
      <c r="I213" s="49">
        <f t="shared" si="66"/>
        <v>1600</v>
      </c>
      <c r="J213" s="4"/>
    </row>
    <row r="214" spans="1:11" s="134" customFormat="1" ht="20" customHeight="1">
      <c r="A214" s="189"/>
      <c r="B214" s="12" t="s">
        <v>230</v>
      </c>
      <c r="C214" s="76"/>
      <c r="D214" s="189"/>
      <c r="E214" s="76"/>
      <c r="F214" s="14">
        <f>SUM(F202:F213)</f>
        <v>3668.6033333333335</v>
      </c>
      <c r="G214" s="14"/>
      <c r="H214" s="14">
        <f t="shared" ref="H214:I214" si="67">SUM(H202:H213)</f>
        <v>1600</v>
      </c>
      <c r="I214" s="14">
        <f t="shared" si="67"/>
        <v>5268.6033333333335</v>
      </c>
      <c r="J214" s="76"/>
      <c r="K214" s="58">
        <f>H214+F214</f>
        <v>5268.6033333333335</v>
      </c>
    </row>
    <row r="215" spans="1:11" s="84" customFormat="1" ht="20" customHeight="1">
      <c r="A215" s="204">
        <v>2</v>
      </c>
      <c r="B215" s="81" t="s">
        <v>109</v>
      </c>
      <c r="C215" s="80"/>
      <c r="D215" s="81" t="s">
        <v>11</v>
      </c>
      <c r="E215" s="82"/>
      <c r="F215" s="82">
        <f>F96+F100+F111+F115+F122+F137+F146+F166+F177+F184+F200+F214</f>
        <v>107661.12442867717</v>
      </c>
      <c r="G215" s="82"/>
      <c r="H215" s="82">
        <f t="shared" ref="H215:I215" si="68">H96+H100+H111+H115+H122+H137+H146+H166+H177+H184+H200+H214</f>
        <v>127962.35</v>
      </c>
      <c r="I215" s="82">
        <f t="shared" si="68"/>
        <v>235623.47442867717</v>
      </c>
      <c r="J215" s="83"/>
      <c r="K215" s="58">
        <f>H215+F215</f>
        <v>235623.47442867717</v>
      </c>
    </row>
    <row r="216" spans="1:11" s="90" customFormat="1" ht="20" customHeight="1" thickBot="1">
      <c r="A216" s="205"/>
      <c r="B216" s="87"/>
      <c r="C216" s="86"/>
      <c r="D216" s="87"/>
      <c r="E216" s="88"/>
      <c r="F216" s="88"/>
      <c r="G216" s="88"/>
      <c r="H216" s="88"/>
      <c r="I216" s="88"/>
      <c r="J216" s="89"/>
      <c r="K216" s="65"/>
    </row>
    <row r="217" spans="1:11" s="96" customFormat="1" ht="20" customHeight="1" thickTop="1">
      <c r="A217" s="206">
        <v>3</v>
      </c>
      <c r="B217" s="92" t="s">
        <v>191</v>
      </c>
      <c r="C217" s="93"/>
      <c r="D217" s="190"/>
      <c r="E217" s="93"/>
      <c r="F217" s="93"/>
      <c r="G217" s="93"/>
      <c r="H217" s="93"/>
      <c r="I217" s="94"/>
      <c r="J217" s="93"/>
      <c r="K217" s="95"/>
    </row>
    <row r="218" spans="1:11" ht="20" customHeight="1">
      <c r="A218" s="198"/>
      <c r="B218" s="3" t="s">
        <v>192</v>
      </c>
      <c r="C218" s="4"/>
      <c r="D218" s="6"/>
      <c r="E218" s="4"/>
      <c r="F218" s="4"/>
      <c r="G218" s="4"/>
      <c r="H218" s="4"/>
      <c r="I218" s="48"/>
      <c r="J218" s="4"/>
    </row>
    <row r="219" spans="1:11" ht="20" customHeight="1">
      <c r="A219" s="198"/>
      <c r="B219" s="4" t="s">
        <v>207</v>
      </c>
      <c r="C219" s="5">
        <f>90/6</f>
        <v>15</v>
      </c>
      <c r="D219" s="6" t="s">
        <v>141</v>
      </c>
      <c r="E219" s="5">
        <v>31</v>
      </c>
      <c r="F219" s="5">
        <f>E219*C219</f>
        <v>465</v>
      </c>
      <c r="G219" s="33">
        <v>0</v>
      </c>
      <c r="H219" s="98">
        <f>C219*G219</f>
        <v>0</v>
      </c>
      <c r="I219" s="49">
        <f>H219+F219</f>
        <v>465</v>
      </c>
      <c r="J219" s="4"/>
    </row>
    <row r="220" spans="1:11" ht="20" customHeight="1">
      <c r="A220" s="198"/>
      <c r="B220" s="4" t="s">
        <v>242</v>
      </c>
      <c r="C220" s="5">
        <f>96/6</f>
        <v>16</v>
      </c>
      <c r="D220" s="6" t="s">
        <v>141</v>
      </c>
      <c r="E220" s="5">
        <v>65</v>
      </c>
      <c r="F220" s="5">
        <f t="shared" ref="F220:F223" si="69">E220*C220</f>
        <v>1040</v>
      </c>
      <c r="G220" s="33">
        <v>0</v>
      </c>
      <c r="H220" s="98">
        <f t="shared" ref="H220:H223" si="70">C220*G220</f>
        <v>0</v>
      </c>
      <c r="I220" s="49">
        <f t="shared" ref="I220:I223" si="71">H220+F220</f>
        <v>1040</v>
      </c>
      <c r="J220" s="4"/>
    </row>
    <row r="221" spans="1:11" ht="20" customHeight="1">
      <c r="A221" s="198"/>
      <c r="B221" s="4" t="s">
        <v>208</v>
      </c>
      <c r="C221" s="5">
        <v>1</v>
      </c>
      <c r="D221" s="6" t="s">
        <v>141</v>
      </c>
      <c r="E221" s="5">
        <v>109</v>
      </c>
      <c r="F221" s="5">
        <f t="shared" si="69"/>
        <v>109</v>
      </c>
      <c r="G221" s="33">
        <v>0</v>
      </c>
      <c r="H221" s="98">
        <f t="shared" si="70"/>
        <v>0</v>
      </c>
      <c r="I221" s="49">
        <f t="shared" si="71"/>
        <v>109</v>
      </c>
      <c r="J221" s="4"/>
    </row>
    <row r="222" spans="1:11" ht="20" customHeight="1">
      <c r="A222" s="6"/>
      <c r="B222" s="4" t="s">
        <v>209</v>
      </c>
      <c r="C222" s="5">
        <v>1</v>
      </c>
      <c r="D222" s="6" t="s">
        <v>141</v>
      </c>
      <c r="E222" s="5">
        <v>349</v>
      </c>
      <c r="F222" s="5">
        <f t="shared" si="69"/>
        <v>349</v>
      </c>
      <c r="G222" s="33">
        <v>0</v>
      </c>
      <c r="H222" s="98">
        <f t="shared" si="70"/>
        <v>0</v>
      </c>
      <c r="I222" s="49">
        <f t="shared" si="71"/>
        <v>349</v>
      </c>
      <c r="J222" s="4"/>
    </row>
    <row r="223" spans="1:11" ht="20" customHeight="1">
      <c r="A223" s="6"/>
      <c r="B223" s="4" t="s">
        <v>193</v>
      </c>
      <c r="C223" s="5">
        <v>1</v>
      </c>
      <c r="D223" s="6" t="s">
        <v>141</v>
      </c>
      <c r="E223" s="5">
        <v>0</v>
      </c>
      <c r="F223" s="5">
        <f t="shared" si="69"/>
        <v>0</v>
      </c>
      <c r="G223" s="33">
        <v>0</v>
      </c>
      <c r="H223" s="98">
        <f t="shared" si="70"/>
        <v>0</v>
      </c>
      <c r="I223" s="49">
        <f t="shared" si="71"/>
        <v>0</v>
      </c>
      <c r="J223" s="4"/>
    </row>
    <row r="224" spans="1:11" ht="20" customHeight="1">
      <c r="A224" s="99"/>
      <c r="B224" s="99" t="s">
        <v>200</v>
      </c>
      <c r="C224" s="21"/>
      <c r="D224" s="99"/>
      <c r="E224" s="21"/>
      <c r="F224" s="21">
        <f>SUM(F219:F223)</f>
        <v>1963</v>
      </c>
      <c r="G224" s="21"/>
      <c r="H224" s="21">
        <f t="shared" ref="H224:I224" si="72">SUM(H219:H223)</f>
        <v>0</v>
      </c>
      <c r="I224" s="21">
        <f t="shared" si="72"/>
        <v>1963</v>
      </c>
      <c r="J224" s="100"/>
      <c r="K224" s="58">
        <f>H224+F224</f>
        <v>1963</v>
      </c>
    </row>
    <row r="225" spans="1:11" ht="20" customHeight="1">
      <c r="A225" s="198"/>
      <c r="B225" s="3" t="s">
        <v>201</v>
      </c>
      <c r="C225" s="4"/>
      <c r="D225" s="6"/>
      <c r="E225" s="5"/>
      <c r="F225" s="5"/>
      <c r="G225" s="33"/>
      <c r="H225" s="98"/>
      <c r="I225" s="49"/>
      <c r="J225" s="4"/>
    </row>
    <row r="226" spans="1:11" ht="20" customHeight="1">
      <c r="A226" s="198"/>
      <c r="B226" s="4" t="s">
        <v>232</v>
      </c>
      <c r="C226" s="5">
        <v>3</v>
      </c>
      <c r="D226" s="6" t="s">
        <v>141</v>
      </c>
      <c r="E226" s="5">
        <v>0</v>
      </c>
      <c r="F226" s="5">
        <f>E226*C226</f>
        <v>0</v>
      </c>
      <c r="G226" s="33">
        <v>0</v>
      </c>
      <c r="H226" s="98">
        <f>C226*G226</f>
        <v>0</v>
      </c>
      <c r="I226" s="49">
        <f>H226+F226</f>
        <v>0</v>
      </c>
      <c r="J226" s="4"/>
    </row>
    <row r="227" spans="1:11" ht="20" customHeight="1">
      <c r="A227" s="198"/>
      <c r="B227" s="4" t="s">
        <v>233</v>
      </c>
      <c r="C227" s="5">
        <v>3</v>
      </c>
      <c r="D227" s="6" t="s">
        <v>141</v>
      </c>
      <c r="E227" s="5">
        <v>0</v>
      </c>
      <c r="F227" s="5">
        <f t="shared" ref="F227:F231" si="73">E227*C227</f>
        <v>0</v>
      </c>
      <c r="G227" s="33">
        <v>0</v>
      </c>
      <c r="H227" s="98">
        <f t="shared" ref="H227:H231" si="74">C227*G227</f>
        <v>0</v>
      </c>
      <c r="I227" s="49">
        <f t="shared" ref="I227:I231" si="75">H227+F227</f>
        <v>0</v>
      </c>
      <c r="J227" s="4"/>
    </row>
    <row r="228" spans="1:11" ht="20" customHeight="1">
      <c r="A228" s="198"/>
      <c r="B228" s="4" t="s">
        <v>234</v>
      </c>
      <c r="C228" s="5">
        <v>2</v>
      </c>
      <c r="D228" s="6" t="s">
        <v>141</v>
      </c>
      <c r="E228" s="5">
        <v>0</v>
      </c>
      <c r="F228" s="5">
        <f t="shared" si="73"/>
        <v>0</v>
      </c>
      <c r="G228" s="33">
        <v>0</v>
      </c>
      <c r="H228" s="98">
        <f t="shared" si="74"/>
        <v>0</v>
      </c>
      <c r="I228" s="49">
        <f t="shared" si="75"/>
        <v>0</v>
      </c>
      <c r="J228" s="4"/>
    </row>
    <row r="229" spans="1:11" ht="20" customHeight="1">
      <c r="A229" s="6"/>
      <c r="B229" s="4" t="s">
        <v>194</v>
      </c>
      <c r="C229" s="5">
        <f>66/6</f>
        <v>11</v>
      </c>
      <c r="D229" s="6" t="s">
        <v>141</v>
      </c>
      <c r="E229" s="5">
        <v>0</v>
      </c>
      <c r="F229" s="5">
        <f t="shared" si="73"/>
        <v>0</v>
      </c>
      <c r="G229" s="33">
        <v>0</v>
      </c>
      <c r="H229" s="98">
        <f t="shared" si="74"/>
        <v>0</v>
      </c>
      <c r="I229" s="49">
        <f t="shared" si="75"/>
        <v>0</v>
      </c>
      <c r="J229" s="4"/>
    </row>
    <row r="230" spans="1:11" ht="20" customHeight="1">
      <c r="A230" s="6"/>
      <c r="B230" s="4" t="s">
        <v>195</v>
      </c>
      <c r="C230" s="5">
        <f>18/6</f>
        <v>3</v>
      </c>
      <c r="D230" s="6" t="s">
        <v>141</v>
      </c>
      <c r="E230" s="5">
        <v>0</v>
      </c>
      <c r="F230" s="5">
        <f t="shared" si="73"/>
        <v>0</v>
      </c>
      <c r="G230" s="33">
        <v>0</v>
      </c>
      <c r="H230" s="98">
        <f t="shared" si="74"/>
        <v>0</v>
      </c>
      <c r="I230" s="49">
        <f t="shared" si="75"/>
        <v>0</v>
      </c>
      <c r="J230" s="4"/>
    </row>
    <row r="231" spans="1:11" ht="20" customHeight="1">
      <c r="A231" s="6"/>
      <c r="B231" s="4" t="s">
        <v>196</v>
      </c>
      <c r="C231" s="5">
        <f>6/6</f>
        <v>1</v>
      </c>
      <c r="D231" s="6" t="s">
        <v>141</v>
      </c>
      <c r="E231" s="5">
        <v>0</v>
      </c>
      <c r="F231" s="5">
        <f t="shared" si="73"/>
        <v>0</v>
      </c>
      <c r="G231" s="33">
        <v>0</v>
      </c>
      <c r="H231" s="98">
        <f t="shared" si="74"/>
        <v>0</v>
      </c>
      <c r="I231" s="49">
        <f t="shared" si="75"/>
        <v>0</v>
      </c>
      <c r="J231" s="4"/>
    </row>
    <row r="232" spans="1:11" ht="20" customHeight="1">
      <c r="A232" s="99"/>
      <c r="B232" s="99" t="s">
        <v>202</v>
      </c>
      <c r="C232" s="21"/>
      <c r="D232" s="99"/>
      <c r="E232" s="21"/>
      <c r="F232" s="21">
        <f>SUM(F225:F231)</f>
        <v>0</v>
      </c>
      <c r="G232" s="21"/>
      <c r="H232" s="21">
        <f t="shared" ref="H232:I232" si="76">SUM(H225:H231)</f>
        <v>0</v>
      </c>
      <c r="I232" s="21">
        <f t="shared" si="76"/>
        <v>0</v>
      </c>
      <c r="J232" s="100"/>
      <c r="K232" s="58">
        <f>H232+F232</f>
        <v>0</v>
      </c>
    </row>
    <row r="233" spans="1:11" ht="20" customHeight="1">
      <c r="A233" s="198"/>
      <c r="B233" s="3" t="s">
        <v>203</v>
      </c>
      <c r="C233" s="4"/>
      <c r="D233" s="6"/>
      <c r="E233" s="5"/>
      <c r="F233" s="5"/>
      <c r="G233" s="33"/>
      <c r="H233" s="98"/>
      <c r="I233" s="49"/>
      <c r="J233" s="4"/>
    </row>
    <row r="234" spans="1:11" ht="20" customHeight="1">
      <c r="A234" s="198"/>
      <c r="B234" s="4" t="s">
        <v>231</v>
      </c>
      <c r="C234" s="5">
        <v>1</v>
      </c>
      <c r="D234" s="6" t="s">
        <v>136</v>
      </c>
      <c r="E234" s="5">
        <v>0</v>
      </c>
      <c r="F234" s="5">
        <f>E234*C234</f>
        <v>0</v>
      </c>
      <c r="G234" s="33">
        <v>0</v>
      </c>
      <c r="H234" s="98">
        <f>C234*G234</f>
        <v>0</v>
      </c>
      <c r="I234" s="49">
        <f>H234+F234</f>
        <v>0</v>
      </c>
      <c r="J234" s="4"/>
    </row>
    <row r="235" spans="1:11" ht="20" customHeight="1">
      <c r="A235" s="99"/>
      <c r="B235" s="99" t="s">
        <v>204</v>
      </c>
      <c r="C235" s="21"/>
      <c r="D235" s="99"/>
      <c r="E235" s="21"/>
      <c r="F235" s="21">
        <f>SUM(F234)</f>
        <v>0</v>
      </c>
      <c r="G235" s="21"/>
      <c r="H235" s="21">
        <f t="shared" ref="H235:I235" si="77">SUM(H234)</f>
        <v>0</v>
      </c>
      <c r="I235" s="21">
        <f t="shared" si="77"/>
        <v>0</v>
      </c>
      <c r="J235" s="100"/>
      <c r="K235" s="58">
        <f>H235+F235</f>
        <v>0</v>
      </c>
    </row>
    <row r="236" spans="1:11" ht="20" customHeight="1">
      <c r="A236" s="198"/>
      <c r="B236" s="3" t="s">
        <v>205</v>
      </c>
      <c r="C236" s="4"/>
      <c r="D236" s="6"/>
      <c r="E236" s="5"/>
      <c r="F236" s="5"/>
      <c r="G236" s="33"/>
      <c r="H236" s="98"/>
      <c r="I236" s="49"/>
      <c r="J236" s="4"/>
    </row>
    <row r="237" spans="1:11" ht="20" customHeight="1">
      <c r="A237" s="198"/>
      <c r="B237" s="4" t="s">
        <v>197</v>
      </c>
      <c r="C237" s="5">
        <v>1</v>
      </c>
      <c r="D237" s="6" t="s">
        <v>141</v>
      </c>
      <c r="E237" s="5">
        <v>0</v>
      </c>
      <c r="F237" s="5">
        <f>E237*C237</f>
        <v>0</v>
      </c>
      <c r="G237" s="33">
        <v>0</v>
      </c>
      <c r="H237" s="98">
        <f>C237*G237</f>
        <v>0</v>
      </c>
      <c r="I237" s="49">
        <f>H237+F237</f>
        <v>0</v>
      </c>
      <c r="J237" s="4"/>
    </row>
    <row r="238" spans="1:11" ht="20" customHeight="1">
      <c r="A238" s="198"/>
      <c r="B238" s="4" t="s">
        <v>198</v>
      </c>
      <c r="C238" s="5">
        <v>1</v>
      </c>
      <c r="D238" s="6" t="s">
        <v>141</v>
      </c>
      <c r="E238" s="5">
        <v>0</v>
      </c>
      <c r="F238" s="5">
        <f t="shared" ref="F238:F239" si="78">E238*C238</f>
        <v>0</v>
      </c>
      <c r="G238" s="33">
        <v>0</v>
      </c>
      <c r="H238" s="98">
        <f t="shared" ref="H238:H239" si="79">C238*G238</f>
        <v>0</v>
      </c>
      <c r="I238" s="49">
        <f t="shared" ref="I238:I239" si="80">H238+F238</f>
        <v>0</v>
      </c>
      <c r="J238" s="4"/>
    </row>
    <row r="239" spans="1:11" ht="20" customHeight="1">
      <c r="A239" s="6"/>
      <c r="B239" s="15" t="s">
        <v>271</v>
      </c>
      <c r="C239" s="5">
        <v>1</v>
      </c>
      <c r="D239" s="6" t="s">
        <v>264</v>
      </c>
      <c r="E239" s="5">
        <v>0</v>
      </c>
      <c r="F239" s="5">
        <f t="shared" si="78"/>
        <v>0</v>
      </c>
      <c r="G239" s="70">
        <v>29850</v>
      </c>
      <c r="H239" s="98">
        <f t="shared" si="79"/>
        <v>29850</v>
      </c>
      <c r="I239" s="49">
        <f t="shared" si="80"/>
        <v>29850</v>
      </c>
      <c r="J239" s="4"/>
    </row>
    <row r="240" spans="1:11" ht="20" customHeight="1">
      <c r="A240" s="99"/>
      <c r="B240" s="99" t="s">
        <v>206</v>
      </c>
      <c r="C240" s="21"/>
      <c r="D240" s="99"/>
      <c r="E240" s="21"/>
      <c r="F240" s="21">
        <f>SUM(F237:F239)</f>
        <v>0</v>
      </c>
      <c r="G240" s="21"/>
      <c r="H240" s="21">
        <f t="shared" ref="H240:I240" si="81">SUM(H237:H239)</f>
        <v>29850</v>
      </c>
      <c r="I240" s="21">
        <f t="shared" si="81"/>
        <v>29850</v>
      </c>
      <c r="J240" s="21"/>
      <c r="K240" s="58">
        <f>H240+F240</f>
        <v>29850</v>
      </c>
    </row>
    <row r="241" spans="1:11" s="105" customFormat="1" ht="20" customHeight="1">
      <c r="A241" s="207">
        <v>3</v>
      </c>
      <c r="B241" s="102" t="s">
        <v>199</v>
      </c>
      <c r="C241" s="101"/>
      <c r="D241" s="102" t="s">
        <v>11</v>
      </c>
      <c r="E241" s="103"/>
      <c r="F241" s="103">
        <f>F224+F232+F235+F240</f>
        <v>1963</v>
      </c>
      <c r="G241" s="103"/>
      <c r="H241" s="103">
        <f t="shared" ref="H241:I241" si="82">H224+H232+H235+H240</f>
        <v>29850</v>
      </c>
      <c r="I241" s="103">
        <f t="shared" si="82"/>
        <v>31813</v>
      </c>
      <c r="J241" s="104"/>
      <c r="K241" s="58">
        <f>H241+F241</f>
        <v>31813</v>
      </c>
    </row>
    <row r="242" spans="1:11" s="90" customFormat="1" ht="20" customHeight="1">
      <c r="A242" s="205"/>
      <c r="B242" s="87"/>
      <c r="C242" s="86"/>
      <c r="D242" s="87"/>
      <c r="E242" s="88"/>
      <c r="F242" s="88"/>
      <c r="G242" s="88"/>
      <c r="H242" s="88"/>
      <c r="I242" s="88"/>
      <c r="J242" s="89"/>
      <c r="K242" s="106"/>
    </row>
    <row r="243" spans="1:11" s="111" customFormat="1" ht="20" customHeight="1">
      <c r="A243" s="208">
        <v>4</v>
      </c>
      <c r="B243" s="107" t="s">
        <v>278</v>
      </c>
      <c r="C243" s="108"/>
      <c r="D243" s="191"/>
      <c r="E243" s="108"/>
      <c r="F243" s="108"/>
      <c r="G243" s="108"/>
      <c r="H243" s="108"/>
      <c r="I243" s="109"/>
      <c r="J243" s="108"/>
      <c r="K243" s="110"/>
    </row>
    <row r="244" spans="1:11" ht="20" customHeight="1">
      <c r="A244" s="198"/>
      <c r="B244" s="4" t="s">
        <v>235</v>
      </c>
      <c r="C244" s="5">
        <v>1</v>
      </c>
      <c r="D244" s="6" t="s">
        <v>53</v>
      </c>
      <c r="E244" s="11">
        <v>1105</v>
      </c>
      <c r="F244" s="5">
        <f>E244*C244</f>
        <v>1105</v>
      </c>
      <c r="G244" s="33">
        <v>0</v>
      </c>
      <c r="H244" s="98">
        <f>C244*G244</f>
        <v>0</v>
      </c>
      <c r="I244" s="112">
        <f>H244+F244</f>
        <v>1105</v>
      </c>
      <c r="J244" s="24"/>
    </row>
    <row r="245" spans="1:11" ht="20" customHeight="1">
      <c r="A245" s="6"/>
      <c r="B245" s="4" t="s">
        <v>236</v>
      </c>
      <c r="C245" s="5">
        <f>11/6</f>
        <v>1.8333333333333333</v>
      </c>
      <c r="D245" s="6" t="s">
        <v>53</v>
      </c>
      <c r="E245" s="11">
        <v>810</v>
      </c>
      <c r="F245" s="5">
        <f t="shared" ref="F245:F265" si="83">E245*C245</f>
        <v>1485</v>
      </c>
      <c r="G245" s="33">
        <v>0</v>
      </c>
      <c r="H245" s="98">
        <f t="shared" ref="H245:H265" si="84">C245*G245</f>
        <v>0</v>
      </c>
      <c r="I245" s="112">
        <f t="shared" ref="I245:I265" si="85">H245+F245</f>
        <v>1485</v>
      </c>
      <c r="J245" s="24"/>
    </row>
    <row r="246" spans="1:11" ht="20" customHeight="1">
      <c r="A246" s="6"/>
      <c r="B246" s="4" t="s">
        <v>238</v>
      </c>
      <c r="C246" s="5">
        <f>12/6</f>
        <v>2</v>
      </c>
      <c r="D246" s="6" t="s">
        <v>53</v>
      </c>
      <c r="E246" s="11">
        <v>610</v>
      </c>
      <c r="F246" s="5">
        <f t="shared" si="83"/>
        <v>1220</v>
      </c>
      <c r="G246" s="33">
        <v>0</v>
      </c>
      <c r="H246" s="98">
        <f t="shared" si="84"/>
        <v>0</v>
      </c>
      <c r="I246" s="112">
        <f t="shared" si="85"/>
        <v>1220</v>
      </c>
      <c r="J246" s="24"/>
    </row>
    <row r="247" spans="1:11" ht="20" customHeight="1">
      <c r="A247" s="6"/>
      <c r="B247" s="4" t="s">
        <v>237</v>
      </c>
      <c r="C247" s="5">
        <f>18/3</f>
        <v>6</v>
      </c>
      <c r="D247" s="6" t="s">
        <v>53</v>
      </c>
      <c r="E247" s="11">
        <v>395</v>
      </c>
      <c r="F247" s="5">
        <f t="shared" si="83"/>
        <v>2370</v>
      </c>
      <c r="G247" s="33">
        <v>0</v>
      </c>
      <c r="H247" s="98">
        <f t="shared" si="84"/>
        <v>0</v>
      </c>
      <c r="I247" s="112">
        <f t="shared" si="85"/>
        <v>2370</v>
      </c>
      <c r="J247" s="24"/>
    </row>
    <row r="248" spans="1:11" ht="20" customHeight="1">
      <c r="A248" s="198"/>
      <c r="B248" s="4" t="s">
        <v>239</v>
      </c>
      <c r="C248" s="5">
        <f>7/6</f>
        <v>1.1666666666666667</v>
      </c>
      <c r="D248" s="6" t="s">
        <v>60</v>
      </c>
      <c r="E248" s="11">
        <v>49</v>
      </c>
      <c r="F248" s="5">
        <f t="shared" si="83"/>
        <v>57.166666666666671</v>
      </c>
      <c r="G248" s="33">
        <v>0</v>
      </c>
      <c r="H248" s="98">
        <f t="shared" si="84"/>
        <v>0</v>
      </c>
      <c r="I248" s="112">
        <f t="shared" si="85"/>
        <v>57.166666666666671</v>
      </c>
      <c r="J248" s="24"/>
    </row>
    <row r="249" spans="1:11" ht="20" customHeight="1">
      <c r="A249" s="198"/>
      <c r="B249" s="4" t="s">
        <v>240</v>
      </c>
      <c r="C249" s="5">
        <f>7/6</f>
        <v>1.1666666666666667</v>
      </c>
      <c r="D249" s="6" t="s">
        <v>60</v>
      </c>
      <c r="E249" s="11">
        <v>39</v>
      </c>
      <c r="F249" s="5">
        <f t="shared" si="83"/>
        <v>45.5</v>
      </c>
      <c r="G249" s="33">
        <v>0</v>
      </c>
      <c r="H249" s="98">
        <f t="shared" si="84"/>
        <v>0</v>
      </c>
      <c r="I249" s="112">
        <f t="shared" si="85"/>
        <v>45.5</v>
      </c>
      <c r="J249" s="24"/>
    </row>
    <row r="250" spans="1:11" ht="20" customHeight="1">
      <c r="A250" s="198"/>
      <c r="B250" s="4" t="s">
        <v>241</v>
      </c>
      <c r="C250" s="5">
        <f>2/6</f>
        <v>0.33333333333333331</v>
      </c>
      <c r="D250" s="6" t="s">
        <v>53</v>
      </c>
      <c r="E250" s="11">
        <v>285</v>
      </c>
      <c r="F250" s="5">
        <f t="shared" si="83"/>
        <v>95</v>
      </c>
      <c r="G250" s="33">
        <v>0</v>
      </c>
      <c r="H250" s="98">
        <f t="shared" si="84"/>
        <v>0</v>
      </c>
      <c r="I250" s="112">
        <f t="shared" si="85"/>
        <v>95</v>
      </c>
      <c r="J250" s="24"/>
    </row>
    <row r="251" spans="1:11" ht="20" customHeight="1">
      <c r="A251" s="198"/>
      <c r="B251" s="4" t="s">
        <v>222</v>
      </c>
      <c r="C251" s="5">
        <f>13/6</f>
        <v>2.1666666666666665</v>
      </c>
      <c r="D251" s="6" t="s">
        <v>53</v>
      </c>
      <c r="E251" s="11">
        <v>250</v>
      </c>
      <c r="F251" s="5">
        <f t="shared" si="83"/>
        <v>541.66666666666663</v>
      </c>
      <c r="G251" s="33">
        <v>0</v>
      </c>
      <c r="H251" s="98">
        <f t="shared" si="84"/>
        <v>0</v>
      </c>
      <c r="I251" s="112">
        <f t="shared" si="85"/>
        <v>541.66666666666663</v>
      </c>
      <c r="J251" s="24"/>
    </row>
    <row r="252" spans="1:11" ht="20" customHeight="1">
      <c r="A252" s="198"/>
      <c r="B252" s="4" t="s">
        <v>243</v>
      </c>
      <c r="C252" s="5">
        <f>51/6</f>
        <v>8.5</v>
      </c>
      <c r="D252" s="6" t="s">
        <v>123</v>
      </c>
      <c r="E252" s="11">
        <v>212</v>
      </c>
      <c r="F252" s="5">
        <f t="shared" si="83"/>
        <v>1802</v>
      </c>
      <c r="G252" s="33">
        <v>0</v>
      </c>
      <c r="H252" s="98">
        <f t="shared" si="84"/>
        <v>0</v>
      </c>
      <c r="I252" s="112">
        <f t="shared" si="85"/>
        <v>1802</v>
      </c>
      <c r="J252" s="24"/>
    </row>
    <row r="253" spans="1:11" ht="20" customHeight="1">
      <c r="A253" s="198"/>
      <c r="B253" s="4" t="s">
        <v>244</v>
      </c>
      <c r="C253" s="5">
        <f>200/6</f>
        <v>33.333333333333336</v>
      </c>
      <c r="D253" s="6" t="s">
        <v>82</v>
      </c>
      <c r="E253" s="11">
        <v>2.7</v>
      </c>
      <c r="F253" s="5">
        <f t="shared" si="83"/>
        <v>90.000000000000014</v>
      </c>
      <c r="G253" s="33">
        <v>0</v>
      </c>
      <c r="H253" s="98">
        <f t="shared" si="84"/>
        <v>0</v>
      </c>
      <c r="I253" s="112">
        <f t="shared" si="85"/>
        <v>90.000000000000014</v>
      </c>
      <c r="J253" s="24"/>
    </row>
    <row r="254" spans="1:11" ht="20" customHeight="1">
      <c r="A254" s="198"/>
      <c r="B254" s="4" t="s">
        <v>63</v>
      </c>
      <c r="C254" s="5">
        <f>1/6</f>
        <v>0.16666666666666666</v>
      </c>
      <c r="D254" s="6" t="s">
        <v>64</v>
      </c>
      <c r="E254" s="5">
        <v>1500</v>
      </c>
      <c r="F254" s="5">
        <f t="shared" si="83"/>
        <v>250</v>
      </c>
      <c r="G254" s="33">
        <v>0</v>
      </c>
      <c r="H254" s="98">
        <f t="shared" si="84"/>
        <v>0</v>
      </c>
      <c r="I254" s="112">
        <f t="shared" si="85"/>
        <v>250</v>
      </c>
      <c r="J254" s="4"/>
    </row>
    <row r="255" spans="1:11" ht="20" customHeight="1">
      <c r="A255" s="198"/>
      <c r="B255" s="4" t="s">
        <v>65</v>
      </c>
      <c r="C255" s="5">
        <v>0.5</v>
      </c>
      <c r="D255" s="6" t="s">
        <v>66</v>
      </c>
      <c r="E255" s="11">
        <v>1189</v>
      </c>
      <c r="F255" s="5">
        <f t="shared" si="83"/>
        <v>594.5</v>
      </c>
      <c r="G255" s="33">
        <v>0</v>
      </c>
      <c r="H255" s="98">
        <f t="shared" si="84"/>
        <v>0</v>
      </c>
      <c r="I255" s="112">
        <f t="shared" si="85"/>
        <v>594.5</v>
      </c>
      <c r="J255" s="4"/>
    </row>
    <row r="256" spans="1:11" ht="20" customHeight="1">
      <c r="A256" s="198"/>
      <c r="B256" s="4" t="s">
        <v>67</v>
      </c>
      <c r="C256" s="5">
        <f>1/6</f>
        <v>0.16666666666666666</v>
      </c>
      <c r="D256" s="6" t="s">
        <v>66</v>
      </c>
      <c r="E256" s="11">
        <v>499</v>
      </c>
      <c r="F256" s="5">
        <f t="shared" si="83"/>
        <v>83.166666666666657</v>
      </c>
      <c r="G256" s="33">
        <v>0</v>
      </c>
      <c r="H256" s="98">
        <f t="shared" si="84"/>
        <v>0</v>
      </c>
      <c r="I256" s="112">
        <f t="shared" si="85"/>
        <v>83.166666666666657</v>
      </c>
      <c r="J256" s="4"/>
    </row>
    <row r="257" spans="1:11" ht="20" customHeight="1">
      <c r="A257" s="198"/>
      <c r="B257" s="4" t="s">
        <v>68</v>
      </c>
      <c r="C257" s="113">
        <v>1</v>
      </c>
      <c r="D257" s="6" t="s">
        <v>69</v>
      </c>
      <c r="E257" s="5">
        <v>98</v>
      </c>
      <c r="F257" s="5">
        <f t="shared" si="83"/>
        <v>98</v>
      </c>
      <c r="G257" s="33">
        <v>0</v>
      </c>
      <c r="H257" s="98">
        <f t="shared" si="84"/>
        <v>0</v>
      </c>
      <c r="I257" s="112">
        <f t="shared" si="85"/>
        <v>98</v>
      </c>
      <c r="J257" s="4"/>
    </row>
    <row r="258" spans="1:11" s="119" customFormat="1" ht="20" customHeight="1">
      <c r="A258" s="209"/>
      <c r="B258" s="114" t="s">
        <v>255</v>
      </c>
      <c r="C258" s="115">
        <v>80</v>
      </c>
      <c r="D258" s="31" t="s">
        <v>263</v>
      </c>
      <c r="E258" s="115">
        <v>0</v>
      </c>
      <c r="F258" s="5">
        <f t="shared" si="83"/>
        <v>0</v>
      </c>
      <c r="G258" s="116">
        <v>23.291666666666668</v>
      </c>
      <c r="H258" s="98">
        <f t="shared" si="84"/>
        <v>1863.3333333333335</v>
      </c>
      <c r="I258" s="112">
        <f t="shared" si="85"/>
        <v>1863.3333333333335</v>
      </c>
      <c r="J258" s="117"/>
      <c r="K258" s="118"/>
    </row>
    <row r="259" spans="1:11" s="119" customFormat="1" ht="20" customHeight="1">
      <c r="A259" s="31"/>
      <c r="B259" s="120" t="s">
        <v>256</v>
      </c>
      <c r="C259" s="115">
        <v>250</v>
      </c>
      <c r="D259" s="34" t="s">
        <v>123</v>
      </c>
      <c r="E259" s="115">
        <v>0</v>
      </c>
      <c r="F259" s="5">
        <f t="shared" si="83"/>
        <v>0</v>
      </c>
      <c r="G259" s="121">
        <v>6.4533333333333331</v>
      </c>
      <c r="H259" s="98">
        <f t="shared" si="84"/>
        <v>1613.3333333333333</v>
      </c>
      <c r="I259" s="112">
        <f t="shared" si="85"/>
        <v>1613.3333333333333</v>
      </c>
      <c r="J259" s="117"/>
      <c r="K259" s="118"/>
    </row>
    <row r="260" spans="1:11" s="119" customFormat="1" ht="20" customHeight="1">
      <c r="A260" s="31"/>
      <c r="B260" s="122" t="s">
        <v>257</v>
      </c>
      <c r="C260" s="115">
        <v>35</v>
      </c>
      <c r="D260" s="31" t="s">
        <v>123</v>
      </c>
      <c r="E260" s="115">
        <v>0</v>
      </c>
      <c r="F260" s="5">
        <f t="shared" si="83"/>
        <v>0</v>
      </c>
      <c r="G260" s="121">
        <v>17.5</v>
      </c>
      <c r="H260" s="98">
        <f t="shared" si="84"/>
        <v>612.5</v>
      </c>
      <c r="I260" s="112">
        <f t="shared" si="85"/>
        <v>612.5</v>
      </c>
      <c r="J260" s="117"/>
      <c r="K260" s="118"/>
    </row>
    <row r="261" spans="1:11" s="119" customFormat="1" ht="20" customHeight="1">
      <c r="A261" s="31"/>
      <c r="B261" s="114" t="s">
        <v>258</v>
      </c>
      <c r="C261" s="123">
        <v>500</v>
      </c>
      <c r="D261" s="31" t="s">
        <v>21</v>
      </c>
      <c r="E261" s="115">
        <v>0</v>
      </c>
      <c r="F261" s="5">
        <f t="shared" si="83"/>
        <v>0</v>
      </c>
      <c r="G261" s="116">
        <v>1.3333333333333333</v>
      </c>
      <c r="H261" s="98">
        <f t="shared" si="84"/>
        <v>666.66666666666663</v>
      </c>
      <c r="I261" s="112">
        <f t="shared" si="85"/>
        <v>666.66666666666663</v>
      </c>
      <c r="J261" s="117"/>
      <c r="K261" s="118"/>
    </row>
    <row r="262" spans="1:11" s="119" customFormat="1" ht="20" customHeight="1">
      <c r="A262" s="209"/>
      <c r="B262" s="120" t="s">
        <v>259</v>
      </c>
      <c r="C262" s="124">
        <v>35</v>
      </c>
      <c r="D262" s="34" t="s">
        <v>263</v>
      </c>
      <c r="E262" s="115">
        <v>0</v>
      </c>
      <c r="F262" s="5">
        <f t="shared" si="83"/>
        <v>0</v>
      </c>
      <c r="G262" s="125">
        <v>18.900000000000002</v>
      </c>
      <c r="H262" s="98">
        <f t="shared" si="84"/>
        <v>661.50000000000011</v>
      </c>
      <c r="I262" s="112">
        <f t="shared" si="85"/>
        <v>661.50000000000011</v>
      </c>
      <c r="J262" s="117"/>
      <c r="K262" s="118"/>
    </row>
    <row r="263" spans="1:11" s="119" customFormat="1" ht="20" customHeight="1">
      <c r="A263" s="209"/>
      <c r="B263" s="122" t="s">
        <v>260</v>
      </c>
      <c r="C263" s="124">
        <v>25</v>
      </c>
      <c r="D263" s="31" t="s">
        <v>263</v>
      </c>
      <c r="E263" s="115">
        <v>0</v>
      </c>
      <c r="F263" s="5">
        <f t="shared" si="83"/>
        <v>0</v>
      </c>
      <c r="G263" s="125">
        <v>18.900000000000002</v>
      </c>
      <c r="H263" s="98">
        <f t="shared" si="84"/>
        <v>472.50000000000006</v>
      </c>
      <c r="I263" s="112">
        <f t="shared" si="85"/>
        <v>472.50000000000006</v>
      </c>
      <c r="J263" s="117"/>
      <c r="K263" s="118"/>
    </row>
    <row r="264" spans="1:11" s="119" customFormat="1" ht="20" customHeight="1">
      <c r="A264" s="209"/>
      <c r="B264" s="122" t="s">
        <v>261</v>
      </c>
      <c r="C264" s="124">
        <v>300</v>
      </c>
      <c r="D264" s="192" t="s">
        <v>264</v>
      </c>
      <c r="E264" s="115">
        <v>0</v>
      </c>
      <c r="F264" s="5">
        <f t="shared" si="83"/>
        <v>0</v>
      </c>
      <c r="G264" s="121">
        <v>1</v>
      </c>
      <c r="H264" s="98">
        <f t="shared" si="84"/>
        <v>300</v>
      </c>
      <c r="I264" s="112">
        <f t="shared" si="85"/>
        <v>300</v>
      </c>
      <c r="J264" s="117"/>
      <c r="K264" s="118"/>
    </row>
    <row r="265" spans="1:11" s="119" customFormat="1" ht="20" customHeight="1">
      <c r="A265" s="209"/>
      <c r="B265" s="114" t="s">
        <v>262</v>
      </c>
      <c r="C265" s="124">
        <v>55</v>
      </c>
      <c r="D265" s="34" t="s">
        <v>123</v>
      </c>
      <c r="E265" s="115">
        <v>0</v>
      </c>
      <c r="F265" s="5">
        <f t="shared" si="83"/>
        <v>0</v>
      </c>
      <c r="G265" s="116">
        <v>6.47</v>
      </c>
      <c r="H265" s="98">
        <f t="shared" si="84"/>
        <v>355.84999999999997</v>
      </c>
      <c r="I265" s="112">
        <f t="shared" si="85"/>
        <v>355.84999999999997</v>
      </c>
      <c r="J265" s="117"/>
      <c r="K265" s="118"/>
    </row>
    <row r="266" spans="1:11" s="131" customFormat="1" ht="20" customHeight="1">
      <c r="A266" s="210">
        <v>4</v>
      </c>
      <c r="B266" s="127" t="s">
        <v>221</v>
      </c>
      <c r="C266" s="126"/>
      <c r="D266" s="127" t="s">
        <v>11</v>
      </c>
      <c r="E266" s="128"/>
      <c r="F266" s="129">
        <f>SUM(F244:F265)</f>
        <v>9837</v>
      </c>
      <c r="G266" s="129"/>
      <c r="H266" s="129">
        <f t="shared" ref="H266:I266" si="86">SUM(H244:H265)</f>
        <v>6545.6833333333343</v>
      </c>
      <c r="I266" s="129">
        <f t="shared" si="86"/>
        <v>16382.683333333334</v>
      </c>
      <c r="J266" s="130"/>
      <c r="K266" s="58">
        <f>H266+F266</f>
        <v>16382.683333333334</v>
      </c>
    </row>
    <row r="269" spans="1:11" ht="20" customHeight="1">
      <c r="A269" s="193">
        <f>A66</f>
        <v>1</v>
      </c>
      <c r="B269" s="143" t="str">
        <f>B66</f>
        <v>รวมค่างานโครงสร้างวิศวกรรมทั้งหมด</v>
      </c>
      <c r="C269" s="143"/>
      <c r="D269" s="193" t="str">
        <f>D66</f>
        <v>รวม</v>
      </c>
      <c r="E269" s="143"/>
      <c r="F269" s="144">
        <f>F66</f>
        <v>110913.89039339942</v>
      </c>
      <c r="G269" s="144"/>
      <c r="H269" s="144">
        <f>H66</f>
        <v>38008.666666666664</v>
      </c>
      <c r="I269" s="144">
        <f>I66</f>
        <v>148922.55706006609</v>
      </c>
      <c r="J269" s="143"/>
    </row>
    <row r="270" spans="1:11" ht="20" customHeight="1">
      <c r="A270" s="193">
        <f>A215</f>
        <v>2</v>
      </c>
      <c r="B270" s="143" t="str">
        <f>B215</f>
        <v>รวมค่างานสถาปัตยกรรมทั้งหมด</v>
      </c>
      <c r="C270" s="143"/>
      <c r="D270" s="193" t="str">
        <f>D215</f>
        <v>รวม</v>
      </c>
      <c r="E270" s="143"/>
      <c r="F270" s="144">
        <f>F215</f>
        <v>107661.12442867717</v>
      </c>
      <c r="G270" s="144"/>
      <c r="H270" s="144">
        <f>H215</f>
        <v>127962.35</v>
      </c>
      <c r="I270" s="144">
        <f>I215</f>
        <v>235623.47442867717</v>
      </c>
      <c r="J270" s="143"/>
    </row>
    <row r="271" spans="1:11" ht="20" customHeight="1">
      <c r="A271" s="193">
        <f>A241</f>
        <v>3</v>
      </c>
      <c r="B271" s="143" t="str">
        <f>B241</f>
        <v xml:space="preserve">รวมค่างานระบบไฟฟ้าและสื่อสารทั้งหมด </v>
      </c>
      <c r="C271" s="143"/>
      <c r="D271" s="193" t="str">
        <f>D241</f>
        <v>รวม</v>
      </c>
      <c r="E271" s="143"/>
      <c r="F271" s="144">
        <f>F241</f>
        <v>1963</v>
      </c>
      <c r="G271" s="144"/>
      <c r="H271" s="144">
        <f>H241</f>
        <v>29850</v>
      </c>
      <c r="I271" s="144">
        <f>I241</f>
        <v>31813</v>
      </c>
      <c r="J271" s="143"/>
    </row>
    <row r="272" spans="1:11" ht="20" customHeight="1">
      <c r="A272" s="193">
        <f>A266</f>
        <v>4</v>
      </c>
      <c r="B272" s="143" t="str">
        <f>B266</f>
        <v xml:space="preserve">รวมค่างานต่อเติมหลังคาที่จอดรถหน้าทั้งหมด </v>
      </c>
      <c r="C272" s="143"/>
      <c r="D272" s="193" t="str">
        <f>D266</f>
        <v>รวม</v>
      </c>
      <c r="E272" s="143"/>
      <c r="F272" s="144">
        <f>F266</f>
        <v>9837</v>
      </c>
      <c r="G272" s="144"/>
      <c r="H272" s="144">
        <f>H266</f>
        <v>6545.6833333333343</v>
      </c>
      <c r="I272" s="144">
        <f>I266</f>
        <v>16382.683333333334</v>
      </c>
      <c r="J272" s="143"/>
    </row>
    <row r="273" spans="1:11" ht="20" customHeight="1">
      <c r="A273" s="229" t="s">
        <v>279</v>
      </c>
      <c r="B273" s="230"/>
      <c r="C273" s="230"/>
      <c r="D273" s="231"/>
      <c r="E273" s="145"/>
      <c r="F273" s="146">
        <f t="shared" ref="F273:H273" si="87">SUM(F269:F272)</f>
        <v>230375.0148220766</v>
      </c>
      <c r="G273" s="146"/>
      <c r="H273" s="146">
        <f t="shared" si="87"/>
        <v>202366.7</v>
      </c>
      <c r="I273" s="147">
        <f>SUM(I269:I272)</f>
        <v>432741.71482207661</v>
      </c>
      <c r="J273" s="145"/>
      <c r="K273" s="73">
        <f>SUM(K1:K272)</f>
        <v>849100.7463108201</v>
      </c>
    </row>
    <row r="274" spans="1:11" ht="20" customHeight="1">
      <c r="F274" s="73"/>
      <c r="G274" s="73"/>
      <c r="H274" s="73"/>
      <c r="I274" s="142"/>
    </row>
    <row r="275" spans="1:11" ht="20" customHeight="1">
      <c r="F275" s="73"/>
      <c r="G275" s="73"/>
      <c r="H275" s="73"/>
      <c r="I275" s="142"/>
    </row>
    <row r="276" spans="1:11" ht="20" customHeight="1">
      <c r="F276" s="148"/>
      <c r="G276" s="148"/>
      <c r="H276" s="148"/>
      <c r="I276" s="149"/>
    </row>
  </sheetData>
  <mergeCells count="9">
    <mergeCell ref="A273:D273"/>
    <mergeCell ref="A1:J1"/>
    <mergeCell ref="A4:A5"/>
    <mergeCell ref="B4:B5"/>
    <mergeCell ref="C4:C5"/>
    <mergeCell ref="D4:D5"/>
    <mergeCell ref="E4:F4"/>
    <mergeCell ref="G4:H4"/>
    <mergeCell ref="J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หลังริม</vt:lpstr>
      <vt:lpstr>จำนวนโครงการ </vt:lpstr>
      <vt:lpstr>หลังกลาง</vt:lpstr>
      <vt:lpstr>บ้านแถว 4 หลังNL</vt:lpstr>
      <vt:lpstr>บ้านแถว 6 หลัง</vt:lpstr>
      <vt:lpstr>บ้านแถว 8 หลังPL</vt:lpstr>
      <vt:lpstr>บ้านแถว 7 หลังPL</vt:lpstr>
      <vt:lpstr>สำนักงานขายPL</vt:lpstr>
      <vt:lpstr>'บ้านแถว 4 หลังNL'!Print_Area</vt:lpstr>
      <vt:lpstr>'บ้านแถว 6 หลัง'!Print_Area</vt:lpstr>
      <vt:lpstr>'บ้านแถว 7 หลังPL'!Print_Area</vt:lpstr>
      <vt:lpstr>'บ้านแถว 8 หลังPL'!Print_Area</vt:lpstr>
      <vt:lpstr>หลังกลาง!Print_Area</vt:lpstr>
      <vt:lpstr>หลังริม!Print_Area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book</dc:creator>
  <cp:lastModifiedBy>nattawut</cp:lastModifiedBy>
  <cp:lastPrinted>2024-03-05T03:42:54Z</cp:lastPrinted>
  <dcterms:created xsi:type="dcterms:W3CDTF">2023-12-05T07:38:42Z</dcterms:created>
  <dcterms:modified xsi:type="dcterms:W3CDTF">2026-06-19T10:18:03Z</dcterms:modified>
</cp:coreProperties>
</file>