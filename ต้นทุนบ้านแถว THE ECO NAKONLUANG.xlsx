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f26af46198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บ้านแถว B24" sheetId="1" r:id="Re81d936850684ec7"/>
    <x:sheet xmlns:r="http://schemas.openxmlformats.org/officeDocument/2006/relationships" name="บ้านแถว B25" sheetId="2" r:id="R95359bf0c3554171"/>
    <x:sheet xmlns:r="http://schemas.openxmlformats.org/officeDocument/2006/relationships" name="บ้านแถว B26" sheetId="3" r:id="R69a12f693bc84e44"/>
    <x:sheet xmlns:r="http://schemas.openxmlformats.org/officeDocument/2006/relationships" name="บ้านแถว B27" sheetId="4" r:id="R45e15ce5c8254ed2"/>
    <x:sheet xmlns:r="http://schemas.openxmlformats.org/officeDocument/2006/relationships" name="บ้านแถว B28" sheetId="5" r:id="Re6a5c70da7824ebe"/>
    <x:sheet xmlns:r="http://schemas.openxmlformats.org/officeDocument/2006/relationships" name="บ้านแถว B30" sheetId="6" r:id="R74adc87049a44e0a"/>
    <x:sheet xmlns:r="http://schemas.openxmlformats.org/officeDocument/2006/relationships" name="บ้านแถว B31" sheetId="7" r:id="R8b4a8a7aa5744cc7"/>
    <x:sheet xmlns:r="http://schemas.openxmlformats.org/officeDocument/2006/relationships" name="บ้านแถว B33" sheetId="8" r:id="Re7624fe284a44ac0"/>
    <x:sheet xmlns:r="http://schemas.openxmlformats.org/officeDocument/2006/relationships" name="บ้านแถว B34" sheetId="9" r:id="R3cdb35f5bac84cf3"/>
    <x:sheet xmlns:r="http://schemas.openxmlformats.org/officeDocument/2006/relationships" name="บ้านแถว B36" sheetId="10" r:id="R548682b3062b45ab"/>
    <x:sheet xmlns:r="http://schemas.openxmlformats.org/officeDocument/2006/relationships" name="บ้านแถว B38" sheetId="11" r:id="R4bd3f4779a79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43" formatCode="_-* #,##0.00_-;\-* #,##0.00_-;_-* &quot;-&quot;??_-;_-@_-"/>
    <x:numFmt numFmtId="164" formatCode="_-* #,##0_-;\-* #,##0_-;_-* &quot;-&quot;??_-;_-@_-"/>
    <x:numFmt numFmtId="165" formatCode="_(* #,##0.00_);_(* \(#,##0.00\);_(* &quot;-&quot;??_);_(@_)"/>
  </x:numFmts>
  <x:fonts count="17">
    <x:font>
      <x:sz val="11"/>
      <x:color theme="1"/>
      <x:name val="Calibri"/>
    </x:font>
    <x:font>
      <x:sz val="11"/>
      <x:color theme="1"/>
      <x:name val="Calibri"/>
    </x:font>
    <x:font>
      <x:sz val="10"/>
      <x:name val="Arial"/>
    </x:font>
    <x:font>
      <x:sz val="14"/>
      <x:color theme="1"/>
      <x:name val="Angsana New"/>
    </x:font>
    <x:font>
      <x:b/>
      <x:sz val="14"/>
      <x:color theme="1"/>
      <x:name val="Angsana New"/>
    </x:font>
    <x:font>
      <x:sz val="14"/>
      <x:color rgb="FFFF0000"/>
      <x:name val="Angsana New"/>
    </x:font>
    <x:font>
      <x:sz val="14"/>
      <x:name val="Angsana New"/>
    </x:font>
    <x:font>
      <x:b/>
      <x:sz val="14"/>
      <x:color rgb="FFFF0000"/>
      <x:name val="Angsana New"/>
    </x:font>
    <x:font>
      <x:b/>
      <x:sz val="14"/>
      <x:name val="Angsana New"/>
    </x:font>
    <x:font>
      <x:sz val="11"/>
      <x:color theme="1"/>
      <x:name val="Angsana New"/>
    </x:font>
    <x:font>
      <x:b/>
      <x:sz val="11"/>
      <x:color theme="1"/>
      <x:name val="Angsana New"/>
    </x:font>
    <x:font>
      <x:b/>
      <x:sz val="11"/>
      <x:name val="Angsana New"/>
    </x:font>
    <x:font>
      <x:sz val="11"/>
      <x:name val="Angsana New"/>
    </x:font>
    <x:font>
      <x:sz val="14"/>
      <x:color theme="1"/>
      <x:name val="Angsana New"/>
    </x:font>
    <x:font>
      <x:b/>
      <x:sz val="14"/>
      <x:color theme="1"/>
      <x:name val="Angsana New"/>
    </x:font>
    <x:font>
      <x:b/>
      <x:sz val="16"/>
      <x:color theme="1"/>
      <x:name val="Angsana New"/>
    </x:font>
    <x:font>
      <x:sz val="16"/>
      <x:color theme="1"/>
      <x:name val="Angsana New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B050"/>
      </x:patternFill>
    </x:fill>
    <x:fill>
      <x:patternFill patternType="solid">
        <x:fgColor rgb="FF92D050"/>
      </x:patternFill>
    </x:fill>
    <x:fill>
      <x:patternFill patternType="solid">
        <x:fgColor rgb="FF00B0F0"/>
      </x:patternFill>
    </x:fill>
    <x:fill>
      <x:patternFill patternType="solid">
        <x:fgColor theme="0" tint="-0.15"/>
      </x:patternFill>
    </x:fill>
    <x:fill>
      <x:patternFill patternType="solid">
        <x:fgColor theme="9" tint="0.59999"/>
      </x:patternFill>
    </x:fill>
    <x:fill>
      <x:patternFill patternType="solid">
        <x:fgColor theme="7" tint="0.59999"/>
      </x:patternFill>
    </x:fill>
  </x:fills>
  <x:borders count="19">
    <x:border/>
    <x:border>
      <x:left style="thin"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bottom style="double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right style="thin">
        <x:color indexed="64"/>
      </x:right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</x:borders>
  <x:cellStyleXfs count="4">
    <x:xf numFmtId="0" fontId="0" fillId="0" borderId="0"/>
    <x:xf numFmtId="43" fontId="1" fillId="0" borderId="0" applyFont="0" applyFill="0" applyBorder="0" applyAlignment="0" applyProtection="0"/>
    <x:xf numFmtId="0" fontId="2" fillId="0" borderId="0"/>
    <x:xf numFmtId="165" fontId="2" fillId="0" borderId="0" applyFont="0" applyFill="0" applyBorder="0" applyAlignment="0" applyProtection="0"/>
  </x:cellStyleXfs>
  <x:cellXfs count="270">
    <x:xf numFmtId="0" fontId="0" fillId="0" borderId="0" xfId="0"/>
    <x:xf numFmtId="164" fontId="4" fillId="4" borderId="6" xfId="1" applyNumberFormat="1" applyFont="1" applyFill="1" applyBorder="1" applyAlignment="1">
      <x:alignment vertical="center"/>
    </x:xf>
    <x:xf numFmtId="0" fontId="4" fillId="4" borderId="6" xfId="0" applyFont="1" applyFill="1" applyBorder="1" applyAlignment="1">
      <x:alignment vertical="center"/>
    </x:xf>
    <x:xf numFmtId="0" fontId="3" fillId="4" borderId="6" xfId="0" applyFont="1" applyFill="1" applyBorder="1" applyAlignment="1">
      <x:alignment vertical="center"/>
    </x:xf>
    <x:xf numFmtId="164" fontId="3" fillId="0" borderId="6" xfId="1" applyNumberFormat="1" applyFont="1" applyBorder="1" applyAlignment="1">
      <x:alignment vertical="center"/>
    </x:xf>
    <x:xf numFmtId="0" fontId="4" fillId="0" borderId="6" xfId="0" applyFont="1" applyBorder="1" applyAlignment="1">
      <x:alignment horizontal="left" vertical="center"/>
    </x:xf>
    <x:xf numFmtId="0" fontId="3" fillId="0" borderId="6" xfId="0" applyFont="1" applyBorder="1" applyAlignment="1">
      <x:alignment vertical="center"/>
    </x:xf>
    <x:xf numFmtId="164" fontId="4" fillId="6" borderId="6" xfId="1" applyNumberFormat="1" applyFont="1" applyFill="1" applyBorder="1" applyAlignment="1">
      <x:alignment vertical="center"/>
    </x:xf>
    <x:xf numFmtId="0" fontId="4" fillId="6" borderId="6" xfId="0" applyFont="1" applyFill="1" applyBorder="1" applyAlignment="1">
      <x:alignment horizontal="center" vertical="center"/>
    </x:xf>
    <x:xf numFmtId="0" fontId="4" fillId="6" borderId="6" xfId="0" applyFont="1" applyFill="1" applyBorder="1" applyAlignment="1">
      <x:alignment vertical="center"/>
    </x:xf>
    <x:xf numFmtId="0" fontId="3" fillId="0" borderId="6" xfId="0" applyFont="1" applyBorder="1" applyAlignment="1">
      <x:alignment horizontal="left" vertical="center"/>
    </x:xf>
    <x:xf numFmtId="0" fontId="4" fillId="6" borderId="6" xfId="0" applyFont="1" applyFill="1" applyBorder="1" applyAlignment="1">
      <x:alignment horizontal="left" vertical="center"/>
    </x:xf>
    <x:xf numFmtId="43" fontId="8" fillId="6" borderId="6" xfId="1" applyFont="1" applyFill="1" applyBorder="1" applyAlignment="1">
      <x:alignment vertical="center"/>
    </x:xf>
    <x:xf numFmtId="164" fontId="3" fillId="0" borderId="5" xfId="1" applyNumberFormat="1" applyFont="1" applyBorder="1" applyAlignment="1">
      <x:alignment vertical="center"/>
    </x:xf>
    <x:xf numFmtId="0" fontId="4" fillId="0" borderId="5" xfId="0" applyFont="1" applyBorder="1" applyAlignment="1">
      <x:alignment horizontal="left" vertical="center"/>
    </x:xf>
    <x:xf numFmtId="0" fontId="3" fillId="0" borderId="5" xfId="0" applyFont="1" applyBorder="1" applyAlignment="1">
      <x:alignment vertical="center"/>
    </x:xf>
    <x:xf numFmtId="0" fontId="5" fillId="0" borderId="6" xfId="0" applyFont="1" applyBorder="1" applyAlignment="1">
      <x:alignment vertical="center"/>
    </x:xf>
    <x:xf numFmtId="164" fontId="8" fillId="4" borderId="7" xfId="1" applyNumberFormat="1" applyFont="1" applyFill="1" applyBorder="1" applyAlignment="1">
      <x:alignment vertical="center"/>
    </x:xf>
    <x:xf numFmtId="0" fontId="8" fillId="4" borderId="7" xfId="0" applyFont="1" applyFill="1" applyBorder="1" applyAlignment="1">
      <x:alignment horizontal="center" vertical="center"/>
    </x:xf>
    <x:xf numFmtId="0" fontId="8" fillId="4" borderId="7" xfId="0" applyFont="1" applyFill="1" applyBorder="1" applyAlignment="1">
      <x:alignment vertical="center"/>
    </x:xf>
    <x:xf numFmtId="0" fontId="3" fillId="0" borderId="9" xfId="0" applyFont="1" applyBorder="1" applyAlignment="1">
      <x:alignment vertical="center"/>
    </x:xf>
    <x:xf numFmtId="0" fontId="9" fillId="0" borderId="0" xfId="0" applyFont="1"/>
    <x:xf numFmtId="0" fontId="4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3" fillId="0" borderId="0" xfId="0" applyFont="1"/>
    <x:xf numFmtId="0" fontId="6" fillId="0" borderId="0" xfId="0" applyFont="1"/>
    <x:xf numFmtId="0" fontId="9" fillId="6" borderId="0" xfId="0" applyFont="1" applyFill="1"/>
    <x:xf numFmtId="0" fontId="9" fillId="4" borderId="0" xfId="0" applyFont="1" applyFill="1"/>
    <x:xf numFmtId="0" fontId="10" fillId="6" borderId="0" xfId="0" applyFont="1" applyFill="1"/>
    <x:xf numFmtId="164" fontId="4" fillId="4" borderId="7" xfId="1" applyNumberFormat="1" applyFont="1" applyFill="1" applyBorder="1" applyAlignment="1">
      <x:alignment vertical="center"/>
    </x:xf>
    <x:xf numFmtId="0" fontId="4" fillId="4" borderId="7" xfId="0" applyFont="1" applyFill="1" applyBorder="1" applyAlignment="1">
      <x:alignment horizontal="center" vertical="center"/>
    </x:xf>
    <x:xf numFmtId="0" fontId="3" fillId="4" borderId="7" xfId="0" applyFont="1" applyFill="1" applyBorder="1" applyAlignment="1">
      <x:alignment vertical="center"/>
    </x:xf>
    <x:xf numFmtId="164" fontId="4" fillId="0" borderId="9" xfId="1" applyNumberFormat="1" applyFont="1" applyFill="1" applyBorder="1" applyAlignment="1">
      <x:alignment vertical="center"/>
    </x:xf>
    <x:xf numFmtId="0" fontId="4" fillId="0" borderId="9" xfId="0" applyFont="1" applyFill="1" applyBorder="1" applyAlignment="1">
      <x:alignment horizontal="center" vertical="center"/>
    </x:xf>
    <x:xf numFmtId="0" fontId="3" fillId="0" borderId="9" xfId="0" applyFont="1" applyFill="1" applyBorder="1" applyAlignment="1">
      <x:alignment vertical="center"/>
    </x:xf>
    <x:xf numFmtId="164" fontId="4" fillId="5" borderId="5" xfId="1" applyNumberFormat="1" applyFont="1" applyFill="1" applyBorder="1" applyAlignment="1">
      <x:alignment vertical="center"/>
    </x:xf>
    <x:xf numFmtId="0" fontId="4" fillId="5" borderId="5" xfId="0" applyFont="1" applyFill="1" applyBorder="1" applyAlignment="1">
      <x:alignment vertical="center"/>
    </x:xf>
    <x:xf numFmtId="0" fontId="3" fillId="5" borderId="5" xfId="0" applyFont="1" applyFill="1" applyBorder="1" applyAlignment="1">
      <x:alignment vertical="center"/>
    </x:xf>
    <x:xf numFmtId="0" fontId="9" fillId="5" borderId="0" xfId="0" applyFont="1" applyFill="1"/>
    <x:xf numFmtId="0" fontId="10" fillId="6" borderId="0" xfId="0" applyFont="1" applyFill="1" applyAlignment="1">
      <x:alignment horizontal="center"/>
    </x:xf>
    <x:xf numFmtId="43" fontId="3" fillId="0" borderId="0" xfId="1" applyFont="1"/>
    <x:xf numFmtId="0" fontId="3" fillId="6" borderId="6" xfId="0" applyFont="1" applyFill="1" applyBorder="1" applyAlignment="1">
      <x:alignment horizontal="left" vertical="center"/>
    </x:xf>
    <x:xf numFmtId="0" fontId="3" fillId="6" borderId="6" xfId="0" applyFont="1" applyFill="1" applyBorder="1" applyAlignment="1">
      <x:alignment vertical="center"/>
    </x:xf>
    <x:xf numFmtId="0" fontId="6" fillId="0" borderId="7" xfId="0" applyFont="1" applyBorder="1" applyAlignment="1">
      <x:alignment horizontal="left"/>
    </x:xf>
    <x:xf numFmtId="164" fontId="8" fillId="5" borderId="7" xfId="1" applyNumberFormat="1" applyFont="1" applyFill="1" applyBorder="1" applyAlignment="1">
      <x:alignment vertical="center"/>
    </x:xf>
    <x:xf numFmtId="0" fontId="8" fillId="5" borderId="7" xfId="0" applyFont="1" applyFill="1" applyBorder="1" applyAlignment="1">
      <x:alignment horizontal="center" vertical="center"/>
    </x:xf>
    <x:xf numFmtId="0" fontId="8" fillId="5" borderId="7" xfId="0" applyFont="1" applyFill="1" applyBorder="1" applyAlignment="1">
      <x:alignment vertical="center"/>
    </x:xf>
    <x:xf numFmtId="0" fontId="8" fillId="5" borderId="0" xfId="0" applyFont="1" applyFill="1"/>
    <x:xf numFmtId="0" fontId="11" fillId="5" borderId="0" xfId="0" applyFont="1" applyFill="1"/>
    <x:xf numFmtId="164" fontId="8" fillId="0" borderId="9" xfId="1" applyNumberFormat="1" applyFont="1" applyFill="1" applyBorder="1" applyAlignment="1">
      <x:alignment vertical="center"/>
    </x:xf>
    <x:xf numFmtId="0" fontId="8" fillId="0" borderId="9" xfId="0" applyFont="1" applyFill="1" applyBorder="1" applyAlignment="1">
      <x:alignment horizontal="center" vertical="center"/>
    </x:xf>
    <x:xf numFmtId="0" fontId="8" fillId="0" borderId="9" xfId="0" applyFont="1" applyFill="1" applyBorder="1" applyAlignment="1">
      <x:alignment vertical="center"/>
    </x:xf>
    <x:xf numFmtId="0" fontId="8" fillId="0" borderId="0" xfId="0" applyFont="1" applyFill="1"/>
    <x:xf numFmtId="0" fontId="11" fillId="0" borderId="0" xfId="0" applyFont="1" applyFill="1"/>
    <x:xf numFmtId="164" fontId="4" fillId="3" borderId="5" xfId="1" applyNumberFormat="1" applyFont="1" applyFill="1" applyBorder="1" applyAlignment="1">
      <x:alignment vertical="center"/>
    </x:xf>
    <x:xf numFmtId="0" fontId="4" fillId="3" borderId="5" xfId="0" applyFont="1" applyFill="1" applyBorder="1" applyAlignment="1">
      <x:alignment vertical="center"/>
    </x:xf>
    <x:xf numFmtId="0" fontId="3" fillId="3" borderId="5" xfId="0" applyFont="1" applyFill="1" applyBorder="1" applyAlignment="1">
      <x:alignment vertical="center"/>
    </x:xf>
    <x:xf numFmtId="0" fontId="3" fillId="3" borderId="0" xfId="0" applyFont="1" applyFill="1"/>
    <x:xf numFmtId="0" fontId="9" fillId="3" borderId="0" xfId="0" applyFont="1" applyFill="1"/>
    <x:xf numFmtId="0" fontId="8" fillId="6" borderId="6" xfId="0" applyFont="1" applyFill="1" applyBorder="1" applyAlignment="1">
      <x:alignment horizontal="left" vertical="center"/>
    </x:xf>
    <x:xf numFmtId="0" fontId="8" fillId="6" borderId="6" xfId="0" applyFont="1" applyFill="1" applyBorder="1" applyAlignment="1">
      <x:alignment horizontal="center" vertical="center"/>
    </x:xf>
    <x:xf numFmtId="0" fontId="8" fillId="6" borderId="6" xfId="0" applyFont="1" applyFill="1" applyBorder="1" applyAlignment="1">
      <x:alignment vertical="center"/>
    </x:xf>
    <x:xf numFmtId="164" fontId="8" fillId="3" borderId="7" xfId="1" applyNumberFormat="1" applyFont="1" applyFill="1" applyBorder="1" applyAlignment="1">
      <x:alignment vertical="center"/>
    </x:xf>
    <x:xf numFmtId="0" fontId="8" fillId="3" borderId="7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vertical="center"/>
    </x:xf>
    <x:xf numFmtId="0" fontId="8" fillId="3" borderId="0" xfId="0" applyFont="1" applyFill="1"/>
    <x:xf numFmtId="164" fontId="4" fillId="2" borderId="6" xfId="1" applyNumberFormat="1" applyFont="1" applyFill="1" applyBorder="1" applyAlignment="1">
      <x:alignment vertical="center"/>
    </x:xf>
    <x:xf numFmtId="0" fontId="4" fillId="2" borderId="6" xfId="0" applyFont="1" applyFill="1" applyBorder="1" applyAlignment="1">
      <x:alignment horizontal="left" vertical="center"/>
    </x:xf>
    <x:xf numFmtId="0" fontId="4" fillId="2" borderId="6" xfId="0" applyFont="1" applyFill="1" applyBorder="1" applyAlignment="1">
      <x:alignment vertical="center"/>
    </x:xf>
    <x:xf numFmtId="0" fontId="4" fillId="2" borderId="0" xfId="0" applyFont="1" applyFill="1"/>
    <x:xf numFmtId="164" fontId="3" fillId="0" borderId="6" xfId="1" applyNumberFormat="1" applyFont="1" applyBorder="1" applyAlignment="1">
      <x:alignment horizontal="left" vertical="top"/>
    </x:xf>
    <x:xf numFmtId="0" fontId="3" fillId="0" borderId="6" xfId="0" applyFont="1" applyBorder="1" applyAlignment="1">
      <x:alignment horizontal="left" vertical="top"/>
    </x:xf>
    <x:xf numFmtId="0" fontId="5" fillId="0" borderId="6" xfId="0" applyFont="1" applyBorder="1" applyAlignment="1">
      <x:alignment horizontal="left" vertical="top"/>
    </x:xf>
    <x:xf numFmtId="0" fontId="3" fillId="0" borderId="0" xfId="0" applyFont="1" applyAlignment="1">
      <x:alignment horizontal="left" vertical="top"/>
    </x:xf>
    <x:xf numFmtId="0" fontId="3" fillId="0" borderId="9" xfId="0" applyFont="1" applyBorder="1" applyAlignment="1">
      <x:alignment horizontal="left" vertical="top"/>
    </x:xf>
    <x:xf numFmtId="0" fontId="3" fillId="0" borderId="8" xfId="0" applyFont="1" applyBorder="1" applyAlignment="1">
      <x:alignment horizontal="left" vertical="top"/>
    </x:xf>
    <x:xf numFmtId="164" fontId="4" fillId="2" borderId="7" xfId="1" applyNumberFormat="1" applyFont="1" applyFill="1" applyBorder="1" applyAlignment="1">
      <x:alignment vertical="center"/>
    </x:xf>
    <x:xf numFmtId="0" fontId="4" fillId="2" borderId="7" xfId="0" applyFont="1" applyFill="1" applyBorder="1" applyAlignment="1">
      <x:alignment horizontal="center" vertical="center"/>
    </x:xf>
    <x:xf numFmtId="0" fontId="4" fillId="2" borderId="7" xfId="0" applyFont="1" applyFill="1" applyBorder="1" applyAlignment="1">
      <x:alignment vertical="center"/>
    </x:xf>
    <x:xf numFmtId="0" fontId="4" fillId="0" borderId="0" xfId="0" applyFont="1"/>
    <x:xf numFmtId="0" fontId="12" fillId="0" borderId="0" xfId="0" applyFont="1"/>
    <x:xf numFmtId="0" fontId="3" fillId="6" borderId="0" xfId="0" applyFont="1" applyFill="1"/>
    <x:xf numFmtId="0" fontId="3" fillId="4" borderId="0" xfId="0" applyFont="1" applyFill="1"/>
    <x:xf numFmtId="0" fontId="4" fillId="6" borderId="0" xfId="0" applyFont="1" applyFill="1"/>
    <x:xf numFmtId="0" fontId="3" fillId="0" borderId="0" xfId="0" applyFont="1" applyFill="1"/>
    <x:xf numFmtId="0" fontId="3" fillId="5" borderId="0" xfId="0" applyFont="1" applyFill="1"/>
    <x:xf numFmtId="0" fontId="4" fillId="6" borderId="0" xfId="0" applyFont="1" applyFill="1" applyAlignment="1">
      <x:alignment horizontal="center"/>
    </x:xf>
    <x:xf numFmtId="43" fontId="6" fillId="0" borderId="0" xfId="1" applyFont="1"/>
    <x:xf numFmtId="164" fontId="3" fillId="0" borderId="0" xfId="0" applyNumberFormat="1" applyFont="1"/>
    <x:xf numFmtId="164" fontId="3" fillId="0" borderId="7" xfId="0" applyNumberFormat="1" applyFont="1" applyBorder="1"/>
    <x:xf numFmtId="2" fontId="3" fillId="0" borderId="0" xfId="0" applyNumberFormat="1" applyFont="1"/>
    <x:xf numFmtId="2" fontId="6" fillId="0" borderId="0" xfId="0" applyNumberFormat="1" applyFont="1"/>
    <x:xf numFmtId="0" fontId="11" fillId="4" borderId="0" xfId="0" applyFont="1" applyFill="1"/>
    <x:xf numFmtId="164" fontId="6" fillId="0" borderId="9" xfId="1" applyNumberFormat="1" applyFont="1" applyFill="1" applyBorder="1" applyAlignment="1">
      <x:alignment vertical="center"/>
    </x:xf>
    <x:xf numFmtId="0" fontId="6" fillId="0" borderId="9" xfId="0" applyFont="1" applyFill="1" applyBorder="1" applyAlignment="1">
      <x:alignment vertical="center"/>
    </x:xf>
    <x:xf numFmtId="0" fontId="6" fillId="0" borderId="0" xfId="0" applyFont="1" applyFill="1"/>
    <x:xf numFmtId="0" fontId="12" fillId="0" borderId="0" xfId="0" applyFont="1" applyFill="1"/>
    <x:xf numFmtId="0" fontId="6" fillId="3" borderId="7" xfId="0" applyFont="1" applyFill="1" applyBorder="1" applyAlignment="1">
      <x:alignment vertical="center"/>
    </x:xf>
    <x:xf numFmtId="0" fontId="6" fillId="3" borderId="0" xfId="0" applyFont="1" applyFill="1"/>
    <x:xf numFmtId="0" fontId="12" fillId="3" borderId="0" xfId="0" applyFont="1" applyFill="1"/>
    <x:xf numFmtId="0" fontId="3" fillId="2" borderId="6" xfId="0" applyFont="1" applyFill="1" applyBorder="1" applyAlignment="1">
      <x:alignment vertical="center"/>
    </x:xf>
    <x:xf numFmtId="0" fontId="3" fillId="2" borderId="0" xfId="0" applyFont="1" applyFill="1"/>
    <x:xf numFmtId="0" fontId="9" fillId="2" borderId="0" xfId="0" applyFont="1" applyFill="1"/>
    <x:xf numFmtId="164" fontId="8" fillId="2" borderId="7" xfId="1" applyNumberFormat="1" applyFont="1" applyFill="1" applyBorder="1" applyAlignment="1">
      <x:alignment vertical="center"/>
    </x:xf>
    <x:xf numFmtId="0" fontId="8" fillId="2" borderId="7" xfId="0" applyFont="1" applyFill="1" applyBorder="1" applyAlignment="1">
      <x:alignment horizontal="center" vertical="center"/>
    </x:xf>
    <x:xf numFmtId="0" fontId="8" fillId="2" borderId="7" xfId="0" applyFont="1" applyFill="1" applyBorder="1" applyAlignment="1">
      <x:alignment vertical="center"/>
    </x:xf>
    <x:xf numFmtId="0" fontId="8" fillId="2" borderId="0" xfId="0" applyFont="1" applyFill="1"/>
    <x:xf numFmtId="0" fontId="11" fillId="2" borderId="0" xfId="0" applyFont="1" applyFill="1"/>
    <x:xf numFmtId="0" fontId="9" fillId="0" borderId="0" xfId="0" applyFont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4" fontId="0" fillId="0" borderId="0" xfId="0" applyNumberFormat="1" applyFont="1" applyFill="1" applyBorder="1"/>
    <x:xf numFmtId="4" fontId="3" fillId="0" borderId="0" xfId="0" applyNumberFormat="1" applyFont="1" applyFill="1" applyBorder="1" applyAlignment="1">
      <x:alignment vertical="center"/>
    </x:xf>
    <x:xf numFmtId="4" fontId="6" fillId="0" borderId="0" xfId="0" applyNumberFormat="1" applyFont="1" applyFill="1" applyBorder="1" applyAlignment="1">
      <x:alignment vertical="center"/>
    </x:xf>
    <x:xf numFmtId="4" fontId="6" fillId="6" borderId="2" xfId="0" applyNumberFormat="1" applyFont="1" applyFill="1" applyBorder="1" applyAlignment="1">
      <x:alignment horizontal="center" vertical="center"/>
    </x:xf>
    <x:xf numFmtId="4" fontId="3" fillId="6" borderId="3" xfId="0" applyNumberFormat="1" applyFont="1" applyFill="1" applyBorder="1" applyAlignment="1">
      <x:alignment horizontal="center" vertical="center"/>
    </x:xf>
    <x:xf numFmtId="4" fontId="6" fillId="6" borderId="4" xfId="0" applyNumberFormat="1" applyFont="1" applyFill="1" applyBorder="1" applyAlignment="1">
      <x:alignment horizontal="center" vertical="center"/>
    </x:xf>
    <x:xf numFmtId="4" fontId="3" fillId="4" borderId="6" xfId="0" applyNumberFormat="1" applyFont="1" applyFill="1" applyBorder="1" applyAlignment="1">
      <x:alignment vertical="center"/>
    </x:xf>
    <x:xf numFmtId="4" fontId="6" fillId="4" borderId="6" xfId="0" applyNumberFormat="1" applyFont="1" applyFill="1" applyBorder="1" applyAlignment="1">
      <x:alignment vertical="center"/>
    </x:xf>
    <x:xf numFmtId="4" fontId="3" fillId="0" borderId="6" xfId="0" applyNumberFormat="1" applyFont="1" applyFill="1" applyBorder="1" applyAlignment="1">
      <x:alignment vertical="center"/>
    </x:xf>
    <x:xf numFmtId="4" fontId="6" fillId="0" borderId="6" xfId="0" applyNumberFormat="1" applyFont="1" applyFill="1" applyBorder="1" applyAlignment="1">
      <x:alignment vertical="center"/>
    </x:xf>
    <x:xf numFmtId="4" fontId="3" fillId="0" borderId="6" xfId="0" applyNumberFormat="1" applyFont="1" applyFill="1" applyBorder="1" applyAlignment="1">
      <x:alignment horizontal="center" vertical="center"/>
    </x:xf>
    <x:xf numFmtId="4" fontId="3" fillId="0" borderId="6" xfId="0" applyNumberFormat="1" applyFont="1" applyFill="1" applyBorder="1" applyAlignment="1">
      <x:alignment vertical="top"/>
    </x:xf>
    <x:xf numFmtId="4" fontId="4" fillId="6" borderId="6" xfId="0" applyNumberFormat="1" applyFont="1" applyFill="1" applyBorder="1" applyAlignment="1">
      <x:alignment vertical="center"/>
    </x:xf>
    <x:xf numFmtId="4" fontId="8" fillId="6" borderId="6" xfId="0" applyNumberFormat="1" applyFont="1" applyFill="1" applyBorder="1" applyAlignment="1">
      <x:alignment vertical="center"/>
    </x:xf>
    <x:xf numFmtId="4" fontId="3" fillId="2" borderId="8" xfId="0" applyNumberFormat="1" applyFont="1" applyFill="1" applyBorder="1" applyAlignment="1">
      <x:alignment horizontal="center" vertical="center"/>
    </x:xf>
    <x:xf numFmtId="4" fontId="3" fillId="0" borderId="9" xfId="0" applyNumberFormat="1" applyFont="1" applyFill="1" applyBorder="1" applyAlignment="1">
      <x:alignment horizontal="center" vertical="center"/>
    </x:xf>
    <x:xf numFmtId="4" fontId="6" fillId="0" borderId="9" xfId="0" applyNumberFormat="1" applyFont="1" applyFill="1" applyBorder="1" applyAlignment="1">
      <x:alignment horizontal="center" vertical="center"/>
    </x:xf>
    <x:xf numFmtId="4" fontId="4" fillId="6" borderId="6" xfId="0" applyNumberFormat="1" applyFont="1" applyFill="1" applyBorder="1" applyAlignment="1">
      <x:alignment horizontal="center" vertical="center"/>
    </x:xf>
    <x:xf numFmtId="4" fontId="7" fillId="6" borderId="6" xfId="0" applyNumberFormat="1" applyFont="1" applyFill="1" applyBorder="1" applyAlignment="1">
      <x:alignment vertical="center"/>
    </x:xf>
    <x:xf numFmtId="4" fontId="3" fillId="0" borderId="8" xfId="0" applyNumberFormat="1" applyFont="1" applyFill="1" applyBorder="1" applyAlignment="1">
      <x:alignment horizontal="center" vertical="center"/>
    </x:xf>
    <x:xf numFmtId="4" fontId="3" fillId="0" borderId="5" xfId="0" applyNumberFormat="1" applyFont="1" applyFill="1" applyBorder="1" applyAlignment="1">
      <x:alignment vertical="center"/>
    </x:xf>
    <x:xf numFmtId="4" fontId="6" fillId="0" borderId="5" xfId="0" applyNumberFormat="1" applyFont="1" applyFill="1" applyBorder="1" applyAlignment="1">
      <x:alignment vertical="center"/>
    </x:xf>
    <x:xf numFmtId="4" fontId="6" fillId="0" borderId="11" xfId="0" applyNumberFormat="1" applyFont="1" applyFill="1" applyBorder="1" applyAlignment="1">
      <x:alignment vertical="top"/>
    </x:xf>
    <x:xf numFmtId="4" fontId="3" fillId="0" borderId="8" xfId="0" applyNumberFormat="1" applyFont="1" applyFill="1" applyBorder="1" applyAlignment="1">
      <x:alignment horizontal="center" vertical="top"/>
    </x:xf>
    <x:xf numFmtId="4" fontId="6" fillId="0" borderId="8" xfId="0" applyNumberFormat="1" applyFont="1" applyFill="1" applyBorder="1" applyAlignment="1">
      <x:alignment vertical="top"/>
    </x:xf>
    <x:xf numFmtId="4" fontId="3" fillId="0" borderId="6" xfId="0" applyNumberFormat="1" applyFont="1" applyFill="1" applyBorder="1" applyAlignment="1">
      <x:alignment horizontal="center" vertical="top"/>
    </x:xf>
    <x:xf numFmtId="4" fontId="6" fillId="0" borderId="11" xfId="0" applyNumberFormat="1" applyFont="1" applyFill="1" applyBorder="1" applyAlignment="1">
      <x:alignment vertical="center"/>
    </x:xf>
    <x:xf numFmtId="4" fontId="6" fillId="0" borderId="8" xfId="0" applyNumberFormat="1" applyFont="1" applyFill="1" applyBorder="1" applyAlignment="1">
      <x:alignment vertical="center"/>
    </x:xf>
    <x:xf numFmtId="4" fontId="3" fillId="0" borderId="9" xfId="0" applyNumberFormat="1" applyFont="1" applyFill="1" applyBorder="1" applyAlignment="1">
      <x:alignment horizontal="center" vertical="top"/>
    </x:xf>
    <x:xf numFmtId="4" fontId="3" fillId="4" borderId="7" xfId="0" applyNumberFormat="1" applyFont="1" applyFill="1" applyBorder="1" applyAlignment="1">
      <x:alignment vertical="center"/>
    </x:xf>
    <x:xf numFmtId="4" fontId="3" fillId="4" borderId="7" xfId="0" applyNumberFormat="1" applyFont="1" applyFill="1" applyBorder="1" applyAlignment="1">
      <x:alignment horizontal="center" vertical="center"/>
    </x:xf>
    <x:xf numFmtId="4" fontId="7" fillId="4" borderId="7" xfId="0" applyNumberFormat="1" applyFont="1" applyFill="1" applyBorder="1" applyAlignment="1">
      <x:alignment vertical="center"/>
    </x:xf>
    <x:xf numFmtId="4" fontId="3" fillId="0" borderId="9" xfId="0" applyNumberFormat="1" applyFont="1" applyFill="1" applyBorder="1" applyAlignment="1">
      <x:alignment vertical="center"/>
    </x:xf>
    <x:xf numFmtId="4" fontId="7" fillId="0" borderId="9" xfId="0" applyNumberFormat="1" applyFont="1" applyFill="1" applyBorder="1" applyAlignment="1">
      <x:alignment vertical="center"/>
    </x:xf>
    <x:xf numFmtId="4" fontId="3" fillId="5" borderId="5" xfId="0" applyNumberFormat="1" applyFont="1" applyFill="1" applyBorder="1" applyAlignment="1">
      <x:alignment vertical="center"/>
    </x:xf>
    <x:xf numFmtId="4" fontId="6" fillId="5" borderId="5" xfId="0" applyNumberFormat="1" applyFont="1" applyFill="1" applyBorder="1" applyAlignment="1">
      <x:alignment vertical="center"/>
    </x:xf>
    <x:xf numFmtId="4" fontId="5" fillId="0" borderId="6" xfId="0" applyNumberFormat="1" applyFont="1" applyFill="1" applyBorder="1" applyAlignment="1">
      <x:alignment vertical="center"/>
    </x:xf>
    <x:xf numFmtId="4" fontId="3" fillId="0" borderId="8" xfId="0" applyNumberFormat="1" applyFont="1" applyFill="1" applyBorder="1" applyAlignment="1">
      <x:alignment vertical="center"/>
    </x:xf>
    <x:xf numFmtId="4" fontId="4" fillId="0" borderId="6" xfId="0" applyNumberFormat="1" applyFont="1" applyFill="1" applyBorder="1" applyAlignment="1">
      <x:alignment vertical="center"/>
    </x:xf>
    <x:xf numFmtId="4" fontId="8" fillId="0" borderId="6" xfId="0" applyNumberFormat="1" applyFont="1" applyFill="1" applyBorder="1" applyAlignment="1">
      <x:alignment vertical="center"/>
    </x:xf>
    <x:xf numFmtId="4" fontId="3" fillId="6" borderId="6" xfId="0" applyNumberFormat="1" applyFont="1" applyFill="1" applyBorder="1" applyAlignment="1">
      <x:alignment vertical="center"/>
    </x:xf>
    <x:xf numFmtId="4" fontId="6" fillId="0" borderId="7" xfId="0" applyNumberFormat="1" applyFont="1" applyFill="1" applyBorder="1" applyAlignment="1">
      <x:alignment horizontal="right"/>
    </x:xf>
    <x:xf numFmtId="4" fontId="8" fillId="5" borderId="7" xfId="0" applyNumberFormat="1" applyFont="1" applyFill="1" applyBorder="1" applyAlignment="1">
      <x:alignment vertical="center"/>
    </x:xf>
    <x:xf numFmtId="4" fontId="8" fillId="5" borderId="7" xfId="0" applyNumberFormat="1" applyFont="1" applyFill="1" applyBorder="1" applyAlignment="1">
      <x:alignment horizontal="center" vertical="center"/>
    </x:xf>
    <x:xf numFmtId="4" fontId="8" fillId="0" borderId="9" xfId="0" applyNumberFormat="1" applyFont="1" applyFill="1" applyBorder="1" applyAlignment="1">
      <x:alignment vertical="center"/>
    </x:xf>
    <x:xf numFmtId="4" fontId="8" fillId="0" borderId="9" xfId="0" applyNumberFormat="1" applyFont="1" applyFill="1" applyBorder="1" applyAlignment="1">
      <x:alignment horizontal="center" vertical="center"/>
    </x:xf>
    <x:xf numFmtId="4" fontId="3" fillId="3" borderId="5" xfId="0" applyNumberFormat="1" applyFont="1" applyFill="1" applyBorder="1" applyAlignment="1">
      <x:alignment vertical="center"/>
    </x:xf>
    <x:xf numFmtId="4" fontId="6" fillId="3" borderId="5" xfId="0" applyNumberFormat="1" applyFont="1" applyFill="1" applyBorder="1" applyAlignment="1">
      <x:alignment vertical="center"/>
    </x:xf>
    <x:xf numFmtId="4" fontId="3" fillId="0" borderId="8" xfId="0" applyNumberFormat="1" applyFont="1" applyFill="1" applyBorder="1" applyAlignment="1">
      <x:alignment horizontal="left" vertical="top"/>
    </x:xf>
    <x:xf numFmtId="4" fontId="8" fillId="6" borderId="6" xfId="0" applyNumberFormat="1" applyFont="1" applyFill="1" applyBorder="1" applyAlignment="1">
      <x:alignment horizontal="center" vertical="center"/>
    </x:xf>
    <x:xf numFmtId="4" fontId="8" fillId="3" borderId="7" xfId="0" applyNumberFormat="1" applyFont="1" applyFill="1" applyBorder="1" applyAlignment="1">
      <x:alignment vertical="center"/>
    </x:xf>
    <x:xf numFmtId="4" fontId="8" fillId="3" borderId="7" xfId="0" applyNumberFormat="1" applyFont="1" applyFill="1" applyBorder="1" applyAlignment="1">
      <x:alignment horizontal="center" vertical="center"/>
    </x:xf>
    <x:xf numFmtId="4" fontId="4" fillId="2" borderId="6" xfId="0" applyNumberFormat="1" applyFont="1" applyFill="1" applyBorder="1" applyAlignment="1">
      <x:alignment vertical="center"/>
    </x:xf>
    <x:xf numFmtId="4" fontId="8" fillId="2" borderId="6" xfId="0" applyNumberFormat="1" applyFont="1" applyFill="1" applyBorder="1" applyAlignment="1">
      <x:alignment vertical="center"/>
    </x:xf>
    <x:xf numFmtId="4" fontId="6" fillId="0" borderId="9" xfId="0" applyNumberFormat="1" applyFont="1" applyFill="1" applyBorder="1" applyAlignment="1">
      <x:alignment horizontal="left" vertical="top"/>
    </x:xf>
    <x:xf numFmtId="4" fontId="6" fillId="0" borderId="6" xfId="0" applyNumberFormat="1" applyFont="1" applyFill="1" applyBorder="1" applyAlignment="1">
      <x:alignment horizontal="left" vertical="top"/>
    </x:xf>
    <x:xf numFmtId="4" fontId="3" fillId="0" borderId="6" xfId="0" applyNumberFormat="1" applyFont="1" applyFill="1" applyBorder="1" applyAlignment="1">
      <x:alignment horizontal="left" vertical="top"/>
    </x:xf>
    <x:xf numFmtId="4" fontId="6" fillId="0" borderId="0" xfId="0" applyNumberFormat="1" applyFont="1" applyFill="1" applyBorder="1" applyAlignment="1">
      <x:alignment horizontal="left" vertical="top"/>
    </x:xf>
    <x:xf numFmtId="4" fontId="3" fillId="0" borderId="9" xfId="0" applyNumberFormat="1" applyFont="1" applyFill="1" applyBorder="1" applyAlignment="1">
      <x:alignment horizontal="left" vertical="top"/>
    </x:xf>
    <x:xf numFmtId="4" fontId="6" fillId="0" borderId="11" xfId="0" applyNumberFormat="1" applyFont="1" applyFill="1" applyBorder="1" applyAlignment="1">
      <x:alignment horizontal="left" vertical="top"/>
    </x:xf>
    <x:xf numFmtId="4" fontId="6" fillId="0" borderId="8" xfId="0" applyNumberFormat="1" applyFont="1" applyFill="1" applyBorder="1" applyAlignment="1">
      <x:alignment horizontal="left" vertical="top"/>
    </x:xf>
    <x:xf numFmtId="4" fontId="3" fillId="0" borderId="10" xfId="0" applyNumberFormat="1" applyFont="1" applyFill="1" applyBorder="1" applyAlignment="1">
      <x:alignment horizontal="left" vertical="top"/>
    </x:xf>
    <x:xf numFmtId="4" fontId="4" fillId="2" borderId="7" xfId="0" applyNumberFormat="1" applyFont="1" applyFill="1" applyBorder="1" applyAlignment="1">
      <x:alignment vertical="center"/>
    </x:xf>
    <x:xf numFmtId="4" fontId="4" fillId="2" borderId="7" xfId="0" applyNumberFormat="1" applyFont="1" applyFill="1" applyBorder="1" applyAlignment="1">
      <x:alignment horizontal="center" vertical="center"/>
    </x:xf>
    <x:xf numFmtId="4" fontId="8" fillId="2" borderId="7" xfId="0" applyNumberFormat="1" applyFont="1" applyFill="1" applyBorder="1" applyAlignment="1">
      <x:alignment vertical="center"/>
    </x:xf>
    <x:xf numFmtId="4" fontId="3" fillId="0" borderId="0" xfId="0" applyNumberFormat="1" applyFont="1" applyFill="1" applyBorder="1"/>
    <x:xf numFmtId="4" fontId="6" fillId="0" borderId="0" xfId="0" applyNumberFormat="1" applyFont="1" applyFill="1" applyBorder="1"/>
    <x:xf numFmtId="4" fontId="3" fillId="0" borderId="7" xfId="0" applyNumberFormat="1" applyFont="1" applyFill="1" applyBorder="1"/>
    <x:xf numFmtId="4" fontId="8" fillId="0" borderId="7" xfId="0" applyNumberFormat="1" applyFont="1" applyFill="1" applyBorder="1"/>
    <x:xf numFmtId="4" fontId="7" fillId="0" borderId="7" xfId="0" applyNumberFormat="1" applyFont="1" applyFill="1" applyBorder="1"/>
    <x:xf numFmtId="4" fontId="3" fillId="6" borderId="0" xfId="0" applyNumberFormat="1" applyFont="1" applyFill="1" applyBorder="1"/>
    <x:xf numFmtId="4" fontId="3" fillId="4" borderId="0" xfId="0" applyNumberFormat="1" applyFont="1" applyFill="1" applyBorder="1"/>
    <x:xf numFmtId="4" fontId="4" fillId="6" borderId="0" xfId="0" applyNumberFormat="1" applyFont="1" applyFill="1" applyBorder="1"/>
    <x:xf numFmtId="4" fontId="4" fillId="0" borderId="0" xfId="0" applyNumberFormat="1" applyFont="1" applyFill="1" applyBorder="1"/>
    <x:xf numFmtId="4" fontId="3" fillId="5" borderId="0" xfId="0" applyNumberFormat="1" applyFont="1" applyFill="1" applyBorder="1"/>
    <x:xf numFmtId="4" fontId="4" fillId="6" borderId="0" xfId="0" applyNumberFormat="1" applyFont="1" applyFill="1" applyBorder="1" applyAlignment="1">
      <x:alignment horizontal="center"/>
    </x:xf>
    <x:xf numFmtId="4" fontId="3" fillId="3" borderId="0" xfId="0" applyNumberFormat="1" applyFont="1" applyFill="1" applyBorder="1"/>
    <x:xf numFmtId="4" fontId="8" fillId="0" borderId="0" xfId="0" applyNumberFormat="1" applyFont="1" applyFill="1" applyBorder="1"/>
    <x:xf numFmtId="4" fontId="4" fillId="2" borderId="0" xfId="0" applyNumberFormat="1" applyFont="1" applyFill="1" applyBorder="1"/>
    <x:xf numFmtId="4" fontId="3" fillId="0" borderId="0" xfId="0" applyNumberFormat="1" applyFont="1" applyFill="1" applyBorder="1" applyAlignment="1">
      <x:alignment horizontal="left" vertical="top"/>
    </x:xf>
    <x:xf numFmtId="4" fontId="3" fillId="6" borderId="2" xfId="0" applyNumberFormat="1" applyFont="1" applyFill="1" applyBorder="1" applyAlignment="1">
      <x:alignment horizontal="center" vertical="center"/>
    </x:xf>
    <x:xf numFmtId="4" fontId="6" fillId="6" borderId="3" xfId="0" applyNumberFormat="1" applyFont="1" applyFill="1" applyBorder="1" applyAlignment="1">
      <x:alignment horizontal="center" vertical="center"/>
    </x:xf>
    <x:xf numFmtId="4" fontId="3" fillId="6" borderId="4" xfId="0" applyNumberFormat="1" applyFont="1" applyFill="1" applyBorder="1" applyAlignment="1">
      <x:alignment horizontal="center" vertical="center"/>
    </x:xf>
    <x:xf numFmtId="4" fontId="3" fillId="2" borderId="8" xfId="0" applyNumberFormat="1" applyFont="1" applyFill="1" applyBorder="1" applyAlignment="1">
      <x:alignment horizontal="right" vertical="center"/>
    </x:xf>
    <x:xf numFmtId="4" fontId="6" fillId="0" borderId="6" xfId="0" applyNumberFormat="1" applyFont="1" applyFill="1" applyBorder="1" applyAlignment="1">
      <x:alignment vertical="top"/>
    </x:xf>
    <x:xf numFmtId="4" fontId="8" fillId="4" borderId="7" xfId="0" applyNumberFormat="1" applyFont="1" applyFill="1" applyBorder="1" applyAlignment="1">
      <x:alignment vertical="center"/>
    </x:xf>
    <x:xf numFmtId="4" fontId="8" fillId="4" borderId="7" xfId="0" applyNumberFormat="1" applyFont="1" applyFill="1" applyBorder="1" applyAlignment="1">
      <x:alignment horizontal="center" vertical="center"/>
    </x:xf>
    <x:xf numFmtId="4" fontId="6" fillId="0" borderId="9" xfId="0" applyNumberFormat="1" applyFont="1" applyFill="1" applyBorder="1" applyAlignment="1">
      <x:alignment vertical="center"/>
    </x:xf>
    <x:xf numFmtId="4" fontId="5" fillId="0" borderId="9" xfId="0" applyNumberFormat="1" applyFont="1" applyFill="1" applyBorder="1" applyAlignment="1">
      <x:alignment vertical="center"/>
    </x:xf>
    <x:xf numFmtId="4" fontId="6" fillId="3" borderId="7" xfId="0" applyNumberFormat="1" applyFont="1" applyFill="1" applyBorder="1" applyAlignment="1">
      <x:alignment vertical="center"/>
    </x:xf>
    <x:xf numFmtId="4" fontId="6" fillId="3" borderId="7" xfId="0" applyNumberFormat="1" applyFont="1" applyFill="1" applyBorder="1" applyAlignment="1">
      <x:alignment horizontal="center" vertical="center"/>
    </x:xf>
    <x:xf numFmtId="4" fontId="3" fillId="2" borderId="6" xfId="0" applyNumberFormat="1" applyFont="1" applyFill="1" applyBorder="1" applyAlignment="1">
      <x:alignment vertical="center"/>
    </x:xf>
    <x:xf numFmtId="4" fontId="6" fillId="2" borderId="6" xfId="0" applyNumberFormat="1" applyFont="1" applyFill="1" applyBorder="1" applyAlignment="1">
      <x:alignment vertical="center"/>
    </x:xf>
    <x:xf numFmtId="4" fontId="8" fillId="2" borderId="7" xfId="0" applyNumberFormat="1" applyFont="1" applyFill="1" applyBorder="1" applyAlignment="1">
      <x:alignment horizontal="center" vertical="center"/>
    </x:xf>
    <x:xf numFmtId="4" fontId="4" fillId="0" borderId="7" xfId="0" applyNumberFormat="1" applyFont="1" applyFill="1" applyBorder="1" applyAlignment="1">
      <x:alignment horizontal="center" vertical="center"/>
    </x:xf>
    <x:xf numFmtId="4" fontId="8" fillId="0" borderId="7" xfId="0" applyNumberFormat="1" applyFont="1" applyFill="1" applyBorder="1" applyAlignment="1">
      <x:alignment horizontal="center" vertical="center"/>
    </x:xf>
    <x:xf numFmtId="4" fontId="7" fillId="0" borderId="7" xfId="0" applyNumberFormat="1" applyFont="1" applyFill="1" applyBorder="1" applyAlignment="1">
      <x:alignment horizontal="center" vertical="center"/>
    </x:xf>
    <x:xf numFmtId="4" fontId="8" fillId="2" borderId="0" xfId="0" applyNumberFormat="1" applyFont="1" applyFill="1" applyBorder="1"/>
    <x:xf numFmtId="4" fontId="3" fillId="2" borderId="0" xfId="0" applyNumberFormat="1" applyFont="1" applyFill="1" applyBorder="1"/>
    <x:xf numFmtId="4" fontId="8" fillId="2" borderId="0" xfId="0" applyNumberFormat="1" applyFont="1" applyFill="1" applyBorder="1" applyAlignment="1">
      <x:alignment horizontal="center" vertical="center"/>
    </x:xf>
    <x:xf numFmtId="0" fontId="13" fillId="0" borderId="0" xfId="0" applyFont="1"/>
    <x:xf numFmtId="4" fontId="13" fillId="0" borderId="0" xfId="0" applyNumberFormat="1" applyFont="1" applyFill="1" applyBorder="1"/>
    <x:xf numFmtId="0" fontId="13" fillId="0" borderId="15" xfId="0" applyFont="1" applyBorder="1"/>
    <x:xf numFmtId="4" fontId="13" fillId="0" borderId="15" xfId="0" applyNumberFormat="1" applyFont="1" applyFill="1" applyBorder="1"/>
    <x:xf numFmtId="4" fontId="13" fillId="0" borderId="0" xfId="0" applyNumberFormat="1" applyFont="1" applyFill="1" applyBorder="1" applyAlignment="1">
      <x:alignment horizontal="center"/>
    </x:xf>
    <x:xf numFmtId="0" fontId="13" fillId="0" borderId="0" xfId="0" applyFont="1" applyAlignment="1">
      <x:alignment horizontal="center"/>
    </x:xf>
    <x:xf numFmtId="4" fontId="13" fillId="0" borderId="15" xfId="0" applyNumberFormat="1" applyFont="1" applyFill="1" applyBorder="1" applyAlignment="1">
      <x:alignment horizontal="center"/>
    </x:xf>
    <x:xf numFmtId="0" fontId="13" fillId="0" borderId="15" xfId="0" applyFont="1" applyBorder="1" applyAlignment="1">
      <x:alignment horizontal="center"/>
    </x:xf>
    <x:xf numFmtId="4" fontId="14" fillId="0" borderId="0" xfId="0" applyNumberFormat="1" applyFont="1" applyFill="1" applyBorder="1"/>
    <x:xf numFmtId="0" fontId="14" fillId="0" borderId="0" xfId="0" applyFont="1"/>
    <x:xf numFmtId="0" fontId="14" fillId="8" borderId="15" xfId="0" applyFont="1" applyFill="1" applyBorder="1" applyAlignment="1">
      <x:alignment horizontal="center"/>
    </x:xf>
    <x:xf numFmtId="0" fontId="14" fillId="8" borderId="15" xfId="0" applyFont="1" applyFill="1" applyBorder="1"/>
    <x:xf numFmtId="4" fontId="14" fillId="8" borderId="15" xfId="0" applyNumberFormat="1" applyFont="1" applyFill="1" applyBorder="1"/>
    <x:xf numFmtId="4" fontId="14" fillId="8" borderId="15" xfId="0" applyNumberFormat="1" applyFont="1" applyFill="1" applyBorder="1" applyAlignment="1">
      <x:alignment horizontal="center"/>
    </x:xf>
    <x:xf numFmtId="0" fontId="14" fillId="0" borderId="15" xfId="0" applyFont="1" applyBorder="1"/>
    <x:xf numFmtId="0" fontId="14" fillId="0" borderId="15" xfId="0" applyFont="1" applyBorder="1" applyAlignment="1">
      <x:alignment horizontal="center"/>
    </x:xf>
    <x:xf numFmtId="4" fontId="14" fillId="0" borderId="15" xfId="0" applyNumberFormat="1" applyFont="1" applyFill="1" applyBorder="1"/>
    <x:xf numFmtId="4" fontId="14" fillId="0" borderId="15" xfId="0" applyNumberFormat="1" applyFont="1" applyFill="1" applyBorder="1" applyAlignment="1">
      <x:alignment horizontal="center"/>
    </x:xf>
    <x:xf numFmtId="4" fontId="16" fillId="0" borderId="0" xfId="0" applyNumberFormat="1" applyFont="1" applyFill="1" applyBorder="1"/>
    <x:xf numFmtId="0" fontId="16" fillId="0" borderId="0" xfId="0" applyFont="1"/>
    <x:xf numFmtId="0" fontId="15" fillId="0" borderId="0" xfId="0" applyFont="1" applyAlignment="1">
      <x:alignment horizontal="center"/>
    </x:xf>
    <x:xf numFmtId="0" fontId="15" fillId="0" borderId="0" xfId="0" applyFont="1"/>
    <x:xf numFmtId="4" fontId="15" fillId="0" borderId="0" xfId="0" applyNumberFormat="1" applyFont="1" applyFill="1" applyBorder="1"/>
    <x:xf numFmtId="4" fontId="15" fillId="0" borderId="0" xfId="0" applyNumberFormat="1" applyFont="1" applyFill="1" applyBorder="1" applyAlignment="1">
      <x:alignment horizontal="center"/>
    </x:xf>
    <x:xf numFmtId="4" fontId="15" fillId="7" borderId="15" xfId="0" applyNumberFormat="1" applyFont="1" applyFill="1" applyBorder="1" applyAlignment="1">
      <x:alignment horizontal="center" vertical="center"/>
    </x:xf>
    <x:xf numFmtId="0" fontId="15" fillId="8" borderId="15" xfId="0" applyFont="1" applyFill="1" applyBorder="1" applyAlignment="1">
      <x:alignment horizontal="center"/>
    </x:xf>
    <x:xf numFmtId="0" fontId="15" fillId="8" borderId="15" xfId="0" applyFont="1" applyFill="1" applyBorder="1"/>
    <x:xf numFmtId="4" fontId="15" fillId="8" borderId="15" xfId="0" applyNumberFormat="1" applyFont="1" applyFill="1" applyBorder="1"/>
    <x:xf numFmtId="4" fontId="15" fillId="8" borderId="15" xfId="0" applyNumberFormat="1" applyFont="1" applyFill="1" applyBorder="1" applyAlignment="1">
      <x:alignment horizontal="center"/>
    </x:xf>
    <x:xf numFmtId="0" fontId="16" fillId="0" borderId="15" xfId="0" applyFont="1" applyBorder="1" applyAlignment="1">
      <x:alignment horizontal="center"/>
    </x:xf>
    <x:xf numFmtId="0" fontId="15" fillId="0" borderId="15" xfId="0" applyFont="1" applyBorder="1"/>
    <x:xf numFmtId="4" fontId="16" fillId="0" borderId="15" xfId="0" applyNumberFormat="1" applyFont="1" applyFill="1" applyBorder="1"/>
    <x:xf numFmtId="4" fontId="16" fillId="0" borderId="15" xfId="0" applyNumberFormat="1" applyFont="1" applyFill="1" applyBorder="1" applyAlignment="1">
      <x:alignment horizontal="center"/>
    </x:xf>
    <x:xf numFmtId="0" fontId="16" fillId="0" borderId="15" xfId="0" applyFont="1" applyBorder="1"/>
    <x:xf numFmtId="0" fontId="15" fillId="0" borderId="15" xfId="0" applyFont="1" applyBorder="1" applyAlignment="1">
      <x:alignment horizontal="center"/>
    </x:xf>
    <x:xf numFmtId="4" fontId="15" fillId="0" borderId="15" xfId="0" applyNumberFormat="1" applyFont="1" applyFill="1" applyBorder="1"/>
    <x:xf numFmtId="4" fontId="15" fillId="0" borderId="15" xfId="0" applyNumberFormat="1" applyFont="1" applyFill="1" applyBorder="1" applyAlignment="1">
      <x:alignment horizontal="center"/>
    </x:xf>
    <x:xf numFmtId="0" fontId="15" fillId="0" borderId="0" xfId="0" applyFont="1" applyAlignment="1">
      <x:alignment horizontal="center"/>
    </x:xf>
    <x:xf numFmtId="4" fontId="15" fillId="7" borderId="15" xfId="0" applyNumberFormat="1" applyFont="1" applyFill="1" applyBorder="1" applyAlignment="1">
      <x:alignment horizontal="center" vertical="center"/>
    </x:xf>
    <x:xf numFmtId="0" fontId="4" fillId="0" borderId="12" xfId="0" applyFont="1" applyBorder="1" applyAlignment="1">
      <x:alignment horizontal="center"/>
    </x:xf>
    <x:xf numFmtId="0" fontId="4" fillId="0" borderId="13" xfId="0" applyFont="1" applyBorder="1" applyAlignment="1">
      <x:alignment horizontal="center"/>
    </x:xf>
    <x:xf numFmtId="4" fontId="4" fillId="0" borderId="13" xfId="0" applyNumberFormat="1" applyFont="1" applyFill="1" applyBorder="1" applyAlignment="1">
      <x:alignment horizontal="center"/>
    </x:xf>
    <x:xf numFmtId="4" fontId="4" fillId="0" borderId="14" xfId="0" applyNumberFormat="1" applyFont="1" applyFill="1" applyBorder="1" applyAlignment="1">
      <x:alignment horizontal="center"/>
    </x:xf>
    <x:xf numFmtId="0" fontId="4" fillId="0" borderId="0" xfId="0" applyFont="1" applyAlignment="1">
      <x:alignment horizontal="center"/>
    </x:xf>
    <x:xf numFmtId="4" fontId="4" fillId="0" borderId="0" xfId="0" applyNumberFormat="1" applyFont="1" applyFill="1" applyBorder="1" applyAlignment="1">
      <x:alignment horizontal="center"/>
    </x:xf>
    <x:xf numFmtId="4" fontId="3" fillId="0" borderId="0" xfId="0" applyNumberFormat="1" applyFont="1" applyFill="1" applyBorder="1" applyAlignment="1">
      <x:alignment horizontal="right" vertical="center"/>
    </x:xf>
    <x:xf numFmtId="0" fontId="3" fillId="0" borderId="0" xfId="0" applyFont="1" applyAlignment="1">
      <x:alignment horizontal="right" vertical="center"/>
    </x:xf>
    <x:xf numFmtId="0" fontId="3" fillId="6" borderId="1" xfId="0" applyFont="1" applyFill="1" applyBorder="1" applyAlignment="1">
      <x:alignment horizontal="center" vertical="center"/>
    </x:xf>
    <x:xf numFmtId="0" fontId="3" fillId="6" borderId="3" xfId="0" applyFont="1" applyFill="1" applyBorder="1" applyAlignment="1">
      <x:alignment horizontal="center" vertical="center"/>
    </x:xf>
    <x:xf numFmtId="4" fontId="3" fillId="6" borderId="1" xfId="0" applyNumberFormat="1" applyFont="1" applyFill="1" applyBorder="1" applyAlignment="1">
      <x:alignment horizontal="center" vertical="center"/>
    </x:xf>
    <x:xf numFmtId="4" fontId="3" fillId="6" borderId="3" xfId="0" applyNumberFormat="1" applyFont="1" applyFill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4" fontId="4" fillId="0" borderId="14" xfId="0" applyNumberFormat="1" applyFont="1" applyFill="1" applyBorder="1" applyAlignment="1">
      <x:alignment horizontal="center" vertical="center"/>
    </x:xf>
    <x:xf numFmtId="0" fontId="15" fillId="0" borderId="0" xfId="0" applyFont="1" applyAlignment="1">
      <x:alignment horizontal="center"/>
    </x:xf>
    <x:xf numFmtId="0" fontId="15" fillId="7" borderId="15" xfId="0" applyFont="1" applyFill="1" applyBorder="1" applyAlignment="1">
      <x:alignment horizontal="center" vertical="center"/>
    </x:xf>
    <x:xf numFmtId="4" fontId="15" fillId="7" borderId="15" xfId="0" applyNumberFormat="1" applyFont="1" applyFill="1" applyBorder="1" applyAlignment="1">
      <x:alignment horizontal="center" vertical="center"/>
    </x:xf>
    <x:xf numFmtId="0" fontId="13" fillId="0" borderId="16" xfId="0" applyFont="1" applyBorder="1" applyAlignment="1">
      <x:alignment horizontal="center"/>
    </x:xf>
    <x:xf numFmtId="0" fontId="13" fillId="0" borderId="17" xfId="0" applyFont="1" applyBorder="1" applyAlignment="1">
      <x:alignment horizontal="center"/>
    </x:xf>
    <x:xf numFmtId="0" fontId="13" fillId="0" borderId="18" xfId="0" applyFont="1" applyBorder="1" applyAlignment="1">
      <x:alignment horizontal="center"/>
    </x:xf>
  </x:cellXfs>
  <x:cellStyles count="4">
    <x:cellStyle name="Comma" xfId="1"/>
    <x:cellStyle name="Comma 2" xfId="3"/>
    <x:cellStyle name="Normal" xfId="0"/>
    <x:cellStyle name="Normal 2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73fd3a35a44166" /><Relationship Type="http://schemas.openxmlformats.org/officeDocument/2006/relationships/theme" Target="/xl/theme/theme1.xml" Id="R5cb1c044ee674757" /><Relationship Type="http://schemas.openxmlformats.org/officeDocument/2006/relationships/sharedStrings" Target="/xl/sharedStrings.xml" Id="Rac52f589bd2e4e77" /><Relationship Type="http://schemas.openxmlformats.org/officeDocument/2006/relationships/worksheet" Target="/xl/worksheets/sheet1.xml" Id="Re81d936850684ec7" /><Relationship Type="http://schemas.openxmlformats.org/officeDocument/2006/relationships/worksheet" Target="/xl/worksheets/sheet2.xml" Id="R95359bf0c3554171" /><Relationship Type="http://schemas.openxmlformats.org/officeDocument/2006/relationships/worksheet" Target="/xl/worksheets/sheet3.xml" Id="R69a12f693bc84e44" /><Relationship Type="http://schemas.openxmlformats.org/officeDocument/2006/relationships/worksheet" Target="/xl/worksheets/sheet4.xml" Id="R45e15ce5c8254ed2" /><Relationship Type="http://schemas.openxmlformats.org/officeDocument/2006/relationships/worksheet" Target="/xl/worksheets/sheet5.xml" Id="Re6a5c70da7824ebe" /><Relationship Type="http://schemas.openxmlformats.org/officeDocument/2006/relationships/worksheet" Target="/xl/worksheets/sheet6.xml" Id="R74adc87049a44e0a" /><Relationship Type="http://schemas.openxmlformats.org/officeDocument/2006/relationships/worksheet" Target="/xl/worksheets/sheet7.xml" Id="R8b4a8a7aa5744cc7" /><Relationship Type="http://schemas.openxmlformats.org/officeDocument/2006/relationships/worksheet" Target="/xl/worksheets/sheet8.xml" Id="Re7624fe284a44ac0" /><Relationship Type="http://schemas.openxmlformats.org/officeDocument/2006/relationships/worksheet" Target="/xl/worksheets/sheet9.xml" Id="R3cdb35f5bac84cf3" /><Relationship Type="http://schemas.openxmlformats.org/officeDocument/2006/relationships/worksheet" Target="/xl/worksheets/sheet10.xml" Id="R548682b3062b45ab" /><Relationship Type="http://schemas.openxmlformats.org/officeDocument/2006/relationships/worksheet" Target="/xl/worksheets/sheet11.xml" Id="R4bd3f4779a7944b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B24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30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34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34" t="str">
        <x:v>ราคาต่อหน่วย</x:v>
      </x:c>
      <x:c r="F5" s="234" t="str">
        <x:v>จำนวนเงิน (บาท)</x:v>
      </x:c>
      <x:c r="G5" s="234" t="str">
        <x:v>ราคาต่อหน่วย</x:v>
      </x:c>
      <x:c r="H5" s="234" t="str">
        <x:v>จำนวนเงิน (บาท)</x:v>
      </x:c>
      <x:c r="I5" s="234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2:J2"/>
    <x:mergeCell ref="A1:J1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B25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B26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B27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B28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B30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B31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B33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B34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B36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9.899999618530273"/>
  <x:cols>
    <x:col min="1" max="1" width="9.06640625" style="215" customWidth="0"/>
    <x:col min="2" max="2" width="52.796875" style="210" customWidth="1"/>
    <x:col min="3" max="3" width="10.59765625" style="210" customWidth="1"/>
    <x:col min="4" max="4" width="10.59765625" style="215" customWidth="1"/>
    <x:col min="5" max="9" width="12.59765625" style="210" customWidth="1"/>
    <x:col min="10" max="10" width="10.59765625" style="210" customWidth="1"/>
    <x:col min="11" max="16384" width="9.06640625" style="210" customWidth="0"/>
  </x:cols>
  <x:sheetData>
    <x:row r="1" ht="23.25">
      <x:c r="A1" s="264" t="str">
        <x:v>สรุปรายการปริมาณงานและราคา บ้านแถว 4 หลัง / B38</x:v>
      </x:c>
      <x:c r="B1" s="264"/>
      <x:c r="C1" s="264"/>
      <x:c r="D1" s="264"/>
      <x:c r="E1" s="264"/>
      <x:c r="F1" s="264"/>
      <x:c r="G1" s="264"/>
      <x:c r="H1" s="264"/>
      <x:c r="I1" s="264"/>
      <x:c r="J1" s="264"/>
      <x:c r="K1" s="228"/>
    </x:row>
    <x:row r="2" ht="23.25">
      <x:c r="A2" s="264" t="str">
        <x:v> สถานที่ก่อสร้าง    โครงการ THE ECO NAKONLUANG ตำบลบ่อโพง อำเภอนครหลวง จังหวัดพระนครศรีอยุธยา</x:v>
      </x:c>
      <x:c r="B2" s="264"/>
      <x:c r="C2" s="264"/>
      <x:c r="D2" s="264"/>
      <x:c r="E2" s="264"/>
      <x:c r="F2" s="264"/>
      <x:c r="G2" s="264"/>
      <x:c r="H2" s="264"/>
      <x:c r="I2" s="264"/>
      <x:c r="J2" s="264"/>
      <x:c r="K2" s="229"/>
    </x:row>
    <x:row r="3" ht="23.25">
      <x:c r="A3" s="247"/>
      <x:c r="B3" s="231"/>
      <x:c r="C3" s="232"/>
      <x:c r="D3" s="233"/>
      <x:c r="E3" s="232"/>
      <x:c r="F3" s="232"/>
      <x:c r="G3" s="232"/>
      <x:c r="H3" s="232"/>
      <x:c r="I3" s="231" t="str">
        <x:v>บ้านริม 2 หลัง + บ้านกลาง 2 หลัง</x:v>
      </x:c>
      <x:c r="J3" s="231"/>
      <x:c r="K3" s="228"/>
    </x:row>
    <x:row r="4" s="219" customFormat="1" ht="23.25">
      <x:c r="A4" s="265" t="str">
        <x:v>ลำดับที่</x:v>
      </x:c>
      <x:c r="B4" s="265" t="str">
        <x:v>รายการ</x:v>
      </x:c>
      <x:c r="C4" s="266" t="str">
        <x:v>จำนวน</x:v>
      </x:c>
      <x:c r="D4" s="266" t="str">
        <x:v>หน่วย</x:v>
      </x:c>
      <x:c r="E4" s="266" t="str">
        <x:v>ค่าวัสดุ</x:v>
      </x:c>
      <x:c r="F4" s="266"/>
      <x:c r="G4" s="266" t="str">
        <x:v>ค่าแรงงาน</x:v>
      </x:c>
      <x:c r="H4" s="266"/>
      <x:c r="I4" s="248" t="str">
        <x:v>รวมค่าวัสดุและ</x:v>
      </x:c>
      <x:c r="J4" s="265" t="str">
        <x:v>หมายเหตุ</x:v>
      </x:c>
      <x:c r="K4" s="232"/>
    </x:row>
    <x:row r="5" s="219" customFormat="1" ht="23.25">
      <x:c r="A5" s="265"/>
      <x:c r="B5" s="265"/>
      <x:c r="C5" s="266"/>
      <x:c r="D5" s="266"/>
      <x:c r="E5" s="248" t="str">
        <x:v>ราคาต่อหน่วย</x:v>
      </x:c>
      <x:c r="F5" s="248" t="str">
        <x:v>จำนวนเงิน (บาท)</x:v>
      </x:c>
      <x:c r="G5" s="248" t="str">
        <x:v>ราคาต่อหน่วย</x:v>
      </x:c>
      <x:c r="H5" s="248" t="str">
        <x:v>จำนวนเงิน (บาท)</x:v>
      </x:c>
      <x:c r="I5" s="248" t="str">
        <x:v>ค่าแรงงาน (บาท)</x:v>
      </x:c>
      <x:c r="J5" s="265"/>
      <x:c r="K5" s="232"/>
    </x:row>
    <x:row r="6" s="219" customFormat="1" ht="23.25">
      <x:c r="A6" s="235" t="n">
        <x:v>1</x:v>
      </x:c>
      <x:c r="B6" s="236" t="str">
        <x:v>งานโครงสร้างวิศวกรรม</x:v>
      </x:c>
      <x:c r="C6" s="237"/>
      <x:c r="D6" s="238"/>
      <x:c r="E6" s="237"/>
      <x:c r="F6" s="237"/>
      <x:c r="G6" s="237"/>
      <x:c r="H6" s="237"/>
      <x:c r="I6" s="237"/>
      <x:c r="J6" s="236"/>
      <x:c r="K6" s="232"/>
    </x:row>
    <x:row r="7" ht="23.25">
      <x:c r="A7" s="239"/>
      <x:c r="B7" s="240" t="str">
        <x:v> 1.1 งานดิน หิน ทราย และฐานราก</x:v>
      </x:c>
      <x:c r="C7" s="241"/>
      <x:c r="D7" s="242"/>
      <x:c r="E7" s="241"/>
      <x:c r="F7" s="241"/>
      <x:c r="G7" s="241"/>
      <x:c r="H7" s="241"/>
      <x:c r="I7" s="241"/>
      <x:c r="J7" s="243"/>
      <x:c r="K7" s="228"/>
    </x:row>
    <x:row r="8" ht="23.25">
      <x:c r="A8" s="239"/>
      <x:c r="B8" s="243" t="str">
        <x:v>       - ขุดดินฐานรากและถมคืน (งานแบ็คโคร)</x:v>
      </x:c>
      <x:c r="C8" s="241" t="n">
        <x:v>6.67</x:v>
      </x:c>
      <x:c r="D8" s="242" t="str">
        <x:v>วัน</x:v>
      </x:c>
      <x:c r="E8" s="241" t="n">
        <x:v>3500</x:v>
      </x:c>
      <x:c r="F8" s="241" t="n">
        <x:v>23333.33</x:v>
      </x:c>
      <x:c r="G8" s="241" t="n">
        <x:v>0</x:v>
      </x:c>
      <x:c r="H8" s="241" t="n">
        <x:v>0</x:v>
      </x:c>
      <x:c r="I8" s="241" t="n">
        <x:f>ROUND(F8+H8,2)</x:f>
        <x:v>23333.33</x:v>
      </x:c>
      <x:c r="J8" s="243"/>
      <x:c r="K8" s="228"/>
    </x:row>
    <x:row r="9" ht="23.25">
      <x:c r="A9" s="239"/>
      <x:c r="B9" s="243" t="str">
        <x:v>       - คอนกรีตผสมเสร็จ 280 กก./ตร.ซม. (ลูกบาศก์)</x:v>
      </x:c>
      <x:c r="C9" s="241" t="n">
        <x:v>3.67</x:v>
      </x:c>
      <x:c r="D9" s="242" t="str">
        <x:v>ลบ.ม.</x:v>
      </x:c>
      <x:c r="E9" s="241" t="n">
        <x:v>1500</x:v>
      </x:c>
      <x:c r="F9" s="241" t="n">
        <x:v>5500</x:v>
      </x:c>
      <x:c r="G9" s="241" t="n">
        <x:v>0</x:v>
      </x:c>
      <x:c r="H9" s="241" t="n">
        <x:v>3000</x:v>
      </x:c>
      <x:c r="I9" s="241" t="n">
        <x:f>ROUND(F9+H9,2)</x:f>
        <x:v>8500</x:v>
      </x:c>
      <x:c r="J9" s="243"/>
      <x:c r="K9" s="228"/>
    </x:row>
    <x:row r="10" ht="23.25">
      <x:c r="A10" s="239"/>
      <x:c r="B10" s="243" t="str">
        <x:v>       - คอนกรีตหยาบรองก้นฐานราก 1:3:5</x:v>
      </x:c>
      <x:c r="C10" s="241" t="n">
        <x:v>0</x:v>
      </x:c>
      <x:c r="D10" s="242" t="str">
        <x:v>ลบ.ม.</x:v>
      </x:c>
      <x:c r="E10" s="241" t="n">
        <x:v>0</x:v>
      </x:c>
      <x:c r="F10" s="241" t="n">
        <x:v>0</x:v>
      </x:c>
      <x:c r="G10" s="241" t="n">
        <x:v>0</x:v>
      </x:c>
      <x:c r="H10" s="241" t="n">
        <x:v>0</x:v>
      </x:c>
      <x:c r="I10" s="241" t="n">
        <x:f>ROUND(F10+H10,2)</x:f>
        <x:v>0</x:v>
      </x:c>
      <x:c r="J10" s="243"/>
      <x:c r="K10" s="228"/>
    </x:row>
    <x:row r="11" ht="23.25">
      <x:c r="A11" s="239"/>
      <x:c r="B11" s="243" t="str">
        <x:v>       - ทรายถมปรับระดับ</x:v>
      </x:c>
      <x:c r="C11" s="241" t="n">
        <x:v>26.67</x:v>
      </x:c>
      <x:c r="D11" s="242" t="str">
        <x:v>ลบ.ม.</x:v>
      </x:c>
      <x:c r="E11" s="241" t="n">
        <x:v>100</x:v>
      </x:c>
      <x:c r="F11" s="241" t="n">
        <x:v>2666.67</x:v>
      </x:c>
      <x:c r="G11" s="241" t="n">
        <x:v>0</x:v>
      </x:c>
      <x:c r="H11" s="241" t="n">
        <x:v>600</x:v>
      </x:c>
      <x:c r="I11" s="241" t="n">
        <x:f>ROUND(F11+H11,2)</x:f>
        <x:v>3266.67</x:v>
      </x:c>
      <x:c r="J11" s="243"/>
      <x:c r="K11" s="228"/>
    </x:row>
    <x:row r="12" s="219" customFormat="1" ht="23.25">
      <x:c r="A12" s="244"/>
      <x:c r="B12" s="240" t="str">
        <x:v>รวมงานข้อ 1.1</x:v>
      </x:c>
      <x:c r="C12" s="245"/>
      <x:c r="D12" s="246"/>
      <x:c r="E12" s="245"/>
      <x:c r="F12" s="245" t="n">
        <x:f>ROUND(SUM(F8,F9,F10,F11),2)</x:f>
        <x:v>31500</x:v>
      </x:c>
      <x:c r="G12" s="245"/>
      <x:c r="H12" s="245" t="n">
        <x:f>ROUND(SUM(H8,H9,H10,H11),2)</x:f>
        <x:v>3600</x:v>
      </x:c>
      <x:c r="I12" s="245" t="n">
        <x:f>ROUND(F12+H12,2)</x:f>
        <x:v>35100</x:v>
      </x:c>
      <x:c r="J12" s="240"/>
      <x:c r="K12" s="232"/>
    </x:row>
    <x:row r="13" ht="23.25">
      <x:c r="A13" s="239"/>
      <x:c r="B13" s="240" t="str">
        <x:v> 1.2 งานตอกเสาเข็ม</x:v>
      </x:c>
      <x:c r="C13" s="241"/>
      <x:c r="D13" s="242"/>
      <x:c r="E13" s="241"/>
      <x:c r="F13" s="241"/>
      <x:c r="G13" s="241"/>
      <x:c r="H13" s="241"/>
      <x:c r="I13" s="241"/>
      <x:c r="J13" s="243"/>
      <x:c r="K13" s="228"/>
    </x:row>
    <x:row r="14" ht="23.25">
      <x:c r="A14" s="239"/>
      <x:c r="B14" s="243" t="str">
        <x:v>       - เสาเข็ม ไอตัน ขนาด 0.18 x 0.18 x 16 ม.</x:v>
      </x:c>
      <x:c r="C14" s="241" t="n">
        <x:v>32</x:v>
      </x:c>
      <x:c r="D14" s="242" t="str">
        <x:v>ต้น</x:v>
      </x:c>
      <x:c r="E14" s="241" t="n">
        <x:v>2080</x:v>
      </x:c>
      <x:c r="F14" s="241" t="n">
        <x:f>C14*E14</x:f>
        <x:v>66560</x:v>
      </x:c>
      <x:c r="G14" s="241" t="n">
        <x:v>750</x:v>
      </x:c>
      <x:c r="H14" s="241" t="n">
        <x:v>26500</x:v>
      </x:c>
      <x:c r="I14" s="241" t="n">
        <x:f>ROUND(F14+H14,2)</x:f>
        <x:v>93060</x:v>
      </x:c>
      <x:c r="J14" s="243"/>
      <x:c r="K14" s="228"/>
    </x:row>
    <x:row r="15" ht="23.25">
      <x:c r="A15" s="239"/>
      <x:c r="B15" s="243" t="str">
        <x:v>       - ค่าสกัดหัวเสาเข็ม</x:v>
      </x:c>
      <x:c r="C15" s="241" t="n">
        <x:v>0</x:v>
      </x:c>
      <x:c r="D15" s="242" t="str">
        <x:v>ต้น</x:v>
      </x:c>
      <x:c r="E15" s="241" t="n">
        <x:v>0</x:v>
      </x:c>
      <x:c r="F15" s="241" t="n">
        <x:v>0</x:v>
      </x:c>
      <x:c r="G15" s="241" t="n">
        <x:v>0</x:v>
      </x:c>
      <x:c r="H15" s="241" t="n">
        <x:v>0</x:v>
      </x:c>
      <x:c r="I15" s="241" t="n">
        <x:f>ROUND(F15+H15,2)</x:f>
        <x:v>0</x:v>
      </x:c>
      <x:c r="J15" s="243"/>
      <x:c r="K15" s="228"/>
    </x:row>
    <x:row r="16" s="219" customFormat="1" ht="23.25">
      <x:c r="A16" s="244"/>
      <x:c r="B16" s="240" t="str">
        <x:v>รวมงานข้อ 1.2</x:v>
      </x:c>
      <x:c r="C16" s="245"/>
      <x:c r="D16" s="246"/>
      <x:c r="E16" s="245"/>
      <x:c r="F16" s="245" t="n">
        <x:f>ROUND(SUM(F14,F15),2)</x:f>
        <x:v>66560</x:v>
      </x:c>
      <x:c r="G16" s="245"/>
      <x:c r="H16" s="245" t="n">
        <x:f>ROUND(SUM(H14,H15),2)</x:f>
        <x:v>26500</x:v>
      </x:c>
      <x:c r="I16" s="245" t="n">
        <x:f>ROUND(F16+H16,2)</x:f>
        <x:v>93060</x:v>
      </x:c>
      <x:c r="J16" s="240"/>
      <x:c r="K16" s="232"/>
    </x:row>
    <x:row r="17" ht="23.25">
      <x:c r="A17" s="239"/>
      <x:c r="B17" s="240" t="str">
        <x:v> 1.3 งานแบบหล่อคอนกรีต</x:v>
      </x:c>
      <x:c r="C17" s="241"/>
      <x:c r="D17" s="242"/>
      <x:c r="E17" s="241"/>
      <x:c r="F17" s="241"/>
      <x:c r="G17" s="241"/>
      <x:c r="H17" s="241"/>
      <x:c r="I17" s="241"/>
      <x:c r="J17" s="243"/>
      <x:c r="K17" s="228"/>
    </x:row>
    <x:row r="18" ht="23.25">
      <x:c r="A18" s="239"/>
      <x:c r="B18" s="243" t="str">
        <x:v>       - ไม้แบบทั่วไป </x:v>
      </x:c>
      <x:c r="C18" s="241" t="n">
        <x:v>13.33</x:v>
      </x:c>
      <x:c r="D18" s="242" t="str">
        <x:v>แผ่น</x:v>
      </x:c>
      <x:c r="E18" s="241" t="n">
        <x:v>590</x:v>
      </x:c>
      <x:c r="F18" s="241" t="n">
        <x:v>7866.67</x:v>
      </x:c>
      <x:c r="G18" s="241" t="n">
        <x:v>0</x:v>
      </x:c>
      <x:c r="H18" s="241" t="n">
        <x:v>0</x:v>
      </x:c>
      <x:c r="I18" s="241" t="n">
        <x:f t="shared" ref="I18:I23" si="0">ROUND(F18+H18,2)</x:f>
        <x:v>7866.67</x:v>
      </x:c>
      <x:c r="J18" s="243"/>
      <x:c r="K18" s="228"/>
    </x:row>
    <x:row r="19" ht="23.25">
      <x:c r="A19" s="239"/>
      <x:c r="B19" s="243" t="str">
        <x:v>       - ไม้คร่าว</x:v>
      </x:c>
      <x:c r="C19" s="241" t="n">
        <x:v>0</x:v>
      </x:c>
      <x:c r="D19" s="242" t="str">
        <x:v>ลบ.ฟ.</x:v>
      </x:c>
      <x:c r="E19" s="241" t="n">
        <x:v>0</x:v>
      </x:c>
      <x:c r="F19" s="241" t="n">
        <x:v>0</x:v>
      </x:c>
      <x:c r="G19" s="241" t="n">
        <x:v>0</x:v>
      </x:c>
      <x:c r="H19" s="241" t="n">
        <x:v>0</x:v>
      </x:c>
      <x:c r="I19" s="241" t="n">
        <x:f t="shared" si="0"/>
        <x:v>0</x:v>
      </x:c>
      <x:c r="J19" s="243"/>
      <x:c r="K19" s="228"/>
    </x:row>
    <x:row r="20" ht="23.25">
      <x:c r="A20" s="239"/>
      <x:c r="B20" s="243" t="str">
        <x:v>       - ไม้ค้ำยัน</x:v>
      </x:c>
      <x:c r="C20" s="241" t="n">
        <x:v>133.33</x:v>
      </x:c>
      <x:c r="D20" s="242" t="str">
        <x:v>ต้น</x:v>
      </x:c>
      <x:c r="E20" s="241" t="n">
        <x:v>25</x:v>
      </x:c>
      <x:c r="F20" s="241" t="n">
        <x:v>3333.33</x:v>
      </x:c>
      <x:c r="G20" s="241" t="n">
        <x:v>0</x:v>
      </x:c>
      <x:c r="H20" s="241" t="n">
        <x:v>0</x:v>
      </x:c>
      <x:c r="I20" s="241" t="n">
        <x:f t="shared" si="0"/>
        <x:v>3333.33</x:v>
      </x:c>
      <x:c r="J20" s="243"/>
      <x:c r="K20" s="228"/>
    </x:row>
    <x:row r="21" ht="23.25">
      <x:c r="A21" s="239"/>
      <x:c r="B21" s="243" t="str">
        <x:v>       - ตะปูขนาดต่างๆ</x:v>
      </x:c>
      <x:c r="C21" s="241" t="n">
        <x:v>0</x:v>
      </x:c>
      <x:c r="D21" s="242" t="str">
        <x:v>กก.</x:v>
      </x:c>
      <x:c r="E21" s="241" t="n">
        <x:v>0</x:v>
      </x:c>
      <x:c r="F21" s="241" t="n">
        <x:v>0</x:v>
      </x:c>
      <x:c r="G21" s="241" t="n">
        <x:v>0</x:v>
      </x:c>
      <x:c r="H21" s="241" t="n">
        <x:v>0</x:v>
      </x:c>
      <x:c r="I21" s="241" t="n">
        <x:f t="shared" si="0"/>
        <x:v>0</x:v>
      </x:c>
      <x:c r="J21" s="243"/>
      <x:c r="K21" s="228"/>
    </x:row>
    <x:row r="22" ht="23.25">
      <x:c r="A22" s="239"/>
      <x:c r="B22" s="243" t="str">
        <x:v>       - ค่าแรงงานไม้แบบ</x:v>
      </x:c>
      <x:c r="C22" s="241" t="n">
        <x:v>0</x:v>
      </x:c>
      <x:c r="D22" s="242" t="str">
        <x:v>ตร.ม.</x:v>
      </x:c>
      <x:c r="E22" s="241" t="n">
        <x:v>0</x:v>
      </x:c>
      <x:c r="F22" s="241" t="n">
        <x:v>0</x:v>
      </x:c>
      <x:c r="G22" s="241" t="n">
        <x:v>0</x:v>
      </x:c>
      <x:c r="H22" s="241" t="n">
        <x:v>0</x:v>
      </x:c>
      <x:c r="I22" s="241" t="n">
        <x:f t="shared" si="0"/>
        <x:v>0</x:v>
      </x:c>
      <x:c r="J22" s="243"/>
      <x:c r="K22" s="228"/>
    </x:row>
    <x:row r="23" s="219" customFormat="1" ht="23.25">
      <x:c r="A23" s="244"/>
      <x:c r="B23" s="240" t="str">
        <x:v>รวมงานข้อ 1.3</x:v>
      </x:c>
      <x:c r="C23" s="245"/>
      <x:c r="D23" s="246"/>
      <x:c r="E23" s="245"/>
      <x:c r="F23" s="245" t="n">
        <x:f>ROUND(SUM(F18,F19,F20,F21,F22),2)</x:f>
        <x:v>11200</x:v>
      </x:c>
      <x:c r="G23" s="245"/>
      <x:c r="H23" s="245" t="n">
        <x:f>ROUND(SUM(H18,H19,H20,H21,H22),2)</x:f>
        <x:v>0</x:v>
      </x:c>
      <x:c r="I23" s="245" t="n">
        <x:f t="shared" si="0"/>
        <x:v>11200</x:v>
      </x:c>
      <x:c r="J23" s="240"/>
      <x:c r="K23" s="232"/>
    </x:row>
    <x:row r="24" ht="23.25">
      <x:c r="A24" s="239"/>
      <x:c r="B24" s="240" t="str">
        <x:v> 1.4 งานคอนกรีตโครงสร้าง</x:v>
      </x:c>
      <x:c r="C24" s="241"/>
      <x:c r="D24" s="242"/>
      <x:c r="E24" s="241"/>
      <x:c r="F24" s="241"/>
      <x:c r="G24" s="241"/>
      <x:c r="H24" s="241"/>
      <x:c r="I24" s="241"/>
      <x:c r="J24" s="243"/>
      <x:c r="K24" s="228"/>
    </x:row>
    <x:row r="25" ht="23.25">
      <x:c r="A25" s="239"/>
      <x:c r="B25" s="243" t="str">
        <x:v>       - คอนกรีตหยาบ( lean)</x:v>
      </x:c>
      <x:c r="C25" s="241" t="n">
        <x:v>10</x:v>
      </x:c>
      <x:c r="D25" s="242" t="str">
        <x:v>ลบ.ม.</x:v>
      </x:c>
      <x:c r="E25" s="241" t="n">
        <x:v>1300</x:v>
      </x:c>
      <x:c r="F25" s="241" t="n">
        <x:v>13000</x:v>
      </x:c>
      <x:c r="G25" s="241" t="n">
        <x:v>173.47</x:v>
      </x:c>
      <x:c r="H25" s="241" t="n">
        <x:v>34694</x:v>
      </x:c>
      <x:c r="I25" s="241" t="n">
        <x:f>ROUND(F25+H25,2)</x:f>
        <x:v>47694</x:v>
      </x:c>
      <x:c r="J25" s="243"/>
      <x:c r="K25" s="228"/>
    </x:row>
    <x:row r="26" ht="23.25">
      <x:c r="A26" s="239"/>
      <x:c r="B26" s="243" t="str">
        <x:v>       - คอนกรีตผสมเสร็จ 280 กก./ตร.ซม. (ลูกบาศก์)</x:v>
      </x:c>
      <x:c r="C26" s="241" t="n">
        <x:v>36.67</x:v>
      </x:c>
      <x:c r="D26" s="242" t="str">
        <x:v>ลบ.ม.</x:v>
      </x:c>
      <x:c r="E26" s="241" t="n">
        <x:v>1500</x:v>
      </x:c>
      <x:c r="F26" s="241" t="n">
        <x:v>55000</x:v>
      </x:c>
      <x:c r="G26" s="241" t="n">
        <x:v>0</x:v>
      </x:c>
      <x:c r="H26" s="241" t="n">
        <x:v>0</x:v>
      </x:c>
      <x:c r="I26" s="241" t="n">
        <x:f>ROUND(F26+H26,2)</x:f>
        <x:v>55000</x:v>
      </x:c>
      <x:c r="J26" s="243"/>
      <x:c r="K26" s="228"/>
    </x:row>
    <x:row r="27" ht="23.25">
      <x:c r="A27" s="239"/>
      <x:c r="B27" s="243" t="str">
        <x:v>       - คอนกรีตผสมเสร็จ 320 กก./ตร.ซม. (ลูกบาศก์)</x:v>
      </x:c>
      <x:c r="C27" s="241" t="n">
        <x:v>0</x:v>
      </x:c>
      <x:c r="D27" s="242" t="str">
        <x:v>ลบ.ม.</x:v>
      </x:c>
      <x:c r="E27" s="241" t="n">
        <x:v>1600</x:v>
      </x:c>
      <x:c r="F27" s="241" t="n">
        <x:v>0</x:v>
      </x:c>
      <x:c r="G27" s="241" t="n">
        <x:v>0</x:v>
      </x:c>
      <x:c r="H27" s="241" t="n">
        <x:v>3200</x:v>
      </x:c>
      <x:c r="I27" s="241" t="n">
        <x:f>ROUND(F27+H27,2)</x:f>
        <x:v>3200</x:v>
      </x:c>
      <x:c r="J27" s="243"/>
      <x:c r="K27" s="228"/>
    </x:row>
    <x:row r="28" ht="23.25">
      <x:c r="A28" s="239"/>
      <x:c r="B28" s="243" t="str">
        <x:v>       - เหล็กตะแกรง WIRE MESH Ø 6 มม. @ 0.20 ม. (ข้ออ้อย)</x:v>
      </x:c>
      <x:c r="C28" s="241" t="n">
        <x:v>400</x:v>
      </x:c>
      <x:c r="D28" s="242" t="str">
        <x:v>ตร.ม.</x:v>
      </x:c>
      <x:c r="E28" s="241" t="n">
        <x:v>74.2</x:v>
      </x:c>
      <x:c r="F28" s="241" t="n">
        <x:v>29680</x:v>
      </x:c>
      <x:c r="G28" s="241" t="n">
        <x:v>0</x:v>
      </x:c>
      <x:c r="H28" s="241" t="n">
        <x:v>296.8</x:v>
      </x:c>
      <x:c r="I28" s="241" t="n">
        <x:f>ROUND(F28+H28,2)</x:f>
        <x:v>29976.8</x:v>
      </x:c>
      <x:c r="J28" s="243"/>
      <x:c r="K28" s="228"/>
    </x:row>
    <x:row r="29" s="219" customFormat="1" ht="23.25">
      <x:c r="A29" s="244"/>
      <x:c r="B29" s="240" t="str">
        <x:v>รวมงานข้อ 1.4</x:v>
      </x:c>
      <x:c r="C29" s="245"/>
      <x:c r="D29" s="246"/>
      <x:c r="E29" s="245"/>
      <x:c r="F29" s="245" t="n">
        <x:f>ROUND(SUM(F25,F26,F27,F28),2)</x:f>
        <x:v>97680</x:v>
      </x:c>
      <x:c r="G29" s="245"/>
      <x:c r="H29" s="245" t="n">
        <x:f>ROUND(SUM(H25,H26,H27,H28),2)</x:f>
        <x:v>38190.8</x:v>
      </x:c>
      <x:c r="I29" s="245" t="n">
        <x:f>ROUND(F29+H29,2)</x:f>
        <x:v>135870.8</x:v>
      </x:c>
      <x:c r="J29" s="240"/>
      <x:c r="K29" s="232"/>
    </x:row>
    <x:row r="30" ht="23.25">
      <x:c r="A30" s="239"/>
      <x:c r="B30" s="240" t="str">
        <x:v> 1.5 งานเหล็กเสริมคอนกรีต</x:v>
      </x:c>
      <x:c r="C30" s="241"/>
      <x:c r="D30" s="242"/>
      <x:c r="E30" s="241"/>
      <x:c r="F30" s="241"/>
      <x:c r="G30" s="241"/>
      <x:c r="H30" s="241"/>
      <x:c r="I30" s="241"/>
      <x:c r="J30" s="243"/>
      <x:c r="K30" s="228"/>
    </x:row>
    <x:row r="31" ht="23.25">
      <x:c r="A31" s="239"/>
      <x:c r="B31" s="243" t="str">
        <x:v>       - เหล็กเส้นกลมผิวเรียบ SR 24 ขนาด Ø 6 มม.</x:v>
      </x:c>
      <x:c r="C31" s="241" t="n">
        <x:v>0.07</x:v>
      </x:c>
      <x:c r="D31" s="242" t="str">
        <x:v>ตัน</x:v>
      </x:c>
      <x:c r="E31" s="241" t="n">
        <x:v>64</x:v>
      </x:c>
      <x:c r="F31" s="241" t="n">
        <x:v>2133.33</x:v>
      </x:c>
      <x:c r="G31" s="241" t="n">
        <x:v>0</x:v>
      </x:c>
      <x:c r="H31" s="241" t="n">
        <x:v>0</x:v>
      </x:c>
      <x:c r="I31" s="241" t="n">
        <x:f t="shared" ref="I31:I36" si="1">ROUND(F31+H31,2)</x:f>
        <x:v>2133.33</x:v>
      </x:c>
      <x:c r="J31" s="243"/>
      <x:c r="K31" s="228"/>
    </x:row>
    <x:row r="32" ht="23.25">
      <x:c r="A32" s="239"/>
      <x:c r="B32" s="243" t="str">
        <x:v>       - เหล็กเส้นกลมผิวเรียบ SR 24 ขนาด Ø 9 มม.</x:v>
      </x:c>
      <x:c r="C32" s="241" t="n">
        <x:v>0.22</x:v>
      </x:c>
      <x:c r="D32" s="242" t="str">
        <x:v>ตัน</x:v>
      </x:c>
      <x:c r="E32" s="241" t="n">
        <x:v>137</x:v>
      </x:c>
      <x:c r="F32" s="241" t="n">
        <x:v>5936.67</x:v>
      </x:c>
      <x:c r="G32" s="241" t="n">
        <x:v>1</x:v>
      </x:c>
      <x:c r="H32" s="241" t="n">
        <x:v>274</x:v>
      </x:c>
      <x:c r="I32" s="241" t="n">
        <x:f t="shared" si="1"/>
        <x:v>6210.67</x:v>
      </x:c>
      <x:c r="J32" s="243"/>
      <x:c r="K32" s="228"/>
    </x:row>
    <x:row r="33" ht="23.25">
      <x:c r="A33" s="239"/>
      <x:c r="B33" s="243" t="str">
        <x:v>       - เหล็กเส้นกลมผิวข้ออ้อย SD 40 ขนาด Ø 12 มม.</x:v>
      </x:c>
      <x:c r="C33" s="241" t="n">
        <x:v>1.27</x:v>
      </x:c>
      <x:c r="D33" s="242" t="str">
        <x:v>ตัน</x:v>
      </x:c>
      <x:c r="E33" s="241" t="n">
        <x:v>240</x:v>
      </x:c>
      <x:c r="F33" s="241" t="n">
        <x:v>34400</x:v>
      </x:c>
      <x:c r="G33" s="241" t="n">
        <x:v>2</x:v>
      </x:c>
      <x:c r="H33" s="241" t="n">
        <x:v>960</x:v>
      </x:c>
      <x:c r="I33" s="241" t="n">
        <x:f t="shared" si="1"/>
        <x:v>35360</x:v>
      </x:c>
      <x:c r="J33" s="243"/>
      <x:c r="K33" s="228"/>
    </x:row>
    <x:row r="34" ht="23.25">
      <x:c r="A34" s="239"/>
      <x:c r="B34" s="243" t="str">
        <x:v>       - เหล็กเส้นกลมผิวข้ออ้อย SD 40 ขนาด Ø 16 มม.</x:v>
      </x:c>
      <x:c r="C34" s="241" t="n">
        <x:v>0</x:v>
      </x:c>
      <x:c r="D34" s="242" t="str">
        <x:v>ตัน</x:v>
      </x:c>
      <x:c r="E34" s="241" t="n">
        <x:v>425</x:v>
      </x:c>
      <x:c r="F34" s="241" t="n">
        <x:v>0</x:v>
      </x:c>
      <x:c r="G34" s="241" t="n">
        <x:v>3</x:v>
      </x:c>
      <x:c r="H34" s="241" t="n">
        <x:v>2550</x:v>
      </x:c>
      <x:c r="I34" s="241" t="n">
        <x:f t="shared" si="1"/>
        <x:v>2550</x:v>
      </x:c>
      <x:c r="J34" s="243"/>
      <x:c r="K34" s="228"/>
    </x:row>
    <x:row r="35" ht="23.25">
      <x:c r="A35" s="239"/>
      <x:c r="B35" s="243" t="str">
        <x:v>       - ลวดผูกเหล็ก Ø 1.25 มม. (เบอร์ 18)</x:v>
      </x:c>
      <x:c r="C35" s="241" t="n">
        <x:v>0</x:v>
      </x:c>
      <x:c r="D35" s="242" t="str">
        <x:v>กก.</x:v>
      </x:c>
      <x:c r="E35" s="241" t="n">
        <x:v>0</x:v>
      </x:c>
      <x:c r="F35" s="241" t="n">
        <x:v>0</x:v>
      </x:c>
      <x:c r="G35" s="241" t="n">
        <x:v>4</x:v>
      </x:c>
      <x:c r="H35" s="241" t="n">
        <x:v>0</x:v>
      </x:c>
      <x:c r="I35" s="241" t="n">
        <x:f t="shared" si="1"/>
        <x:v>0</x:v>
      </x:c>
      <x:c r="J35" s="243"/>
      <x:c r="K35" s="228"/>
    </x:row>
    <x:row r="36" s="219" customFormat="1" ht="23.25">
      <x:c r="A36" s="244"/>
      <x:c r="B36" s="240" t="str">
        <x:v>รวมงานข้อ 1.5</x:v>
      </x:c>
      <x:c r="C36" s="245"/>
      <x:c r="D36" s="246"/>
      <x:c r="E36" s="245"/>
      <x:c r="F36" s="245" t="n">
        <x:f>ROUND(SUM(F31,F32,F33,F34,F35),2)</x:f>
        <x:v>42470</x:v>
      </x:c>
      <x:c r="G36" s="245"/>
      <x:c r="H36" s="245" t="n">
        <x:f>ROUND(SUM(H31,H32,H33,H34,H35),2)</x:f>
        <x:v>3784</x:v>
      </x:c>
      <x:c r="I36" s="245" t="n">
        <x:f t="shared" si="1"/>
        <x:v>46254</x:v>
      </x:c>
      <x:c r="J36" s="240"/>
      <x:c r="K36" s="232"/>
    </x:row>
    <x:row r="37" ht="23.25">
      <x:c r="A37" s="239"/>
      <x:c r="B37" s="240" t="str">
        <x:v> 1.6 งานผนังสำเร็จ (แบบหล่อพร้อมจับเซี้ยม)</x:v>
      </x:c>
      <x:c r="C37" s="241"/>
      <x:c r="D37" s="242"/>
      <x:c r="E37" s="241"/>
      <x:c r="F37" s="241"/>
      <x:c r="G37" s="241"/>
      <x:c r="H37" s="241"/>
      <x:c r="I37" s="241"/>
      <x:c r="J37" s="243"/>
      <x:c r="K37" s="228"/>
    </x:row>
    <x:row r="38" ht="23.25">
      <x:c r="A38" s="239"/>
      <x:c r="B38" s="243" t="str">
        <x:v>       - เหล็กเส้นกลมผิวเรียบ SR 24 ขนาด Ø 9 มม.</x:v>
      </x:c>
      <x:c r="C38" s="241" t="n">
        <x:v>0.2</x:v>
      </x:c>
      <x:c r="D38" s="242" t="str">
        <x:v>ตัน</x:v>
      </x:c>
      <x:c r="E38" s="241" t="n">
        <x:v>137</x:v>
      </x:c>
      <x:c r="F38" s="241" t="n">
        <x:v>5472.68</x:v>
      </x:c>
      <x:c r="G38" s="241" t="n">
        <x:v>115</x:v>
      </x:c>
      <x:c r="H38" s="241" t="n">
        <x:v>46000</x:v>
      </x:c>
      <x:c r="I38" s="241" t="n">
        <x:f>ROUND(F38+H38,2)</x:f>
        <x:v>51472.68</x:v>
      </x:c>
      <x:c r="J38" s="243"/>
      <x:c r="K38" s="228"/>
    </x:row>
    <x:row r="39" ht="23.25">
      <x:c r="A39" s="239"/>
      <x:c r="B39" s="243" t="str">
        <x:v>       - เหล็กเส้นกลมผิวข้ออ้อย SD 40 ขนาด Ø 12 มม.</x:v>
      </x:c>
      <x:c r="C39" s="241" t="n">
        <x:v>0.35</x:v>
      </x:c>
      <x:c r="D39" s="242" t="str">
        <x:v>ตัน</x:v>
      </x:c>
      <x:c r="E39" s="241" t="n">
        <x:v>240</x:v>
      </x:c>
      <x:c r="F39" s="241" t="n">
        <x:v>9549.55</x:v>
      </x:c>
      <x:c r="G39" s="241" t="n">
        <x:v>0</x:v>
      </x:c>
      <x:c r="H39" s="241" t="n">
        <x:v>0</x:v>
      </x:c>
      <x:c r="I39" s="241" t="n">
        <x:f>ROUND(F39+H39,2)</x:f>
        <x:v>9549.55</x:v>
      </x:c>
      <x:c r="J39" s="243"/>
      <x:c r="K39" s="228"/>
    </x:row>
    <x:row r="40" ht="23.25">
      <x:c r="A40" s="239"/>
      <x:c r="B40" s="243" t="str">
        <x:v>       - คอนกรีตผสมเสร็จ 280 กก./ตร.ซม. (ปั้ม)</x:v>
      </x:c>
      <x:c r="C40" s="241" t="n">
        <x:v>39.33</x:v>
      </x:c>
      <x:c r="D40" s="242" t="str">
        <x:v>ลบ.ม.</x:v>
      </x:c>
      <x:c r="E40" s="241" t="n">
        <x:v>1600</x:v>
      </x:c>
      <x:c r="F40" s="241" t="n">
        <x:v>62933.33</x:v>
      </x:c>
      <x:c r="G40" s="241" t="n">
        <x:v>1</x:v>
      </x:c>
      <x:c r="H40" s="241" t="n">
        <x:v>3200</x:v>
      </x:c>
      <x:c r="I40" s="241" t="n">
        <x:f>ROUND(F40+H40,2)</x:f>
        <x:v>66133.33</x:v>
      </x:c>
      <x:c r="J40" s="243"/>
      <x:c r="K40" s="228"/>
    </x:row>
    <x:row r="41" ht="23.25">
      <x:c r="A41" s="239"/>
      <x:c r="B41" s="243" t="str">
        <x:v>       - เหล็กตะแกรง WIRE MESH Ø 6 มม. @ 0.20 ม. </x:v>
      </x:c>
      <x:c r="C41" s="241" t="n">
        <x:v>400</x:v>
      </x:c>
      <x:c r="D41" s="242" t="str">
        <x:v>ตร.ม.</x:v>
      </x:c>
      <x:c r="E41" s="241" t="n">
        <x:v>74.2</x:v>
      </x:c>
      <x:c r="F41" s="241" t="n">
        <x:v>29680</x:v>
      </x:c>
      <x:c r="G41" s="241" t="n">
        <x:v>2</x:v>
      </x:c>
      <x:c r="H41" s="241" t="n">
        <x:v>296.8</x:v>
      </x:c>
      <x:c r="I41" s="241" t="n">
        <x:f>ROUND(F41+H41,2)</x:f>
        <x:v>29976.8</x:v>
      </x:c>
      <x:c r="J41" s="243"/>
      <x:c r="K41" s="228"/>
    </x:row>
    <x:row r="42" s="219" customFormat="1" ht="23.25">
      <x:c r="A42" s="244"/>
      <x:c r="B42" s="240" t="str">
        <x:v>รวมงานข้อ 1.6</x:v>
      </x:c>
      <x:c r="C42" s="245"/>
      <x:c r="D42" s="246"/>
      <x:c r="E42" s="245"/>
      <x:c r="F42" s="245" t="n">
        <x:f>ROUND(SUM(F38,F39,F40,F41),2)</x:f>
        <x:v>107635.56</x:v>
      </x:c>
      <x:c r="G42" s="245"/>
      <x:c r="H42" s="245" t="n">
        <x:f>ROUND(SUM(H38,H39,H40,H41),2)</x:f>
        <x:v>49496.8</x:v>
      </x:c>
      <x:c r="I42" s="245" t="n">
        <x:f>ROUND(F42+H42,2)</x:f>
        <x:v>157132.36</x:v>
      </x:c>
      <x:c r="J42" s="240"/>
      <x:c r="K42" s="232"/>
    </x:row>
    <x:row r="43" ht="23.25">
      <x:c r="A43" s="239"/>
      <x:c r="B43" s="240" t="str">
        <x:v> 1.7 งานโครงหลังคาเหล็ก</x:v>
      </x:c>
      <x:c r="C43" s="241"/>
      <x:c r="D43" s="242"/>
      <x:c r="E43" s="241"/>
      <x:c r="F43" s="241"/>
      <x:c r="G43" s="241"/>
      <x:c r="H43" s="241"/>
      <x:c r="I43" s="241"/>
      <x:c r="J43" s="243"/>
      <x:c r="K43" s="228"/>
    </x:row>
    <x:row r="44" ht="23.25">
      <x:c r="A44" s="239"/>
      <x:c r="B44" s="243" t="str">
        <x:v>       - เหล็กกล่อง 1''*1''*1.8 มม.</x:v>
      </x:c>
      <x:c r="C44" s="241" t="n">
        <x:v>8</x:v>
      </x:c>
      <x:c r="D44" s="242" t="str">
        <x:v>เส้น</x:v>
      </x:c>
      <x:c r="E44" s="241" t="n">
        <x:v>225</x:v>
      </x:c>
      <x:c r="F44" s="241" t="n">
        <x:v>1800</x:v>
      </x:c>
      <x:c r="G44" s="241" t="n">
        <x:v>0</x:v>
      </x:c>
      <x:c r="H44" s="241" t="n">
        <x:v>0</x:v>
      </x:c>
      <x:c r="I44" s="241" t="n">
        <x:f t="shared" ref="I44:I64" si="2">ROUND(F44+H44,2)</x:f>
        <x:v>1800</x:v>
      </x:c>
      <x:c r="J44" s="243"/>
      <x:c r="K44" s="228"/>
    </x:row>
    <x:row r="45" ht="23.25">
      <x:c r="A45" s="239"/>
      <x:c r="B45" s="243" t="str">
        <x:v>       - เหล็กกล่อง 2''*2''*1.8มม.</x:v>
      </x:c>
      <x:c r="C45" s="241" t="n">
        <x:v>48.67</x:v>
      </x:c>
      <x:c r="D45" s="242" t="str">
        <x:v>เส้น</x:v>
      </x:c>
      <x:c r="E45" s="241" t="n">
        <x:v>500</x:v>
      </x:c>
      <x:c r="F45" s="241" t="n">
        <x:v>24333.33</x:v>
      </x:c>
      <x:c r="G45" s="241" t="n">
        <x:v>0</x:v>
      </x:c>
      <x:c r="H45" s="241" t="n">
        <x:v>0</x:v>
      </x:c>
      <x:c r="I45" s="241" t="n">
        <x:f t="shared" si="2"/>
        <x:v>24333.33</x:v>
      </x:c>
      <x:c r="J45" s="243"/>
      <x:c r="K45" s="228"/>
    </x:row>
    <x:row r="46" ht="23.25">
      <x:c r="A46" s="239"/>
      <x:c r="B46" s="243" t="str">
        <x:v>       - เหล็กตัวซี C 100 x 50 x 2.0 มม.</x:v>
      </x:c>
      <x:c r="C46" s="241" t="n">
        <x:v>30.67</x:v>
      </x:c>
      <x:c r="D46" s="242" t="str">
        <x:v>เส้น</x:v>
      </x:c>
      <x:c r="E46" s="241" t="n">
        <x:v>650</x:v>
      </x:c>
      <x:c r="F46" s="241" t="n">
        <x:v>19933.33</x:v>
      </x:c>
      <x:c r="G46" s="241" t="n">
        <x:v>0</x:v>
      </x:c>
      <x:c r="H46" s="241" t="n">
        <x:v>0</x:v>
      </x:c>
      <x:c r="I46" s="241" t="n">
        <x:f t="shared" si="2"/>
        <x:v>19933.33</x:v>
      </x:c>
      <x:c r="J46" s="243"/>
      <x:c r="K46" s="228"/>
    </x:row>
    <x:row r="47" ht="23.25">
      <x:c r="A47" s="239"/>
      <x:c r="B47" s="243" t="str">
        <x:v>       - เหล็กตัวซี C 100 x 50 x 2.3 มม.</x:v>
      </x:c>
      <x:c r="C47" s="241" t="n">
        <x:v>18.67</x:v>
      </x:c>
      <x:c r="D47" s="242" t="str">
        <x:v>เส้น</x:v>
      </x:c>
      <x:c r="E47" s="241" t="n">
        <x:v>740</x:v>
      </x:c>
      <x:c r="F47" s="241" t="n">
        <x:v>13813.33</x:v>
      </x:c>
      <x:c r="G47" s="241" t="n">
        <x:v>0</x:v>
      </x:c>
      <x:c r="H47" s="241" t="n">
        <x:v>0</x:v>
      </x:c>
      <x:c r="I47" s="241" t="n">
        <x:f t="shared" si="2"/>
        <x:v>13813.33</x:v>
      </x:c>
      <x:c r="J47" s="243"/>
      <x:c r="K47" s="228"/>
    </x:row>
    <x:row r="48" ht="23.25">
      <x:c r="A48" s="239"/>
      <x:c r="B48" s="243" t="str">
        <x:v>       - เหล็กกล่อง 100*100*3.2 มม.</x:v>
      </x:c>
      <x:c r="C48" s="241" t="n">
        <x:v>1.33</x:v>
      </x:c>
      <x:c r="D48" s="242" t="str">
        <x:v>เส้น</x:v>
      </x:c>
      <x:c r="E48" s="241" t="n">
        <x:v>1900</x:v>
      </x:c>
      <x:c r="F48" s="241" t="n">
        <x:v>2533.33</x:v>
      </x:c>
      <x:c r="G48" s="241" t="n">
        <x:v>0</x:v>
      </x:c>
      <x:c r="H48" s="241" t="n">
        <x:v>0</x:v>
      </x:c>
      <x:c r="I48" s="241" t="n">
        <x:f t="shared" si="2"/>
        <x:v>2533.33</x:v>
      </x:c>
      <x:c r="J48" s="243"/>
      <x:c r="K48" s="228"/>
    </x:row>
    <x:row r="49" ht="23.25">
      <x:c r="A49" s="239"/>
      <x:c r="B49" s="243" t="str">
        <x:v>       - เหล็กแฟตบาร์ 4" * 6.00 หนา 6.00 มม.</x:v>
      </x:c>
      <x:c r="C49" s="241" t="n">
        <x:v>0.67</x:v>
      </x:c>
      <x:c r="D49" s="242" t="str">
        <x:v>เส้น</x:v>
      </x:c>
      <x:c r="E49" s="241" t="n">
        <x:v>905</x:v>
      </x:c>
      <x:c r="F49" s="241" t="n">
        <x:v>603.33</x:v>
      </x:c>
      <x:c r="G49" s="241" t="n">
        <x:v>0</x:v>
      </x:c>
      <x:c r="H49" s="241" t="n">
        <x:v>0</x:v>
      </x:c>
      <x:c r="I49" s="241" t="n">
        <x:f t="shared" si="2"/>
        <x:v>603.33</x:v>
      </x:c>
      <x:c r="J49" s="243"/>
      <x:c r="K49" s="228"/>
    </x:row>
    <x:row r="50" ht="23.25">
      <x:c r="A50" s="239"/>
      <x:c r="B50" s="243" t="str">
        <x:v>       - เหล็กกล่อง 100*50*2.3 มม.</x:v>
      </x:c>
      <x:c r="C50" s="241" t="n">
        <x:v>5.33</x:v>
      </x:c>
      <x:c r="D50" s="242" t="str">
        <x:v>เส้น</x:v>
      </x:c>
      <x:c r="E50" s="241" t="n">
        <x:v>1040</x:v>
      </x:c>
      <x:c r="F50" s="241" t="n">
        <x:v>5546.67</x:v>
      </x:c>
      <x:c r="G50" s="241" t="n">
        <x:v>0</x:v>
      </x:c>
      <x:c r="H50" s="241" t="n">
        <x:v>0</x:v>
      </x:c>
      <x:c r="I50" s="241" t="n">
        <x:f t="shared" si="2"/>
        <x:v>5546.67</x:v>
      </x:c>
      <x:c r="J50" s="243"/>
      <x:c r="K50" s="228"/>
    </x:row>
    <x:row r="51" ht="23.25">
      <x:c r="A51" s="239"/>
      <x:c r="B51" s="243" t="str">
        <x:v>       - เหล็กแผ่น 8' x 8' x 6 มม.</x:v>
      </x:c>
      <x:c r="C51" s="241" t="n">
        <x:v>4</x:v>
      </x:c>
      <x:c r="D51" s="242" t="str">
        <x:v>แผ่น</x:v>
      </x:c>
      <x:c r="E51" s="241" t="n">
        <x:v>109</x:v>
      </x:c>
      <x:c r="F51" s="241" t="n">
        <x:v>436</x:v>
      </x:c>
      <x:c r="G51" s="241" t="n">
        <x:v>0</x:v>
      </x:c>
      <x:c r="H51" s="241" t="n">
        <x:v>0</x:v>
      </x:c>
      <x:c r="I51" s="241" t="n">
        <x:f t="shared" si="2"/>
        <x:v>436</x:v>
      </x:c>
      <x:c r="J51" s="243"/>
      <x:c r="K51" s="228"/>
    </x:row>
    <x:row r="52" ht="23.25">
      <x:c r="A52" s="239"/>
      <x:c r="B52" s="243" t="str">
        <x:v>       - เหล็กแผ่น 6' x 6' x 6 มม.</x:v>
      </x:c>
      <x:c r="C52" s="241" t="n">
        <x:v>9.33</x:v>
      </x:c>
      <x:c r="D52" s="242" t="str">
        <x:v>แผ่น</x:v>
      </x:c>
      <x:c r="E52" s="241" t="n">
        <x:v>53</x:v>
      </x:c>
      <x:c r="F52" s="241" t="n">
        <x:v>494.67</x:v>
      </x:c>
      <x:c r="G52" s="241" t="n">
        <x:v>0</x:v>
      </x:c>
      <x:c r="H52" s="241" t="n">
        <x:v>0</x:v>
      </x:c>
      <x:c r="I52" s="241" t="n">
        <x:f t="shared" si="2"/>
        <x:v>494.67</x:v>
      </x:c>
      <x:c r="J52" s="243"/>
      <x:c r="K52" s="228"/>
    </x:row>
    <x:row r="53" ht="23.25">
      <x:c r="A53" s="239"/>
      <x:c r="B53" s="243" t="str">
        <x:v>       - เหล็กแฟตบาร์ 3" * 6.00 หนา 6.00 มม.</x:v>
      </x:c>
      <x:c r="C53" s="241" t="n">
        <x:v>0.67</x:v>
      </x:c>
      <x:c r="D53" s="242" t="str">
        <x:v>แผ่น</x:v>
      </x:c>
      <x:c r="E53" s="241" t="n">
        <x:v>670</x:v>
      </x:c>
      <x:c r="F53" s="241" t="n">
        <x:v>446.67</x:v>
      </x:c>
      <x:c r="G53" s="241" t="n">
        <x:v>0</x:v>
      </x:c>
      <x:c r="H53" s="241" t="n">
        <x:v>0</x:v>
      </x:c>
      <x:c r="I53" s="241" t="n">
        <x:f t="shared" si="2"/>
        <x:v>446.67</x:v>
      </x:c>
      <x:c r="J53" s="243"/>
      <x:c r="K53" s="228"/>
    </x:row>
    <x:row r="54" ht="23.25">
      <x:c r="A54" s="239"/>
      <x:c r="B54" s="243" t="str">
        <x:v>       - ลวดเชื่อม KOBE 2.6 มม.</x:v>
      </x:c>
      <x:c r="C54" s="241" t="n">
        <x:v>0.67</x:v>
      </x:c>
      <x:c r="D54" s="242" t="str">
        <x:v>ลัง</x:v>
      </x:c>
      <x:c r="E54" s="241" t="n">
        <x:v>1500</x:v>
      </x:c>
      <x:c r="F54" s="241" t="n">
        <x:v>1000</x:v>
      </x:c>
      <x:c r="G54" s="241" t="n">
        <x:v>0</x:v>
      </x:c>
      <x:c r="H54" s="241" t="n">
        <x:v>0</x:v>
      </x:c>
      <x:c r="I54" s="241" t="n">
        <x:f t="shared" si="2"/>
        <x:v>1000</x:v>
      </x:c>
      <x:c r="J54" s="243"/>
      <x:c r="K54" s="228"/>
    </x:row>
    <x:row r="55" ht="23.25">
      <x:c r="A55" s="239"/>
      <x:c r="B55" s="243" t="str">
        <x:v>       - ทาสีกันสนิมโครงเหล็กหลังคา KOBE สีเทา</x:v>
      </x:c>
      <x:c r="C55" s="241" t="n">
        <x:v>4</x:v>
      </x:c>
      <x:c r="D55" s="242" t="str">
        <x:v>ถัง</x:v>
      </x:c>
      <x:c r="E55" s="241" t="n">
        <x:v>1189</x:v>
      </x:c>
      <x:c r="F55" s="241" t="n">
        <x:v>4756</x:v>
      </x:c>
      <x:c r="G55" s="241" t="n">
        <x:v>0</x:v>
      </x:c>
      <x:c r="H55" s="241" t="n">
        <x:v>0</x:v>
      </x:c>
      <x:c r="I55" s="241" t="n">
        <x:f t="shared" si="2"/>
        <x:v>4756</x:v>
      </x:c>
      <x:c r="J55" s="243"/>
      <x:c r="K55" s="228"/>
    </x:row>
    <x:row r="56" ht="23.25">
      <x:c r="A56" s="239"/>
      <x:c r="B56" s="243" t="str">
        <x:v>       - น้ำมันสน</x:v>
      </x:c>
      <x:c r="C56" s="241" t="n">
        <x:v>6.67</x:v>
      </x:c>
      <x:c r="D56" s="242" t="str">
        <x:v>ถัง</x:v>
      </x:c>
      <x:c r="E56" s="241" t="n">
        <x:v>499</x:v>
      </x:c>
      <x:c r="F56" s="241" t="n">
        <x:v>3326.67</x:v>
      </x:c>
      <x:c r="G56" s="241" t="n">
        <x:v>0</x:v>
      </x:c>
      <x:c r="H56" s="241" t="n">
        <x:v>0</x:v>
      </x:c>
      <x:c r="I56" s="241" t="n">
        <x:f t="shared" si="2"/>
        <x:v>3326.67</x:v>
      </x:c>
      <x:c r="J56" s="243"/>
      <x:c r="K56" s="228"/>
    </x:row>
    <x:row r="57" ht="23.25">
      <x:c r="A57" s="239"/>
      <x:c r="B57" s="243" t="str">
        <x:v>       - ใบตัดเหล็ก 14 นิ้ว</x:v>
      </x:c>
      <x:c r="C57" s="241" t="n">
        <x:v>6.67</x:v>
      </x:c>
      <x:c r="D57" s="242" t="str">
        <x:v>ใบ</x:v>
      </x:c>
      <x:c r="E57" s="241" t="n">
        <x:v>98</x:v>
      </x:c>
      <x:c r="F57" s="241" t="n">
        <x:v>653.33</x:v>
      </x:c>
      <x:c r="G57" s="241" t="n">
        <x:v>0</x:v>
      </x:c>
      <x:c r="H57" s="241" t="n">
        <x:v>0</x:v>
      </x:c>
      <x:c r="I57" s="241" t="n">
        <x:f t="shared" si="2"/>
        <x:v>653.33</x:v>
      </x:c>
      <x:c r="J57" s="243"/>
      <x:c r="K57" s="228"/>
    </x:row>
    <x:row r="58" ht="23.25">
      <x:c r="A58" s="239"/>
      <x:c r="B58" s="243" t="str">
        <x:v>  - งานติดตั้งโครงหลังคาเหล็ก </x:v>
      </x:c>
      <x:c r="C58" s="241" t="n">
        <x:v>297.62</x:v>
      </x:c>
      <x:c r="D58" s="242" t="str">
        <x:v>ตรม</x:v>
      </x:c>
      <x:c r="E58" s="241" t="n">
        <x:v>0</x:v>
      </x:c>
      <x:c r="F58" s="241" t="n">
        <x:v>0</x:v>
      </x:c>
      <x:c r="G58" s="241" t="n">
        <x:v>0</x:v>
      </x:c>
      <x:c r="H58" s="241" t="n">
        <x:v>20089.35</x:v>
      </x:c>
      <x:c r="I58" s="241" t="n">
        <x:f t="shared" si="2"/>
        <x:v>20089.35</x:v>
      </x:c>
      <x:c r="J58" s="243"/>
      <x:c r="K58" s="228"/>
    </x:row>
    <x:row r="59" ht="23.25">
      <x:c r="A59" s="239"/>
      <x:c r="B59" s="243" t="str">
        <x:v>  - งานทำมุกหน้าบ้าน</x:v>
      </x:c>
      <x:c r="C59" s="241" t="n">
        <x:v>2</x:v>
      </x:c>
      <x:c r="D59" s="242" t="str">
        <x:v>หลัง</x:v>
      </x:c>
      <x:c r="E59" s="241" t="n">
        <x:v>0</x:v>
      </x:c>
      <x:c r="F59" s="241" t="n">
        <x:v>0</x:v>
      </x:c>
      <x:c r="G59" s="241" t="n">
        <x:v>1000</x:v>
      </x:c>
      <x:c r="H59" s="241" t="n">
        <x:v>2000</x:v>
      </x:c>
      <x:c r="I59" s="241" t="n">
        <x:f t="shared" si="2"/>
        <x:v>2000</x:v>
      </x:c>
      <x:c r="J59" s="243"/>
      <x:c r="K59" s="228"/>
    </x:row>
    <x:row r="60" ht="23.25">
      <x:c r="A60" s="239"/>
      <x:c r="B60" s="243" t="str">
        <x:v>  - งานตั้งเสา</x:v>
      </x:c>
      <x:c r="C60" s="241" t="n">
        <x:v>7.33</x:v>
      </x:c>
      <x:c r="D60" s="242" t="str">
        <x:v>ต้น</x:v>
      </x:c>
      <x:c r="E60" s="241" t="n">
        <x:v>0</x:v>
      </x:c>
      <x:c r="F60" s="241" t="n">
        <x:v>0</x:v>
      </x:c>
      <x:c r="G60" s="241" t="n">
        <x:v>300</x:v>
      </x:c>
      <x:c r="H60" s="241" t="n">
        <x:v>2200</x:v>
      </x:c>
      <x:c r="I60" s="241" t="n">
        <x:f t="shared" si="2"/>
        <x:v>2200</x:v>
      </x:c>
      <x:c r="J60" s="243"/>
      <x:c r="K60" s="228"/>
    </x:row>
    <x:row r="61" ht="23.25">
      <x:c r="A61" s="239"/>
      <x:c r="B61" s="243" t="str">
        <x:v>  - งานเชื่อมเหล็กท้าวแขน</x:v>
      </x:c>
      <x:c r="C61" s="241" t="n">
        <x:v>5.33</x:v>
      </x:c>
      <x:c r="D61" s="242" t="str">
        <x:v>ต้น</x:v>
      </x:c>
      <x:c r="E61" s="241" t="n">
        <x:v>0</x:v>
      </x:c>
      <x:c r="F61" s="241" t="n">
        <x:v>0</x:v>
      </x:c>
      <x:c r="G61" s="241" t="n">
        <x:v>500</x:v>
      </x:c>
      <x:c r="H61" s="241" t="n">
        <x:v>2666.67</x:v>
      </x:c>
      <x:c r="I61" s="241" t="n">
        <x:f t="shared" si="2"/>
        <x:v>2666.67</x:v>
      </x:c>
      <x:c r="J61" s="243"/>
      <x:c r="K61" s="228"/>
    </x:row>
    <x:row r="62" ht="23.25">
      <x:c r="A62" s="239"/>
      <x:c r="B62" s="243" t="str">
        <x:v>  - งานติดตั้งซีซาแนลมุกหน้าบ้าน</x:v>
      </x:c>
      <x:c r="C62" s="241" t="n">
        <x:v>16</x:v>
      </x:c>
      <x:c r="D62" s="242" t="str">
        <x:v>เมตร</x:v>
      </x:c>
      <x:c r="E62" s="241" t="n">
        <x:v>0</x:v>
      </x:c>
      <x:c r="F62" s="241" t="n">
        <x:v>0</x:v>
      </x:c>
      <x:c r="G62" s="241" t="n">
        <x:v>80</x:v>
      </x:c>
      <x:c r="H62" s="241" t="n">
        <x:v>1280</x:v>
      </x:c>
      <x:c r="I62" s="241" t="n">
        <x:f t="shared" si="2"/>
        <x:v>1280</x:v>
      </x:c>
      <x:c r="J62" s="243"/>
      <x:c r="K62" s="228"/>
    </x:row>
    <x:row r="63" s="219" customFormat="1" ht="23.25">
      <x:c r="A63" s="244"/>
      <x:c r="B63" s="240" t="str">
        <x:v>รวมงานข้อ 1.7</x:v>
      </x:c>
      <x:c r="C63" s="245"/>
      <x:c r="D63" s="246"/>
      <x:c r="E63" s="245"/>
      <x:c r="F63" s="245" t="n">
        <x:f>ROUND(SUM(F44,F45,F46,F47,F48,F49,F50,F51,F52,F53,F54,F55,F56,F57,F58,F59,F60,F61,F62),2)</x:f>
        <x:v>79676.66</x:v>
      </x:c>
      <x:c r="G63" s="245"/>
      <x:c r="H63" s="245" t="n">
        <x:f>ROUND(SUM(H44,H45,H46,H47,H48,H49,H50,H51,H52,H53,H54,H55,H56,H57,H58,H59,H60,H61,H62),2)</x:f>
        <x:v>28236.02</x:v>
      </x:c>
      <x:c r="I63" s="245" t="n">
        <x:f t="shared" si="2"/>
        <x:v>107912.68</x:v>
      </x:c>
      <x:c r="J63" s="240"/>
      <x:c r="K63" s="232"/>
    </x:row>
    <x:row r="64" s="219" customFormat="1" ht="23.25">
      <x:c r="A64" s="235" t="n">
        <x:v>1</x:v>
      </x:c>
      <x:c r="B64" s="236" t="str">
        <x:v>รวมค่างานโครงสร้างวิศวกรรมทั้งหมด</x:v>
      </x:c>
      <x:c r="C64" s="237"/>
      <x:c r="D64" s="238" t="str">
        <x:v>รวม</x:v>
      </x:c>
      <x:c r="E64" s="237"/>
      <x:c r="F64" s="237" t="n">
        <x:f>ROUND(SUM(F8,F9,F10,F11,F14,F15,F18,F19,F20,F21,F22,F25,F26,F27,F28,F31,F32,F33,F34,F35,F38,F39,F40,F41,F44,F45,F46,F47,F48,F49,F50,F51,F52,F53,F54,F55,F56,F57,F58,F59,F60,F61,F62),2)</x:f>
        <x:v>436722.22</x:v>
      </x:c>
      <x:c r="G64" s="237"/>
      <x:c r="H64" s="237" t="n">
        <x:f>ROUND(SUM(H8,H9,H10,H11,H14,H15,H18,H19,H20,H21,H22,H25,H26,H27,H28,H31,H32,H33,H34,H35,H38,H39,H40,H41,H44,H45,H46,H47,H48,H49,H50,H51,H52,H53,H54,H55,H56,H57,H58,H59,H60,H61,H62),2)</x:f>
        <x:v>149807.62</x:v>
      </x:c>
      <x:c r="I64" s="237" t="n">
        <x:f t="shared" si="2"/>
        <x:v>586529.84</x:v>
      </x:c>
      <x:c r="J64" s="236"/>
      <x:c r="K64" s="232"/>
    </x:row>
    <x:row r="65">
      <x:c r="A65" s="267"/>
      <x:c r="B65" s="268"/>
      <x:c r="C65" s="268"/>
      <x:c r="D65" s="268"/>
      <x:c r="E65" s="268"/>
      <x:c r="F65" s="268"/>
      <x:c r="G65" s="268"/>
      <x:c r="H65" s="268"/>
      <x:c r="I65" s="268"/>
      <x:c r="J65" s="269"/>
      <x:c r="K65" s="211"/>
    </x:row>
    <x:row r="66" s="219" customFormat="1" ht="20.25">
      <x:c r="A66" s="220" t="n">
        <x:v>2</x:v>
      </x:c>
      <x:c r="B66" s="221" t="str">
        <x:v>งานสถาปัตยกรรม</x:v>
      </x:c>
      <x:c r="C66" s="222"/>
      <x:c r="D66" s="223"/>
      <x:c r="E66" s="222"/>
      <x:c r="F66" s="222"/>
      <x:c r="G66" s="222"/>
      <x:c r="H66" s="222"/>
      <x:c r="I66" s="222"/>
      <x:c r="J66" s="221"/>
      <x:c r="K66" s="218"/>
    </x:row>
    <x:row r="67" s="219" customFormat="1" ht="20.25">
      <x:c r="A67" s="225"/>
      <x:c r="B67" s="224" t="str">
        <x:v> 2.1 งานประปาโครงสร้าง</x:v>
      </x:c>
      <x:c r="C67" s="226"/>
      <x:c r="D67" s="227"/>
      <x:c r="E67" s="226"/>
      <x:c r="F67" s="226"/>
      <x:c r="G67" s="226"/>
      <x:c r="H67" s="226"/>
      <x:c r="I67" s="226"/>
      <x:c r="J67" s="224"/>
      <x:c r="K67" s="218"/>
    </x:row>
    <x:row r="68">
      <x:c r="A68" s="217"/>
      <x:c r="B68" s="212" t="str">
        <x:v>       - ท่อ PVC C5 6 นิ้ว แบบบาน</x:v>
      </x:c>
      <x:c r="C68" s="213" t="n">
        <x:v>20</x:v>
      </x:c>
      <x:c r="D68" s="216" t="str">
        <x:v>เส้น</x:v>
      </x:c>
      <x:c r="E68" s="213" t="n">
        <x:v>1090</x:v>
      </x:c>
      <x:c r="F68" s="213" t="n">
        <x:v>21800</x:v>
      </x:c>
      <x:c r="G68" s="213" t="n">
        <x:v>0</x:v>
      </x:c>
      <x:c r="H68" s="213" t="n">
        <x:v>0</x:v>
      </x:c>
      <x:c r="I68" s="213" t="n">
        <x:f t="shared" ref="I68:I94" si="3">ROUND(F68+H68,2)</x:f>
        <x:v>21800</x:v>
      </x:c>
      <x:c r="J68" s="212"/>
      <x:c r="K68" s="211"/>
    </x:row>
    <x:row r="69">
      <x:c r="A69" s="217"/>
      <x:c r="B69" s="212" t="str">
        <x:v>       - ท่อ PVC C5 4 นิ้ว </x:v>
      </x:c>
      <x:c r="C69" s="213" t="n">
        <x:v>8</x:v>
      </x:c>
      <x:c r="D69" s="216" t="str">
        <x:v>เส้น</x:v>
      </x:c>
      <x:c r="E69" s="213" t="n">
        <x:v>510</x:v>
      </x:c>
      <x:c r="F69" s="213" t="n">
        <x:v>4080</x:v>
      </x:c>
      <x:c r="G69" s="213" t="n">
        <x:v>0</x:v>
      </x:c>
      <x:c r="H69" s="213" t="n">
        <x:v>0</x:v>
      </x:c>
      <x:c r="I69" s="213" t="n">
        <x:f t="shared" si="3"/>
        <x:v>4080</x:v>
      </x:c>
      <x:c r="J69" s="212"/>
      <x:c r="K69" s="211"/>
    </x:row>
    <x:row r="70">
      <x:c r="A70" s="217"/>
      <x:c r="B70" s="212" t="str">
        <x:v>       - ท่อ PVC C5 2.5 นิ้ว </x:v>
      </x:c>
      <x:c r="C70" s="213" t="n">
        <x:v>4</x:v>
      </x:c>
      <x:c r="D70" s="216" t="str">
        <x:v>เส้น</x:v>
      </x:c>
      <x:c r="E70" s="213" t="n">
        <x:v>234</x:v>
      </x:c>
      <x:c r="F70" s="213" t="n">
        <x:v>936</x:v>
      </x:c>
      <x:c r="G70" s="213" t="n">
        <x:v>0</x:v>
      </x:c>
      <x:c r="H70" s="213" t="n">
        <x:v>0</x:v>
      </x:c>
      <x:c r="I70" s="213" t="n">
        <x:f t="shared" si="3"/>
        <x:v>936</x:v>
      </x:c>
      <x:c r="J70" s="212"/>
      <x:c r="K70" s="211"/>
    </x:row>
    <x:row r="71">
      <x:c r="A71" s="217"/>
      <x:c r="B71" s="212" t="str">
        <x:v>       - ท่อ PVC C5 2 นิ้ว </x:v>
      </x:c>
      <x:c r="C71" s="213" t="n">
        <x:v>8</x:v>
      </x:c>
      <x:c r="D71" s="216" t="str">
        <x:v>เส้น</x:v>
      </x:c>
      <x:c r="E71" s="213" t="n">
        <x:v>144</x:v>
      </x:c>
      <x:c r="F71" s="213" t="n">
        <x:v>1152</x:v>
      </x:c>
      <x:c r="G71" s="213" t="n">
        <x:v>0</x:v>
      </x:c>
      <x:c r="H71" s="213" t="n">
        <x:v>0</x:v>
      </x:c>
      <x:c r="I71" s="213" t="n">
        <x:f t="shared" si="3"/>
        <x:v>1152</x:v>
      </x:c>
      <x:c r="J71" s="212"/>
      <x:c r="K71" s="211"/>
    </x:row>
    <x:row r="72">
      <x:c r="A72" s="217"/>
      <x:c r="B72" s="212" t="str">
        <x:v>       - ท่อ PVC C5 1.5 นิ้ว </x:v>
      </x:c>
      <x:c r="C72" s="213" t="n">
        <x:v>4</x:v>
      </x:c>
      <x:c r="D72" s="216" t="str">
        <x:v>เส้น</x:v>
      </x:c>
      <x:c r="E72" s="213" t="n">
        <x:v>53</x:v>
      </x:c>
      <x:c r="F72" s="213" t="n">
        <x:v>212</x:v>
      </x:c>
      <x:c r="G72" s="213" t="n">
        <x:v>0</x:v>
      </x:c>
      <x:c r="H72" s="213" t="n">
        <x:v>0</x:v>
      </x:c>
      <x:c r="I72" s="213" t="n">
        <x:f t="shared" si="3"/>
        <x:v>212</x:v>
      </x:c>
      <x:c r="J72" s="212"/>
      <x:c r="K72" s="211"/>
    </x:row>
    <x:row r="73">
      <x:c r="A73" s="217"/>
      <x:c r="B73" s="212" t="str">
        <x:v>       - ท่อ PVC C5 1 นิ้ว </x:v>
      </x:c>
      <x:c r="C73" s="213" t="n">
        <x:v>4</x:v>
      </x:c>
      <x:c r="D73" s="216" t="str">
        <x:v>เส้น</x:v>
      </x:c>
      <x:c r="E73" s="213" t="n">
        <x:v>48</x:v>
      </x:c>
      <x:c r="F73" s="213" t="n">
        <x:v>192</x:v>
      </x:c>
      <x:c r="G73" s="213" t="n">
        <x:v>0</x:v>
      </x:c>
      <x:c r="H73" s="213" t="n">
        <x:v>0</x:v>
      </x:c>
      <x:c r="I73" s="213" t="n">
        <x:f t="shared" si="3"/>
        <x:v>192</x:v>
      </x:c>
      <x:c r="J73" s="212"/>
      <x:c r="K73" s="211"/>
    </x:row>
    <x:row r="74">
      <x:c r="A74" s="217"/>
      <x:c r="B74" s="212" t="str">
        <x:v>       - ท่อ PVC C13.5 3/4</x:v>
      </x:c>
      <x:c r="C74" s="213" t="n">
        <x:v>4</x:v>
      </x:c>
      <x:c r="D74" s="216" t="str">
        <x:v>เส้น</x:v>
      </x:c>
      <x:c r="E74" s="213" t="n">
        <x:v>64</x:v>
      </x:c>
      <x:c r="F74" s="213" t="n">
        <x:v>256</x:v>
      </x:c>
      <x:c r="G74" s="213" t="n">
        <x:v>0</x:v>
      </x:c>
      <x:c r="H74" s="213" t="n">
        <x:v>0</x:v>
      </x:c>
      <x:c r="I74" s="213" t="n">
        <x:f t="shared" si="3"/>
        <x:v>256</x:v>
      </x:c>
      <x:c r="J74" s="212"/>
      <x:c r="K74" s="211"/>
    </x:row>
    <x:row r="75">
      <x:c r="A75" s="217"/>
      <x:c r="B75" s="212" t="str">
        <x:v>       - ข้องอ 90 4 นิ้ว แบบบาง</x:v>
      </x:c>
      <x:c r="C75" s="213" t="n">
        <x:v>4</x:v>
      </x:c>
      <x:c r="D75" s="216" t="str">
        <x:v>ตัว</x:v>
      </x:c>
      <x:c r="E75" s="213" t="n">
        <x:v>84.6</x:v>
      </x:c>
      <x:c r="F75" s="213" t="n">
        <x:v>338.4</x:v>
      </x:c>
      <x:c r="G75" s="213" t="n">
        <x:v>0</x:v>
      </x:c>
      <x:c r="H75" s="213" t="n">
        <x:v>0</x:v>
      </x:c>
      <x:c r="I75" s="213" t="n">
        <x:f t="shared" si="3"/>
        <x:v>338.4</x:v>
      </x:c>
      <x:c r="J75" s="212"/>
      <x:c r="K75" s="211"/>
    </x:row>
    <x:row r="76">
      <x:c r="A76" s="217"/>
      <x:c r="B76" s="212" t="str">
        <x:v>       - ข้องอ 45 4 นิ้ว แบบบาง</x:v>
      </x:c>
      <x:c r="C76" s="213" t="n">
        <x:v>12</x:v>
      </x:c>
      <x:c r="D76" s="216" t="str">
        <x:v>ตัว</x:v>
      </x:c>
      <x:c r="E76" s="213" t="n">
        <x:v>84.6</x:v>
      </x:c>
      <x:c r="F76" s="213" t="n">
        <x:v>1015.2</x:v>
      </x:c>
      <x:c r="G76" s="213" t="n">
        <x:v>0</x:v>
      </x:c>
      <x:c r="H76" s="213" t="n">
        <x:v>0</x:v>
      </x:c>
      <x:c r="I76" s="213" t="n">
        <x:f t="shared" si="3"/>
        <x:v>1015.2</x:v>
      </x:c>
      <x:c r="J76" s="212"/>
      <x:c r="K76" s="211"/>
    </x:row>
    <x:row r="77">
      <x:c r="A77" s="217"/>
      <x:c r="B77" s="212" t="str">
        <x:v>       - ข้องอ 90 2.5 นิ้ว แบบบาง</x:v>
      </x:c>
      <x:c r="C77" s="213" t="n">
        <x:v>16</x:v>
      </x:c>
      <x:c r="D77" s="216" t="str">
        <x:v>ตัว</x:v>
      </x:c>
      <x:c r="E77" s="213" t="n">
        <x:v>22.8</x:v>
      </x:c>
      <x:c r="F77" s="213" t="n">
        <x:v>364.8</x:v>
      </x:c>
      <x:c r="G77" s="213" t="n">
        <x:v>0</x:v>
      </x:c>
      <x:c r="H77" s="213" t="n">
        <x:v>0</x:v>
      </x:c>
      <x:c r="I77" s="213" t="n">
        <x:f t="shared" si="3"/>
        <x:v>364.8</x:v>
      </x:c>
      <x:c r="J77" s="212"/>
      <x:c r="K77" s="211"/>
    </x:row>
    <x:row r="78">
      <x:c r="A78" s="217"/>
      <x:c r="B78" s="212" t="str">
        <x:v>       - ข้อต่อสามทาง 2.5 นิ้ว แบบบาง</x:v>
      </x:c>
      <x:c r="C78" s="213" t="n">
        <x:v>8</x:v>
      </x:c>
      <x:c r="D78" s="216" t="str">
        <x:v>ตัว</x:v>
      </x:c>
      <x:c r="E78" s="213" t="n">
        <x:v>31.3</x:v>
      </x:c>
      <x:c r="F78" s="213" t="n">
        <x:v>250.4</x:v>
      </x:c>
      <x:c r="G78" s="213" t="n">
        <x:v>0</x:v>
      </x:c>
      <x:c r="H78" s="213" t="n">
        <x:v>0</x:v>
      </x:c>
      <x:c r="I78" s="213" t="n">
        <x:f t="shared" si="3"/>
        <x:v>250.4</x:v>
      </x:c>
      <x:c r="J78" s="212"/>
      <x:c r="K78" s="211"/>
    </x:row>
    <x:row r="79">
      <x:c r="A79" s="217"/>
      <x:c r="B79" s="212" t="str">
        <x:v>       - ข้องอ 90 2 นิ้ว แบบบาง</x:v>
      </x:c>
      <x:c r="C79" s="213" t="n">
        <x:v>16</x:v>
      </x:c>
      <x:c r="D79" s="216" t="str">
        <x:v>ตัว</x:v>
      </x:c>
      <x:c r="E79" s="213" t="n">
        <x:v>13.9</x:v>
      </x:c>
      <x:c r="F79" s="213" t="n">
        <x:v>222.4</x:v>
      </x:c>
      <x:c r="G79" s="213" t="n">
        <x:v>0</x:v>
      </x:c>
      <x:c r="H79" s="213" t="n">
        <x:v>0</x:v>
      </x:c>
      <x:c r="I79" s="213" t="n">
        <x:f t="shared" si="3"/>
        <x:v>222.4</x:v>
      </x:c>
      <x:c r="J79" s="212"/>
      <x:c r="K79" s="211"/>
    </x:row>
    <x:row r="80">
      <x:c r="A80" s="217"/>
      <x:c r="B80" s="212" t="str">
        <x:v>       - ข้องอ 90 1.5 นิ้ว แบบบาง</x:v>
      </x:c>
      <x:c r="C80" s="213" t="n">
        <x:v>4</x:v>
      </x:c>
      <x:c r="D80" s="216" t="str">
        <x:v>ตัว</x:v>
      </x:c>
      <x:c r="E80" s="213" t="n">
        <x:v>8.05</x:v>
      </x:c>
      <x:c r="F80" s="213" t="n">
        <x:v>32.2</x:v>
      </x:c>
      <x:c r="G80" s="213" t="n">
        <x:v>0</x:v>
      </x:c>
      <x:c r="H80" s="213" t="n">
        <x:v>0</x:v>
      </x:c>
      <x:c r="I80" s="213" t="n">
        <x:f t="shared" si="3"/>
        <x:v>32.2</x:v>
      </x:c>
      <x:c r="J80" s="212"/>
      <x:c r="K80" s="211"/>
    </x:row>
    <x:row r="81">
      <x:c r="A81" s="217"/>
      <x:c r="B81" s="212" t="str">
        <x:v>       - ข้อต่อสามทาง 2 นิ้ว แบบบาง</x:v>
      </x:c>
      <x:c r="C81" s="213" t="n">
        <x:v>8</x:v>
      </x:c>
      <x:c r="D81" s="216" t="str">
        <x:v>ตัว</x:v>
      </x:c>
      <x:c r="E81" s="213" t="n">
        <x:v>18.6</x:v>
      </x:c>
      <x:c r="F81" s="213" t="n">
        <x:v>148.8</x:v>
      </x:c>
      <x:c r="G81" s="213" t="n">
        <x:v>0</x:v>
      </x:c>
      <x:c r="H81" s="213" t="n">
        <x:v>0</x:v>
      </x:c>
      <x:c r="I81" s="213" t="n">
        <x:f t="shared" si="3"/>
        <x:v>148.8</x:v>
      </x:c>
      <x:c r="J81" s="212"/>
      <x:c r="K81" s="211"/>
    </x:row>
    <x:row r="82">
      <x:c r="A82" s="217"/>
      <x:c r="B82" s="212" t="str">
        <x:v>       - ข้อต่อตรง 2 นิ้ว ลด 1.5 นิ้ว แบบบาง</x:v>
      </x:c>
      <x:c r="C82" s="213" t="n">
        <x:v>4</x:v>
      </x:c>
      <x:c r="D82" s="216" t="str">
        <x:v>ตัว</x:v>
      </x:c>
      <x:c r="E82" s="213" t="n">
        <x:v>13.8</x:v>
      </x:c>
      <x:c r="F82" s="213" t="n">
        <x:v>55.2</x:v>
      </x:c>
      <x:c r="G82" s="213" t="n">
        <x:v>0</x:v>
      </x:c>
      <x:c r="H82" s="213" t="n">
        <x:v>0</x:v>
      </x:c>
      <x:c r="I82" s="213" t="n">
        <x:f t="shared" si="3"/>
        <x:v>55.2</x:v>
      </x:c>
      <x:c r="J82" s="212"/>
      <x:c r="K82" s="211"/>
    </x:row>
    <x:row r="83">
      <x:c r="A83" s="217"/>
      <x:c r="B83" s="212" t="str">
        <x:v>       - ข้อต่อตรงเกลียวนอก 1.5 นิ้ว แบบบาง</x:v>
      </x:c>
      <x:c r="C83" s="213" t="n">
        <x:v>4</x:v>
      </x:c>
      <x:c r="D83" s="216" t="str">
        <x:v>ตัว</x:v>
      </x:c>
      <x:c r="E83" s="213" t="n">
        <x:v>15</x:v>
      </x:c>
      <x:c r="F83" s="213" t="n">
        <x:v>60</x:v>
      </x:c>
      <x:c r="G83" s="213" t="n">
        <x:v>0</x:v>
      </x:c>
      <x:c r="H83" s="213" t="n">
        <x:v>0</x:v>
      </x:c>
      <x:c r="I83" s="213" t="n">
        <x:f t="shared" si="3"/>
        <x:v>60</x:v>
      </x:c>
      <x:c r="J83" s="212"/>
      <x:c r="K83" s="211"/>
    </x:row>
    <x:row r="84">
      <x:c r="A84" s="217"/>
      <x:c r="B84" s="212" t="str">
        <x:v>       - ข้อต่อตรง 1.5 นิ้ว ลด 1 นิ้ว แบบบาง</x:v>
      </x:c>
      <x:c r="C84" s="213" t="n">
        <x:v>4</x:v>
      </x:c>
      <x:c r="D84" s="216" t="str">
        <x:v>ตัว</x:v>
      </x:c>
      <x:c r="E84" s="213" t="n">
        <x:v>13</x:v>
      </x:c>
      <x:c r="F84" s="213" t="n">
        <x:v>52</x:v>
      </x:c>
      <x:c r="G84" s="213" t="n">
        <x:v>0</x:v>
      </x:c>
      <x:c r="H84" s="213" t="n">
        <x:v>0</x:v>
      </x:c>
      <x:c r="I84" s="213" t="n">
        <x:f t="shared" si="3"/>
        <x:v>52</x:v>
      </x:c>
      <x:c r="J84" s="212"/>
      <x:c r="K84" s="211"/>
    </x:row>
    <x:row r="85">
      <x:c r="A85" s="217"/>
      <x:c r="B85" s="212" t="str">
        <x:v>       - ข้อต่อตรง 1 นิ้ว ลด 3/4 นิ้ว แบบบาง</x:v>
      </x:c>
      <x:c r="C85" s="213" t="n">
        <x:v>4</x:v>
      </x:c>
      <x:c r="D85" s="216" t="str">
        <x:v>ตัว</x:v>
      </x:c>
      <x:c r="E85" s="213" t="n">
        <x:v>12</x:v>
      </x:c>
      <x:c r="F85" s="213" t="n">
        <x:v>48</x:v>
      </x:c>
      <x:c r="G85" s="213" t="n">
        <x:v>0</x:v>
      </x:c>
      <x:c r="H85" s="213" t="n">
        <x:v>0</x:v>
      </x:c>
      <x:c r="I85" s="213" t="n">
        <x:f t="shared" si="3"/>
        <x:v>48</x:v>
      </x:c>
      <x:c r="J85" s="212"/>
      <x:c r="K85" s="211"/>
    </x:row>
    <x:row r="86">
      <x:c r="A86" s="217"/>
      <x:c r="B86" s="212" t="str">
        <x:v>       - ข้องอ 90 3/4 นิ้ว </x:v>
      </x:c>
      <x:c r="C86" s="213" t="n">
        <x:v>4</x:v>
      </x:c>
      <x:c r="D86" s="216" t="str">
        <x:v>ตัว</x:v>
      </x:c>
      <x:c r="E86" s="213" t="n">
        <x:v>4.7</x:v>
      </x:c>
      <x:c r="F86" s="213" t="n">
        <x:v>18.8</x:v>
      </x:c>
      <x:c r="G86" s="213" t="n">
        <x:v>0</x:v>
      </x:c>
      <x:c r="H86" s="213" t="n">
        <x:v>0</x:v>
      </x:c>
      <x:c r="I86" s="213" t="n">
        <x:f t="shared" si="3"/>
        <x:v>18.8</x:v>
      </x:c>
      <x:c r="J86" s="212"/>
      <x:c r="K86" s="211"/>
    </x:row>
    <x:row r="87">
      <x:c r="A87" s="217"/>
      <x:c r="B87" s="212" t="str">
        <x:v>       - กาวทาท่อ 1000G</x:v>
      </x:c>
      <x:c r="C87" s="213" t="n">
        <x:v>5</x:v>
      </x:c>
      <x:c r="D87" s="216" t="str">
        <x:v>ก.ป.</x:v>
      </x:c>
      <x:c r="E87" s="213" t="n">
        <x:v>434</x:v>
      </x:c>
      <x:c r="F87" s="213" t="n">
        <x:v>2170</x:v>
      </x:c>
      <x:c r="G87" s="213" t="n">
        <x:v>0</x:v>
      </x:c>
      <x:c r="H87" s="213" t="n">
        <x:v>0</x:v>
      </x:c>
      <x:c r="I87" s="213" t="n">
        <x:f t="shared" si="3"/>
        <x:v>2170</x:v>
      </x:c>
      <x:c r="J87" s="212"/>
      <x:c r="K87" s="211"/>
    </x:row>
    <x:row r="88">
      <x:c r="A88" s="217"/>
      <x:c r="B88" s="212" t="str">
        <x:v>       - ถังบำบัดน้ำเสีย DOS 1600 L</x:v>
      </x:c>
      <x:c r="C88" s="213" t="n">
        <x:v>4</x:v>
      </x:c>
      <x:c r="D88" s="216" t="str">
        <x:v>ถัง</x:v>
      </x:c>
      <x:c r="E88" s="213" t="n">
        <x:v>3600</x:v>
      </x:c>
      <x:c r="F88" s="213" t="n">
        <x:v>14400</x:v>
      </x:c>
      <x:c r="G88" s="213" t="n">
        <x:v>0</x:v>
      </x:c>
      <x:c r="H88" s="213" t="n">
        <x:v>0</x:v>
      </x:c>
      <x:c r="I88" s="213" t="n">
        <x:f t="shared" si="3"/>
        <x:v>14400</x:v>
      </x:c>
      <x:c r="J88" s="212"/>
      <x:c r="K88" s="211"/>
    </x:row>
    <x:row r="89">
      <x:c r="A89" s="217"/>
      <x:c r="B89" s="212" t="str">
        <x:v>      - ท่อ PE เกษตร 20*20</x:v>
      </x:c>
      <x:c r="C89" s="213" t="n">
        <x:v>1.33</x:v>
      </x:c>
      <x:c r="D89" s="216" t="str">
        <x:v>ม้วน</x:v>
      </x:c>
      <x:c r="E89" s="213" t="n">
        <x:v>600</x:v>
      </x:c>
      <x:c r="F89" s="213" t="n">
        <x:v>800</x:v>
      </x:c>
      <x:c r="G89" s="213" t="n">
        <x:v>0</x:v>
      </x:c>
      <x:c r="H89" s="213" t="n">
        <x:v>0</x:v>
      </x:c>
      <x:c r="I89" s="213" t="n">
        <x:f t="shared" si="3"/>
        <x:v>800</x:v>
      </x:c>
      <x:c r="J89" s="212"/>
      <x:c r="K89" s="211"/>
    </x:row>
    <x:row r="90">
      <x:c r="A90" s="217"/>
      <x:c r="B90" s="212" t="str">
        <x:v>       - ถังดักไขมัน 25 L</x:v>
      </x:c>
      <x:c r="C90" s="213" t="n">
        <x:v>4</x:v>
      </x:c>
      <x:c r="D90" s="216" t="str">
        <x:v>ถัง</x:v>
      </x:c>
      <x:c r="E90" s="213" t="n">
        <x:v>1100</x:v>
      </x:c>
      <x:c r="F90" s="213" t="n">
        <x:v>4400</x:v>
      </x:c>
      <x:c r="G90" s="213" t="n">
        <x:v>0</x:v>
      </x:c>
      <x:c r="H90" s="213" t="n">
        <x:v>0</x:v>
      </x:c>
      <x:c r="I90" s="213" t="n">
        <x:f t="shared" si="3"/>
        <x:v>4400</x:v>
      </x:c>
      <x:c r="J90" s="212"/>
      <x:c r="K90" s="211"/>
    </x:row>
    <x:row r="91">
      <x:c r="A91" s="217"/>
      <x:c r="B91" s="212" t="str">
        <x:v>       - พลาสติกใส ขาวขุน 1.40*50</x:v>
      </x:c>
      <x:c r="C91" s="213" t="n">
        <x:v>2.33</x:v>
      </x:c>
      <x:c r="D91" s="216" t="str">
        <x:v>ม้วน</x:v>
      </x:c>
      <x:c r="E91" s="213" t="n">
        <x:v>160</x:v>
      </x:c>
      <x:c r="F91" s="213" t="n">
        <x:v>373.33</x:v>
      </x:c>
      <x:c r="G91" s="213" t="n">
        <x:v>0</x:v>
      </x:c>
      <x:c r="H91" s="213" t="n">
        <x:v>0</x:v>
      </x:c>
      <x:c r="I91" s="213" t="n">
        <x:f t="shared" si="3"/>
        <x:v>373.33</x:v>
      </x:c>
      <x:c r="J91" s="212"/>
      <x:c r="K91" s="211"/>
    </x:row>
    <x:row r="92">
      <x:c r="A92" s="217"/>
      <x:c r="B92" s="212" t="str">
        <x:v>       - บ่อพัก พร้อมฝา ขนาด 0.35*0.40 ม.</x:v>
      </x:c>
      <x:c r="C92" s="213" t="n">
        <x:v>8</x:v>
      </x:c>
      <x:c r="D92" s="216" t="str">
        <x:v>อัน</x:v>
      </x:c>
      <x:c r="E92" s="213" t="n">
        <x:v>108</x:v>
      </x:c>
      <x:c r="F92" s="213" t="n">
        <x:v>864</x:v>
      </x:c>
      <x:c r="G92" s="213" t="n">
        <x:v>0</x:v>
      </x:c>
      <x:c r="H92" s="213" t="n">
        <x:v>0</x:v>
      </x:c>
      <x:c r="I92" s="213" t="n">
        <x:f t="shared" si="3"/>
        <x:v>864</x:v>
      </x:c>
      <x:c r="J92" s="212"/>
      <x:c r="K92" s="211"/>
    </x:row>
    <x:row r="93">
      <x:c r="A93" s="217"/>
      <x:c r="B93" s="212" t="str">
        <x:v>       - ฝาบ่อพัก </x:v>
      </x:c>
      <x:c r="C93" s="213" t="n">
        <x:v>8</x:v>
      </x:c>
      <x:c r="D93" s="216" t="str">
        <x:v>ฝา</x:v>
      </x:c>
      <x:c r="E93" s="213" t="n">
        <x:v>42</x:v>
      </x:c>
      <x:c r="F93" s="213" t="n">
        <x:v>336</x:v>
      </x:c>
      <x:c r="G93" s="213" t="n">
        <x:v>0</x:v>
      </x:c>
      <x:c r="H93" s="213" t="n">
        <x:v>0</x:v>
      </x:c>
      <x:c r="I93" s="213" t="n">
        <x:f t="shared" si="3"/>
        <x:v>336</x:v>
      </x:c>
      <x:c r="J93" s="212"/>
      <x:c r="K93" s="211"/>
    </x:row>
    <x:row r="94" s="219" customFormat="1" ht="20.25">
      <x:c r="A94" s="225"/>
      <x:c r="B94" s="224" t="str">
        <x:v>รวมงานข้อ 2.1</x:v>
      </x:c>
      <x:c r="C94" s="226"/>
      <x:c r="D94" s="227"/>
      <x:c r="E94" s="226"/>
      <x:c r="F94" s="226" t="n">
        <x:f>ROUND(SUM(F68,F69,F70,F71,F72,F73,F74,F75,F76,F77,F78,F79,F80,F81,F82,F83,F84,F85,F86,F87,F88,F89,F90,F91,F92,F93),2)</x:f>
        <x:v>54577.53</x:v>
      </x:c>
      <x:c r="G94" s="226"/>
      <x:c r="H94" s="226" t="n">
        <x:f>ROUND(SUM(H68,H69,H70,H71,H72,H73,H74,H75,H76,H77,H78,H79,H80,H81,H82,H83,H84,H85,H86,H87,H88,H89,H90,H91,H92,H93),2)</x:f>
        <x:v>0</x:v>
      </x:c>
      <x:c r="I94" s="226" t="n">
        <x:f t="shared" si="3"/>
        <x:v>54577.53</x:v>
      </x:c>
      <x:c r="J94" s="224"/>
      <x:c r="K94" s="218"/>
    </x:row>
    <x:row r="95" s="219" customFormat="1" ht="20.25">
      <x:c r="A95" s="225"/>
      <x:c r="B95" s="224" t="str">
        <x:v> 2.3 งานผนังจับเซี้ยมอุดรู เจีย</x:v>
      </x:c>
      <x:c r="C95" s="226"/>
      <x:c r="D95" s="227"/>
      <x:c r="E95" s="226"/>
      <x:c r="F95" s="226"/>
      <x:c r="G95" s="226"/>
      <x:c r="H95" s="226"/>
      <x:c r="I95" s="226"/>
      <x:c r="J95" s="224"/>
      <x:c r="K95" s="218"/>
    </x:row>
    <x:row r="96">
      <x:c r="A96" s="217"/>
      <x:c r="B96" s="212" t="str">
        <x:v>       - ปูนก่ออิฐมวลเบา</x:v>
      </x:c>
      <x:c r="C96" s="213" t="n">
        <x:v>4</x:v>
      </x:c>
      <x:c r="D96" s="216" t="str">
        <x:v>ลูก</x:v>
      </x:c>
      <x:c r="E96" s="213" t="n">
        <x:v>109</x:v>
      </x:c>
      <x:c r="F96" s="213" t="n">
        <x:v>436</x:v>
      </x:c>
      <x:c r="G96" s="213" t="n">
        <x:v>6000</x:v>
      </x:c>
      <x:c r="H96" s="213" t="n">
        <x:v>24000</x:v>
      </x:c>
      <x:c r="I96" s="213" t="n">
        <x:f>ROUND(F96+H96,2)</x:f>
        <x:v>24436</x:v>
      </x:c>
      <x:c r="J96" s="212"/>
      <x:c r="K96" s="211"/>
    </x:row>
    <x:row r="97">
      <x:c r="A97" s="217"/>
      <x:c r="B97" s="212" t="str">
        <x:v>       - ปูนฉาบอิฐมวลเบา M210</x:v>
      </x:c>
      <x:c r="C97" s="213" t="n">
        <x:v>13.33</x:v>
      </x:c>
      <x:c r="D97" s="216" t="str">
        <x:v>ลูก</x:v>
      </x:c>
      <x:c r="E97" s="213" t="n">
        <x:v>75</x:v>
      </x:c>
      <x:c r="F97" s="213" t="n">
        <x:v>1000</x:v>
      </x:c>
      <x:c r="G97" s="213" t="n">
        <x:v>0</x:v>
      </x:c>
      <x:c r="H97" s="213" t="n">
        <x:v>0</x:v>
      </x:c>
      <x:c r="I97" s="213" t="n">
        <x:f>ROUND(F97+H97,2)</x:f>
        <x:v>1000</x:v>
      </x:c>
      <x:c r="J97" s="212"/>
      <x:c r="K97" s="211"/>
    </x:row>
    <x:row r="98" s="219" customFormat="1" ht="20.25">
      <x:c r="A98" s="225"/>
      <x:c r="B98" s="224" t="str">
        <x:v>รวมงานข้อ 2.3</x:v>
      </x:c>
      <x:c r="C98" s="226"/>
      <x:c r="D98" s="227"/>
      <x:c r="E98" s="226"/>
      <x:c r="F98" s="226" t="n">
        <x:f>ROUND(SUM(F96,F97),2)</x:f>
        <x:v>1436</x:v>
      </x:c>
      <x:c r="G98" s="226"/>
      <x:c r="H98" s="226" t="n">
        <x:f>ROUND(SUM(H96,H97),2)</x:f>
        <x:v>24000</x:v>
      </x:c>
      <x:c r="I98" s="226" t="n">
        <x:f>ROUND(F98+H98,2)</x:f>
        <x:v>25436</x:v>
      </x:c>
      <x:c r="J98" s="224"/>
      <x:c r="K98" s="218"/>
    </x:row>
    <x:row r="99" s="219" customFormat="1" ht="20.25">
      <x:c r="A99" s="225"/>
      <x:c r="B99" s="224" t="str">
        <x:v> 2.4 งานก่อรั้วหน้าบ้าน</x:v>
      </x:c>
      <x:c r="C99" s="226"/>
      <x:c r="D99" s="227"/>
      <x:c r="E99" s="226"/>
      <x:c r="F99" s="226"/>
      <x:c r="G99" s="226"/>
      <x:c r="H99" s="226"/>
      <x:c r="I99" s="226"/>
      <x:c r="J99" s="224"/>
      <x:c r="K99" s="218"/>
    </x:row>
    <x:row r="100">
      <x:c r="A100" s="217"/>
      <x:c r="B100" s="212" t="str">
        <x:v>       - ผนังก่ออิฐบล็อค</x:v>
      </x:c>
      <x:c r="C100" s="213" t="n">
        <x:v>350</x:v>
      </x:c>
      <x:c r="D100" s="216" t="str">
        <x:v>ก้อน</x:v>
      </x:c>
      <x:c r="E100" s="213" t="n">
        <x:v>5.5</x:v>
      </x:c>
      <x:c r="F100" s="213" t="n">
        <x:v>1925</x:v>
      </x:c>
      <x:c r="G100" s="213" t="n">
        <x:v>0</x:v>
      </x:c>
      <x:c r="H100" s="213" t="n">
        <x:v>0</x:v>
      </x:c>
      <x:c r="I100" s="213" t="n">
        <x:f t="shared" ref="I100:I109" si="4">ROUND(F100+H100,2)</x:f>
        <x:v>1925</x:v>
      </x:c>
      <x:c r="J100" s="212"/>
      <x:c r="K100" s="211"/>
    </x:row>
    <x:row r="101">
      <x:c r="A101" s="217"/>
      <x:c r="B101" s="212" t="str">
        <x:v>       - หิน3/4</x:v>
      </x:c>
      <x:c r="C101" s="213" t="n">
        <x:v>1.33</x:v>
      </x:c>
      <x:c r="D101" s="216" t="str">
        <x:v>คิว</x:v>
      </x:c>
      <x:c r="E101" s="213" t="n">
        <x:v>500</x:v>
      </x:c>
      <x:c r="F101" s="213" t="n">
        <x:v>666.67</x:v>
      </x:c>
      <x:c r="G101" s="213" t="n">
        <x:v>0</x:v>
      </x:c>
      <x:c r="H101" s="213" t="n">
        <x:v>0</x:v>
      </x:c>
      <x:c r="I101" s="213" t="n">
        <x:f t="shared" si="4"/>
        <x:v>666.67</x:v>
      </x:c>
      <x:c r="J101" s="212"/>
      <x:c r="K101" s="211"/>
    </x:row>
    <x:row r="102">
      <x:c r="A102" s="217"/>
      <x:c r="B102" s="212" t="str">
        <x:v>       - ทรายหยาบ</x:v>
      </x:c>
      <x:c r="C102" s="213" t="n">
        <x:v>1.33</x:v>
      </x:c>
      <x:c r="D102" s="216" t="str">
        <x:v>คิว</x:v>
      </x:c>
      <x:c r="E102" s="213" t="n">
        <x:v>400</x:v>
      </x:c>
      <x:c r="F102" s="213" t="n">
        <x:v>533.33</x:v>
      </x:c>
      <x:c r="G102" s="213" t="n">
        <x:v>0</x:v>
      </x:c>
      <x:c r="H102" s="213" t="n">
        <x:v>0</x:v>
      </x:c>
      <x:c r="I102" s="213" t="n">
        <x:f t="shared" si="4"/>
        <x:v>533.33</x:v>
      </x:c>
      <x:c r="J102" s="212"/>
      <x:c r="K102" s="211"/>
    </x:row>
    <x:row r="103">
      <x:c r="A103" s="217"/>
      <x:c r="B103" s="212" t="str">
        <x:v>       - ปูนเขียว TPI 197</x:v>
      </x:c>
      <x:c r="C103" s="213" t="n">
        <x:v>13.33</x:v>
      </x:c>
      <x:c r="D103" s="216" t="str">
        <x:v>ลูก</x:v>
      </x:c>
      <x:c r="E103" s="213" t="n">
        <x:v>92</x:v>
      </x:c>
      <x:c r="F103" s="213" t="n">
        <x:v>1226.67</x:v>
      </x:c>
      <x:c r="G103" s="213" t="n">
        <x:v>0</x:v>
      </x:c>
      <x:c r="H103" s="213" t="n">
        <x:v>0</x:v>
      </x:c>
      <x:c r="I103" s="213" t="n">
        <x:f t="shared" si="4"/>
        <x:v>1226.67</x:v>
      </x:c>
      <x:c r="J103" s="212"/>
      <x:c r="K103" s="211"/>
    </x:row>
    <x:row r="104">
      <x:c r="A104" s="217"/>
      <x:c r="B104" s="212" t="str">
        <x:v>       - ปูนฉาบสำเร็จ M209</x:v>
      </x:c>
      <x:c r="C104" s="213" t="n">
        <x:v>40</x:v>
      </x:c>
      <x:c r="D104" s="216" t="str">
        <x:v>ลูก</x:v>
      </x:c>
      <x:c r="E104" s="213" t="n">
        <x:v>61</x:v>
      </x:c>
      <x:c r="F104" s="213" t="n">
        <x:v>2440</x:v>
      </x:c>
      <x:c r="G104" s="213" t="n">
        <x:v>0</x:v>
      </x:c>
      <x:c r="H104" s="213" t="n">
        <x:v>0</x:v>
      </x:c>
      <x:c r="I104" s="213" t="n">
        <x:f t="shared" si="4"/>
        <x:v>2440</x:v>
      </x:c>
      <x:c r="J104" s="212"/>
      <x:c r="K104" s="211"/>
    </x:row>
    <x:row r="105">
      <x:c r="A105" s="217"/>
      <x:c r="B105" s="212" t="str">
        <x:v>       - ปูนแดง TPI </x:v>
      </x:c>
      <x:c r="C105" s="213" t="n">
        <x:v>6.67</x:v>
      </x:c>
      <x:c r="D105" s="216" t="str">
        <x:v>เส้น</x:v>
      </x:c>
      <x:c r="E105" s="213" t="n">
        <x:v>110</x:v>
      </x:c>
      <x:c r="F105" s="213" t="n">
        <x:v>733.33</x:v>
      </x:c>
      <x:c r="G105" s="213" t="n">
        <x:v>0</x:v>
      </x:c>
      <x:c r="H105" s="213" t="n">
        <x:v>0</x:v>
      </x:c>
      <x:c r="I105" s="213" t="n">
        <x:f t="shared" si="4"/>
        <x:v>733.33</x:v>
      </x:c>
      <x:c r="J105" s="212"/>
      <x:c r="K105" s="211"/>
    </x:row>
    <x:row r="106">
      <x:c r="A106" s="217"/>
      <x:c r="B106" s="212" t="str">
        <x:v>       - เหล็กเส้นกลมผิวเรียบ SR 24 ขนาด Ø 6 มม.</x:v>
      </x:c>
      <x:c r="C106" s="213" t="n">
        <x:v>6.67</x:v>
      </x:c>
      <x:c r="D106" s="216" t="str">
        <x:v>เส้น</x:v>
      </x:c>
      <x:c r="E106" s="213" t="n">
        <x:v>64</x:v>
      </x:c>
      <x:c r="F106" s="213" t="n">
        <x:v>426.67</x:v>
      </x:c>
      <x:c r="G106" s="213" t="n">
        <x:v>0</x:v>
      </x:c>
      <x:c r="H106" s="213" t="n">
        <x:v>0</x:v>
      </x:c>
      <x:c r="I106" s="213" t="n">
        <x:f t="shared" si="4"/>
        <x:v>426.67</x:v>
      </x:c>
      <x:c r="J106" s="212"/>
      <x:c r="K106" s="211"/>
    </x:row>
    <x:row r="107">
      <x:c r="A107" s="217"/>
      <x:c r="B107" s="212" t="str">
        <x:v>       - เหล็กทับหลังสำเร็จ (50ม.)</x:v>
      </x:c>
      <x:c r="C107" s="213" t="n">
        <x:v>0.67</x:v>
      </x:c>
      <x:c r="D107" s="216" t="str">
        <x:v>ม้วน</x:v>
      </x:c>
      <x:c r="E107" s="213" t="n">
        <x:v>0</x:v>
      </x:c>
      <x:c r="F107" s="213" t="n">
        <x:v>0</x:v>
      </x:c>
      <x:c r="G107" s="213" t="n">
        <x:v>0</x:v>
      </x:c>
      <x:c r="H107" s="213" t="n">
        <x:v>0</x:v>
      </x:c>
      <x:c r="I107" s="213" t="n">
        <x:f t="shared" si="4"/>
        <x:v>0</x:v>
      </x:c>
      <x:c r="J107" s="212"/>
      <x:c r="K107" s="211"/>
    </x:row>
    <x:row r="108">
      <x:c r="A108" s="217"/>
      <x:c r="B108" s="212" t="str">
        <x:v>       - ค่าแรงงานก่อรั้วหน้าบ้าน</x:v>
      </x:c>
      <x:c r="C108" s="213" t="n">
        <x:v>4</x:v>
      </x:c>
      <x:c r="D108" s="216" t="str">
        <x:v>หลัง</x:v>
      </x:c>
      <x:c r="E108" s="213" t="n">
        <x:v>0</x:v>
      </x:c>
      <x:c r="F108" s="213" t="n">
        <x:v>0</x:v>
      </x:c>
      <x:c r="G108" s="213" t="n">
        <x:v>1012</x:v>
      </x:c>
      <x:c r="H108" s="213" t="n">
        <x:v>28336</x:v>
      </x:c>
      <x:c r="I108" s="213" t="n">
        <x:f t="shared" si="4"/>
        <x:v>28336</x:v>
      </x:c>
      <x:c r="J108" s="212"/>
      <x:c r="K108" s="211"/>
    </x:row>
    <x:row r="109" s="219" customFormat="1" ht="20.25">
      <x:c r="A109" s="225"/>
      <x:c r="B109" s="224" t="str">
        <x:v>รวมงานข้อ 2.4</x:v>
      </x:c>
      <x:c r="C109" s="226"/>
      <x:c r="D109" s="227"/>
      <x:c r="E109" s="226"/>
      <x:c r="F109" s="226" t="n">
        <x:f>ROUND(SUM(F100,F101,F102,F103,F104,F105,F106,F107,F108),2)</x:f>
        <x:v>7951.67</x:v>
      </x:c>
      <x:c r="G109" s="226"/>
      <x:c r="H109" s="226" t="n">
        <x:f>ROUND(SUM(H100,H101,H102,H103,H104,H105,H106,H107,H108),2)</x:f>
        <x:v>28336</x:v>
      </x:c>
      <x:c r="I109" s="226" t="n">
        <x:f t="shared" si="4"/>
        <x:v>36287.67</x:v>
      </x:c>
      <x:c r="J109" s="224"/>
      <x:c r="K109" s="218"/>
    </x:row>
    <x:row r="110" s="219" customFormat="1" ht="20.25">
      <x:c r="A110" s="225"/>
      <x:c r="B110" s="224" t="str">
        <x:v> 2.5 งานเทพื้นที่จอดรถหน้าบ้าน</x:v>
      </x:c>
      <x:c r="C110" s="226"/>
      <x:c r="D110" s="227"/>
      <x:c r="E110" s="226"/>
      <x:c r="F110" s="226"/>
      <x:c r="G110" s="226"/>
      <x:c r="H110" s="226"/>
      <x:c r="I110" s="226"/>
      <x:c r="J110" s="224"/>
      <x:c r="K110" s="218"/>
    </x:row>
    <x:row r="111">
      <x:c r="A111" s="217"/>
      <x:c r="B111" s="212" t="str">
        <x:v>       - เหล็กตะแกรงไวร์เมท 4 มม @0.20</x:v>
      </x:c>
      <x:c r="C111" s="213" t="n">
        <x:v>96</x:v>
      </x:c>
      <x:c r="D111" s="216" t="str">
        <x:v>ตร.ม.</x:v>
      </x:c>
      <x:c r="E111" s="213" t="n">
        <x:v>45</x:v>
      </x:c>
      <x:c r="F111" s="213" t="n">
        <x:v>4320</x:v>
      </x:c>
      <x:c r="G111" s="213" t="n">
        <x:v>80</x:v>
      </x:c>
      <x:c r="H111" s="213" t="n">
        <x:v>7680</x:v>
      </x:c>
      <x:c r="I111" s="213" t="n">
        <x:f>ROUND(F111+H111,2)</x:f>
        <x:v>12000</x:v>
      </x:c>
      <x:c r="J111" s="212"/>
      <x:c r="K111" s="211"/>
    </x:row>
    <x:row r="112">
      <x:c r="A112" s="217"/>
      <x:c r="B112" s="212" t="str">
        <x:v>       - คอนกรีตผสมเสร็จ 280 กก./ตร.ซม. (ลูกบาศก์)</x:v>
      </x:c>
      <x:c r="C112" s="213" t="n">
        <x:v>11.33</x:v>
      </x:c>
      <x:c r="D112" s="216" t="str">
        <x:v>ลบ.ม.</x:v>
      </x:c>
      <x:c r="E112" s="213" t="n">
        <x:v>1500</x:v>
      </x:c>
      <x:c r="F112" s="213" t="n">
        <x:v>17000</x:v>
      </x:c>
      <x:c r="G112" s="213" t="n">
        <x:v>0</x:v>
      </x:c>
      <x:c r="H112" s="213" t="n">
        <x:v>0</x:v>
      </x:c>
      <x:c r="I112" s="213" t="n">
        <x:f>ROUND(F112+H112,2)</x:f>
        <x:v>17000</x:v>
      </x:c>
      <x:c r="J112" s="212"/>
      <x:c r="K112" s="211"/>
    </x:row>
    <x:row r="113" s="219" customFormat="1" ht="20.25">
      <x:c r="A113" s="225"/>
      <x:c r="B113" s="224" t="str">
        <x:v>รวมงานข้อ 2.5</x:v>
      </x:c>
      <x:c r="C113" s="226"/>
      <x:c r="D113" s="227"/>
      <x:c r="E113" s="226"/>
      <x:c r="F113" s="226" t="n">
        <x:f>ROUND(SUM(F111,F112),2)</x:f>
        <x:v>21320</x:v>
      </x:c>
      <x:c r="G113" s="226"/>
      <x:c r="H113" s="226" t="n">
        <x:f>ROUND(SUM(H111,H112),2)</x:f>
        <x:v>7680</x:v>
      </x:c>
      <x:c r="I113" s="226" t="n">
        <x:f>ROUND(F113+H113,2)</x:f>
        <x:v>29000</x:v>
      </x:c>
      <x:c r="J113" s="224"/>
      <x:c r="K113" s="218"/>
    </x:row>
    <x:row r="114" s="219" customFormat="1" ht="20.25">
      <x:c r="A114" s="225"/>
      <x:c r="B114" s="224" t="str">
        <x:v> 2.6 งานเทผนังหลังบ้าน</x:v>
      </x:c>
      <x:c r="C114" s="226"/>
      <x:c r="D114" s="227"/>
      <x:c r="E114" s="226"/>
      <x:c r="F114" s="226"/>
      <x:c r="G114" s="226"/>
      <x:c r="H114" s="226"/>
      <x:c r="I114" s="226"/>
      <x:c r="J114" s="224"/>
      <x:c r="K114" s="218"/>
    </x:row>
    <x:row r="115">
      <x:c r="A115" s="217"/>
      <x:c r="B115" s="212" t="str">
        <x:v>       - เหล็กเส้นกลมผิวเรียบ SR 24 ขนาด Ø 9 มม.</x:v>
      </x:c>
      <x:c r="C115" s="213" t="n">
        <x:v>0.03</x:v>
      </x:c>
      <x:c r="D115" s="216" t="str">
        <x:v>ตัน</x:v>
      </x:c>
      <x:c r="E115" s="213" t="n">
        <x:v>137</x:v>
      </x:c>
      <x:c r="F115" s="213" t="n">
        <x:v>915.16</x:v>
      </x:c>
      <x:c r="G115" s="213" t="n">
        <x:v>0</x:v>
      </x:c>
      <x:c r="H115" s="213" t="n">
        <x:v>0</x:v>
      </x:c>
      <x:c r="I115" s="213" t="n">
        <x:f t="shared" ref="I115:I120" si="5">ROUND(F115+H115,2)</x:f>
        <x:v>915.16</x:v>
      </x:c>
      <x:c r="J115" s="212"/>
      <x:c r="K115" s="211"/>
    </x:row>
    <x:row r="116">
      <x:c r="A116" s="217"/>
      <x:c r="B116" s="212" t="str">
        <x:v>       - เหล็กเส้นกลมผิวข้ออ้อย SD 40 ขนาด Ø 12 มม.</x:v>
      </x:c>
      <x:c r="C116" s="213" t="n">
        <x:v>0.03</x:v>
      </x:c>
      <x:c r="D116" s="216" t="str">
        <x:v>ตัน</x:v>
      </x:c>
      <x:c r="E116" s="213" t="n">
        <x:v>240</x:v>
      </x:c>
      <x:c r="F116" s="213" t="n">
        <x:v>720.72</x:v>
      </x:c>
      <x:c r="G116" s="213" t="n">
        <x:v>1</x:v>
      </x:c>
      <x:c r="H116" s="213" t="n">
        <x:v>2.01</x:v>
      </x:c>
      <x:c r="I116" s="213" t="n">
        <x:f t="shared" si="5"/>
        <x:v>722.73</x:v>
      </x:c>
      <x:c r="J116" s="212"/>
      <x:c r="K116" s="211"/>
    </x:row>
    <x:row r="117">
      <x:c r="A117" s="217"/>
      <x:c r="B117" s="212" t="str">
        <x:v>       - คอนกรีตผสมเสร็จ 280 กก./ตร.ซม. (ปั้ม)</x:v>
      </x:c>
      <x:c r="C117" s="213" t="n">
        <x:v>8.67</x:v>
      </x:c>
      <x:c r="D117" s="216" t="str">
        <x:v>ลบ.ม.</x:v>
      </x:c>
      <x:c r="E117" s="213" t="n">
        <x:v>1600</x:v>
      </x:c>
      <x:c r="F117" s="213" t="n">
        <x:v>13866.67</x:v>
      </x:c>
      <x:c r="G117" s="213" t="n">
        <x:v>2</x:v>
      </x:c>
      <x:c r="H117" s="213" t="n">
        <x:v>8.67</x:v>
      </x:c>
      <x:c r="I117" s="213" t="n">
        <x:f t="shared" si="5"/>
        <x:v>13875.34</x:v>
      </x:c>
      <x:c r="J117" s="212"/>
      <x:c r="K117" s="211"/>
    </x:row>
    <x:row r="118">
      <x:c r="A118" s="217"/>
      <x:c r="B118" s="212" t="str">
        <x:v>       - เหล็กตะแกรง WIRE MESH Ø 6 มม. @ 0.20 ม. </x:v>
      </x:c>
      <x:c r="C118" s="213" t="n">
        <x:v>86.67</x:v>
      </x:c>
      <x:c r="D118" s="216" t="str">
        <x:v>ตร.ม.</x:v>
      </x:c>
      <x:c r="E118" s="213" t="n">
        <x:v>74.2</x:v>
      </x:c>
      <x:c r="F118" s="213" t="n">
        <x:v>6430.67</x:v>
      </x:c>
      <x:c r="G118" s="213" t="n">
        <x:v>3</x:v>
      </x:c>
      <x:c r="H118" s="213" t="n">
        <x:v>130</x:v>
      </x:c>
      <x:c r="I118" s="213" t="n">
        <x:f t="shared" si="5"/>
        <x:v>6560.67</x:v>
      </x:c>
      <x:c r="J118" s="212"/>
      <x:c r="K118" s="211"/>
    </x:row>
    <x:row r="119">
      <x:c r="A119" s="217"/>
      <x:c r="B119" s="212" t="str">
        <x:v>       - ค่าแรงงานเทผนังหลังบ้าน</x:v>
      </x:c>
      <x:c r="C119" s="213" t="n">
        <x:v>4</x:v>
      </x:c>
      <x:c r="D119" s="216" t="str">
        <x:v>หลัง</x:v>
      </x:c>
      <x:c r="E119" s="213" t="n">
        <x:v>0</x:v>
      </x:c>
      <x:c r="F119" s="213" t="n">
        <x:v>0</x:v>
      </x:c>
      <x:c r="G119" s="213" t="n">
        <x:v>2500</x:v>
      </x:c>
      <x:c r="H119" s="213" t="n">
        <x:v>10000</x:v>
      </x:c>
      <x:c r="I119" s="213" t="n">
        <x:f t="shared" si="5"/>
        <x:v>10000</x:v>
      </x:c>
      <x:c r="J119" s="212"/>
      <x:c r="K119" s="211"/>
    </x:row>
    <x:row r="120" s="219" customFormat="1" ht="20.25">
      <x:c r="A120" s="225"/>
      <x:c r="B120" s="224" t="str">
        <x:v>รวมงานข้อ 2.6</x:v>
      </x:c>
      <x:c r="C120" s="226"/>
      <x:c r="D120" s="227"/>
      <x:c r="E120" s="226"/>
      <x:c r="F120" s="226" t="n">
        <x:f>ROUND(SUM(F115,F116,F117,F118,F119),2)</x:f>
        <x:v>21933.22</x:v>
      </x:c>
      <x:c r="G120" s="226" t="n">
        <x:f>SUM(G115:G119)</x:f>
        <x:v>2506</x:v>
      </x:c>
      <x:c r="H120" s="226" t="n">
        <x:f>ROUND(SUM(H115,H116,H117,H118,H119),2)</x:f>
        <x:v>10140.68</x:v>
      </x:c>
      <x:c r="I120" s="226" t="n">
        <x:f t="shared" si="5"/>
        <x:v>32073.9</x:v>
      </x:c>
      <x:c r="J120" s="224"/>
      <x:c r="K120" s="218"/>
    </x:row>
    <x:row r="121" s="219" customFormat="1" ht="20.25">
      <x:c r="A121" s="225"/>
      <x:c r="B121" s="224" t="str">
        <x:v> 2.7 งานมุงหลังคา</x:v>
      </x:c>
      <x:c r="C121" s="226"/>
      <x:c r="D121" s="227"/>
      <x:c r="E121" s="226"/>
      <x:c r="F121" s="226"/>
      <x:c r="G121" s="226"/>
      <x:c r="H121" s="226"/>
      <x:c r="I121" s="226"/>
      <x:c r="J121" s="224"/>
      <x:c r="K121" s="218"/>
    </x:row>
    <x:row r="122">
      <x:c r="A122" s="217"/>
      <x:c r="B122" s="212" t="str">
        <x:v>       - แผ่นกระเบื้องลอนคู่ 1.20 เมตร(สีน้ำตาลสุขสันต์)</x:v>
      </x:c>
      <x:c r="C122" s="213" t="n">
        <x:v>416</x:v>
      </x:c>
      <x:c r="D122" s="216" t="str">
        <x:v>แผ่น</x:v>
      </x:c>
      <x:c r="E122" s="213" t="n">
        <x:v>67</x:v>
      </x:c>
      <x:c r="F122" s="213" t="n">
        <x:v>27872</x:v>
      </x:c>
      <x:c r="G122" s="213" t="n">
        <x:v>0</x:v>
      </x:c>
      <x:c r="H122" s="213" t="n">
        <x:v>0</x:v>
      </x:c>
      <x:c r="I122" s="213" t="n">
        <x:f t="shared" ref="I122:I135" si="6">ROUND(F122+H122,2)</x:f>
        <x:v>27872</x:v>
      </x:c>
      <x:c r="J122" s="212"/>
      <x:c r="K122" s="211"/>
    </x:row>
    <x:row r="123">
      <x:c r="A123" s="217"/>
      <x:c r="B123" s="212" t="str">
        <x:v>       - แผ่นกระเบื้องลอนคู่ 1.50 เมตร(สีน้ำตาลสุขสันต์)</x:v>
      </x:c>
      <x:c r="C123" s="213" t="n">
        <x:v>104</x:v>
      </x:c>
      <x:c r="D123" s="216" t="str">
        <x:v>แผ่น</x:v>
      </x:c>
      <x:c r="E123" s="213" t="n">
        <x:v>82</x:v>
      </x:c>
      <x:c r="F123" s="213" t="n">
        <x:v>8528</x:v>
      </x:c>
      <x:c r="G123" s="213" t="n">
        <x:v>0</x:v>
      </x:c>
      <x:c r="H123" s="213" t="n">
        <x:v>0</x:v>
      </x:c>
      <x:c r="I123" s="213" t="n">
        <x:f t="shared" si="6"/>
        <x:v>8528</x:v>
      </x:c>
      <x:c r="J123" s="212"/>
      <x:c r="K123" s="211"/>
    </x:row>
    <x:row r="124">
      <x:c r="A124" s="217"/>
      <x:c r="B124" s="212" t="str">
        <x:v>       - สกรูยิงแผ่นกระเบื้อง </x:v>
      </x:c>
      <x:c r="C124" s="213" t="n">
        <x:v>10</x:v>
      </x:c>
      <x:c r="D124" s="216" t="str">
        <x:v>กล่อง</x:v>
      </x:c>
      <x:c r="E124" s="213" t="n">
        <x:v>870</x:v>
      </x:c>
      <x:c r="F124" s="213" t="n">
        <x:v>8700</x:v>
      </x:c>
      <x:c r="G124" s="213" t="n">
        <x:v>0</x:v>
      </x:c>
      <x:c r="H124" s="213" t="n">
        <x:v>0</x:v>
      </x:c>
      <x:c r="I124" s="213" t="n">
        <x:f t="shared" si="6"/>
        <x:v>8700</x:v>
      </x:c>
      <x:c r="J124" s="212"/>
      <x:c r="K124" s="211"/>
    </x:row>
    <x:row r="125">
      <x:c r="A125" s="217"/>
      <x:c r="B125" s="212" t="str">
        <x:v>       - ครอบสันกลาง2ทาง (สีน้ำตาลสุขสันต์)</x:v>
      </x:c>
      <x:c r="C125" s="213" t="n">
        <x:v>4</x:v>
      </x:c>
      <x:c r="D125" s="216" t="str">
        <x:v>แผ่น</x:v>
      </x:c>
      <x:c r="E125" s="213" t="n">
        <x:v>53</x:v>
      </x:c>
      <x:c r="F125" s="213" t="n">
        <x:v>212</x:v>
      </x:c>
      <x:c r="G125" s="213" t="n">
        <x:v>0</x:v>
      </x:c>
      <x:c r="H125" s="213" t="n">
        <x:v>0</x:v>
      </x:c>
      <x:c r="I125" s="213" t="n">
        <x:f t="shared" si="6"/>
        <x:v>212</x:v>
      </x:c>
      <x:c r="J125" s="212"/>
      <x:c r="K125" s="211"/>
    </x:row>
    <x:row r="126">
      <x:c r="A126" s="217"/>
      <x:c r="B126" s="212" t="str">
        <x:v>       - ครอบสันโค้งปิดจั่ว (สีน้ำตาลสุขสันต์)</x:v>
      </x:c>
      <x:c r="C126" s="213" t="n">
        <x:v>8</x:v>
      </x:c>
      <x:c r="D126" s="216" t="str">
        <x:v>แผ่น</x:v>
      </x:c>
      <x:c r="E126" s="213" t="n">
        <x:v>63</x:v>
      </x:c>
      <x:c r="F126" s="213" t="n">
        <x:v>504</x:v>
      </x:c>
      <x:c r="G126" s="213" t="n">
        <x:v>0</x:v>
      </x:c>
      <x:c r="H126" s="213" t="n">
        <x:v>0</x:v>
      </x:c>
      <x:c r="I126" s="213" t="n">
        <x:f t="shared" si="6"/>
        <x:v>504</x:v>
      </x:c>
      <x:c r="J126" s="212"/>
      <x:c r="K126" s="211"/>
    </x:row>
    <x:row r="127">
      <x:c r="A127" s="217"/>
      <x:c r="B127" s="212" t="str">
        <x:v>       - ไม้เชิงชาย สีซีเมนต์ 23.5 * 3.00 ม.</x:v>
      </x:c>
      <x:c r="C127" s="213" t="n">
        <x:v>16</x:v>
      </x:c>
      <x:c r="D127" s="216" t="str">
        <x:v>แผ่น</x:v>
      </x:c>
      <x:c r="E127" s="213" t="n">
        <x:v>137</x:v>
      </x:c>
      <x:c r="F127" s="213" t="n">
        <x:v>2192</x:v>
      </x:c>
      <x:c r="G127" s="213" t="n">
        <x:v>0</x:v>
      </x:c>
      <x:c r="H127" s="213" t="n">
        <x:v>0</x:v>
      </x:c>
      <x:c r="I127" s="213" t="n">
        <x:f t="shared" si="6"/>
        <x:v>2192</x:v>
      </x:c>
      <x:c r="J127" s="212"/>
      <x:c r="K127" s="211"/>
    </x:row>
    <x:row r="128">
      <x:c r="A128" s="217"/>
      <x:c r="B128" s="212" t="str">
        <x:v>       - ครอบสันโค้ง (สีน้ำตาลสุขสันต์)</x:v>
      </x:c>
      <x:c r="C128" s="213" t="n">
        <x:v>70.67</x:v>
      </x:c>
      <x:c r="D128" s="216" t="str">
        <x:v>แผ่น</x:v>
      </x:c>
      <x:c r="E128" s="213" t="n">
        <x:v>39</x:v>
      </x:c>
      <x:c r="F128" s="213" t="n">
        <x:v>2756</x:v>
      </x:c>
      <x:c r="G128" s="213" t="n">
        <x:v>0</x:v>
      </x:c>
      <x:c r="H128" s="213" t="n">
        <x:v>0</x:v>
      </x:c>
      <x:c r="I128" s="213" t="n">
        <x:f t="shared" si="6"/>
        <x:v>2756</x:v>
      </x:c>
      <x:c r="J128" s="212"/>
      <x:c r="K128" s="211"/>
    </x:row>
    <x:row r="129">
      <x:c r="A129" s="217"/>
      <x:c r="B129" s="212" t="str">
        <x:v>       - ครอบเชิงชาย (สีน้ำตาลสุขสันต์)</x:v>
      </x:c>
      <x:c r="C129" s="213" t="n">
        <x:v>88</x:v>
      </x:c>
      <x:c r="D129" s="216" t="str">
        <x:v>แผ่น</x:v>
      </x:c>
      <x:c r="E129" s="213" t="n">
        <x:v>39</x:v>
      </x:c>
      <x:c r="F129" s="213" t="n">
        <x:v>3432</x:v>
      </x:c>
      <x:c r="G129" s="213" t="n">
        <x:v>0</x:v>
      </x:c>
      <x:c r="H129" s="213" t="n">
        <x:v>0</x:v>
      </x:c>
      <x:c r="I129" s="213" t="n">
        <x:f t="shared" si="6"/>
        <x:v>3432</x:v>
      </x:c>
      <x:c r="J129" s="212"/>
      <x:c r="K129" s="211"/>
    </x:row>
    <x:row r="130">
      <x:c r="A130" s="217"/>
      <x:c r="B130" s="212" t="str">
        <x:v>       - ครอบปิดเชิงชาย (สีน้ำตาลสุขสันต์)</x:v>
      </x:c>
      <x:c r="C130" s="213" t="n">
        <x:v>2</x:v>
      </x:c>
      <x:c r="D130" s="216" t="str">
        <x:v>แผ่น</x:v>
      </x:c>
      <x:c r="E130" s="213" t="n">
        <x:v>52</x:v>
      </x:c>
      <x:c r="F130" s="213" t="n">
        <x:v>104</x:v>
      </x:c>
      <x:c r="G130" s="213" t="n">
        <x:v>0</x:v>
      </x:c>
      <x:c r="H130" s="213" t="n">
        <x:v>0</x:v>
      </x:c>
      <x:c r="I130" s="213" t="n">
        <x:f t="shared" si="6"/>
        <x:v>104</x:v>
      </x:c>
      <x:c r="J130" s="212"/>
      <x:c r="K130" s="211"/>
    </x:row>
    <x:row r="131">
      <x:c r="A131" s="217"/>
      <x:c r="B131" s="212" t="str">
        <x:v>       - กันนก </x:v>
      </x:c>
      <x:c r="C131" s="213" t="n">
        <x:v>9.33</x:v>
      </x:c>
      <x:c r="D131" s="216" t="str">
        <x:v>กล่อง</x:v>
      </x:c>
      <x:c r="E131" s="213" t="n">
        <x:v>170</x:v>
      </x:c>
      <x:c r="F131" s="213" t="n">
        <x:v>1586.67</x:v>
      </x:c>
      <x:c r="G131" s="213" t="n">
        <x:v>0</x:v>
      </x:c>
      <x:c r="H131" s="213" t="n">
        <x:v>0</x:v>
      </x:c>
      <x:c r="I131" s="213" t="n">
        <x:f t="shared" si="6"/>
        <x:v>1586.67</x:v>
      </x:c>
      <x:c r="J131" s="212"/>
      <x:c r="K131" s="211"/>
    </x:row>
    <x:row r="132">
      <x:c r="A132" s="217"/>
      <x:c r="B132" s="212" t="str">
        <x:v>       - แผ่นยางมะตอย 0.30 *10.00 ม.</x:v>
      </x:c>
      <x:c r="C132" s="213" t="n">
        <x:v>2</x:v>
      </x:c>
      <x:c r="D132" s="216" t="str">
        <x:v>ม้วน</x:v>
      </x:c>
      <x:c r="E132" s="213" t="n">
        <x:v>1359</x:v>
      </x:c>
      <x:c r="F132" s="213" t="n">
        <x:v>2718</x:v>
      </x:c>
      <x:c r="G132" s="213" t="n">
        <x:v>0</x:v>
      </x:c>
      <x:c r="H132" s="213" t="n">
        <x:v>0</x:v>
      </x:c>
      <x:c r="I132" s="213" t="n">
        <x:f t="shared" si="6"/>
        <x:v>2718</x:v>
      </x:c>
      <x:c r="J132" s="212"/>
      <x:c r="K132" s="211"/>
    </x:row>
    <x:row r="133">
      <x:c r="A133" s="217"/>
      <x:c r="B133" s="212" t="str">
        <x:v>       - รางน้ำสันตะเข้</x:v>
      </x:c>
      <x:c r="C133" s="213" t="n">
        <x:v>19.2</x:v>
      </x:c>
      <x:c r="D133" s="216" t="str">
        <x:v>เมตร</x:v>
      </x:c>
      <x:c r="E133" s="213"/>
      <x:c r="F133" s="213" t="n">
        <x:v>0</x:v>
      </x:c>
      <x:c r="G133" s="213" t="n">
        <x:v>400</x:v>
      </x:c>
      <x:c r="H133" s="213" t="n">
        <x:v>7680</x:v>
      </x:c>
      <x:c r="I133" s="213" t="n">
        <x:f t="shared" si="6"/>
        <x:v>7680</x:v>
      </x:c>
      <x:c r="J133" s="212"/>
      <x:c r="K133" s="211"/>
    </x:row>
    <x:row r="134">
      <x:c r="A134" s="217"/>
      <x:c r="B134" s="212" t="str">
        <x:v>       - ค่าแรงงานมุงหลังคา</x:v>
      </x:c>
      <x:c r="C134" s="213" t="n">
        <x:v>4</x:v>
      </x:c>
      <x:c r="D134" s="216" t="str">
        <x:v>หลัง</x:v>
      </x:c>
      <x:c r="E134" s="213" t="n">
        <x:v>0</x:v>
      </x:c>
      <x:c r="F134" s="213" t="n">
        <x:v>0</x:v>
      </x:c>
      <x:c r="G134" s="213" t="n">
        <x:v>70</x:v>
      </x:c>
      <x:c r="H134" s="213" t="n">
        <x:v>16100</x:v>
      </x:c>
      <x:c r="I134" s="213" t="n">
        <x:f t="shared" si="6"/>
        <x:v>16100</x:v>
      </x:c>
      <x:c r="J134" s="212"/>
      <x:c r="K134" s="211"/>
    </x:row>
    <x:row r="135" s="219" customFormat="1" ht="20.25">
      <x:c r="A135" s="225"/>
      <x:c r="B135" s="224" t="str">
        <x:v>รวมงานข้อ 2.7</x:v>
      </x:c>
      <x:c r="C135" s="226"/>
      <x:c r="D135" s="227"/>
      <x:c r="E135" s="226"/>
      <x:c r="F135" s="226" t="n">
        <x:f>ROUND(SUM(F122,F123,F124,F125,F126,F127,F128,F129,F130,F131,F132,F133,F134),2)</x:f>
        <x:v>58604.67</x:v>
      </x:c>
      <x:c r="G135" s="226"/>
      <x:c r="H135" s="226" t="n">
        <x:f>ROUND(SUM(H122,H123,H124,H125,H126,H127,H128,H129,H130,H131,H132,H133,H134),2)</x:f>
        <x:v>23780</x:v>
      </x:c>
      <x:c r="I135" s="226" t="n">
        <x:f t="shared" si="6"/>
        <x:v>82384.67</x:v>
      </x:c>
      <x:c r="J135" s="224"/>
      <x:c r="K135" s="218"/>
    </x:row>
    <x:row r="136" s="219" customFormat="1" ht="20.25">
      <x:c r="A136" s="225"/>
      <x:c r="B136" s="224" t="str">
        <x:v> 2.8 งานฝ้าเพดาน+ ไม้ตกแต่ง</x:v>
      </x:c>
      <x:c r="C136" s="226"/>
      <x:c r="D136" s="227"/>
      <x:c r="E136" s="226"/>
      <x:c r="F136" s="226"/>
      <x:c r="G136" s="226"/>
      <x:c r="H136" s="226"/>
      <x:c r="I136" s="226"/>
      <x:c r="J136" s="224"/>
      <x:c r="K136" s="218"/>
    </x:row>
    <x:row r="137">
      <x:c r="A137" s="217"/>
      <x:c r="B137" s="212" t="str">
        <x:v>       - ฝ้าเพดานสมาร์ทบอร์ดเซาะร่อง</x:v>
      </x:c>
      <x:c r="C137" s="213" t="n">
        <x:v>28</x:v>
      </x:c>
      <x:c r="D137" s="216" t="str">
        <x:v>ตร.ม.</x:v>
      </x:c>
      <x:c r="E137" s="213"/>
      <x:c r="F137" s="213" t="n">
        <x:v>0</x:v>
      </x:c>
      <x:c r="G137" s="213" t="n">
        <x:f>320</x:f>
        <x:v>320</x:v>
      </x:c>
      <x:c r="H137" s="213" t="n">
        <x:v>8960</x:v>
      </x:c>
      <x:c r="I137" s="213" t="n">
        <x:f t="shared" ref="I137:I144" si="7">ROUND(F137+H137,2)</x:f>
        <x:v>8960</x:v>
      </x:c>
      <x:c r="J137" s="212" t="str">
        <x:v>ทั้งของ</x:v>
      </x:c>
      <x:c r="K137" s="211"/>
    </x:row>
    <x:row r="138">
      <x:c r="A138" s="217"/>
      <x:c r="B138" s="212" t="str">
        <x:v>       - ฝ้าเพดานภายนอกภายในกันชื้น</x:v>
      </x:c>
      <x:c r="C138" s="213" t="n">
        <x:v>72</x:v>
      </x:c>
      <x:c r="D138" s="216" t="str">
        <x:v>ตร.ม.</x:v>
      </x:c>
      <x:c r="E138" s="213"/>
      <x:c r="F138" s="213" t="n">
        <x:v>0</x:v>
      </x:c>
      <x:c r="G138" s="213" t="n">
        <x:v>280</x:v>
      </x:c>
      <x:c r="H138" s="213" t="n">
        <x:v>20160</x:v>
      </x:c>
      <x:c r="I138" s="213" t="n">
        <x:f t="shared" si="7"/>
        <x:v>20160</x:v>
      </x:c>
      <x:c r="J138" s="212" t="str">
        <x:v>ทั้งแรง</x:v>
      </x:c>
      <x:c r="K138" s="211"/>
    </x:row>
    <x:row r="139">
      <x:c r="A139" s="217"/>
      <x:c r="B139" s="212" t="str">
        <x:v>       - ฝ้าเพดานภายใน</x:v>
      </x:c>
      <x:c r="C139" s="213" t="n">
        <x:v>120</x:v>
      </x:c>
      <x:c r="D139" s="216" t="str">
        <x:v>ตร.ม.</x:v>
      </x:c>
      <x:c r="E139" s="213"/>
      <x:c r="F139" s="213" t="n">
        <x:v>0</x:v>
      </x:c>
      <x:c r="G139" s="213" t="n">
        <x:v>240</x:v>
      </x:c>
      <x:c r="H139" s="213" t="n">
        <x:v>28800</x:v>
      </x:c>
      <x:c r="I139" s="213" t="n">
        <x:f t="shared" si="7"/>
        <x:v>28800</x:v>
      </x:c>
      <x:c r="J139" s="212"/>
      <x:c r="K139" s="211"/>
    </x:row>
    <x:row r="140">
      <x:c r="A140" s="217"/>
      <x:c r="B140" s="212" t="str">
        <x:v>       - ไม้มอบ</x:v>
      </x:c>
      <x:c r="C140" s="213" t="n">
        <x:v>230.4</x:v>
      </x:c>
      <x:c r="D140" s="216" t="str">
        <x:v>เมตร</x:v>
      </x:c>
      <x:c r="E140" s="213"/>
      <x:c r="F140" s="213" t="n">
        <x:v>0</x:v>
      </x:c>
      <x:c r="G140" s="213" t="n">
        <x:v>70</x:v>
      </x:c>
      <x:c r="H140" s="213" t="n">
        <x:v>16128</x:v>
      </x:c>
      <x:c r="I140" s="213" t="n">
        <x:f t="shared" si="7"/>
        <x:v>16128</x:v>
      </x:c>
      <x:c r="J140" s="212"/>
      <x:c r="K140" s="211"/>
    </x:row>
    <x:row r="141">
      <x:c r="A141" s="217"/>
      <x:c r="B141" s="212" t="str">
        <x:v>       - บัวหน้าบ้าน+ผนังเซาะร่อง4 นิ้ว</x:v>
      </x:c>
      <x:c r="C141" s="213" t="n">
        <x:v>4</x:v>
      </x:c>
      <x:c r="D141" s="216" t="str">
        <x:v>ห้อง</x:v>
      </x:c>
      <x:c r="E141" s="213"/>
      <x:c r="F141" s="213" t="n">
        <x:v>32268</x:v>
      </x:c>
      <x:c r="G141" s="213" t="n">
        <x:v>2000</x:v>
      </x:c>
      <x:c r="H141" s="213" t="n">
        <x:v>8000</x:v>
      </x:c>
      <x:c r="I141" s="213" t="n">
        <x:f t="shared" si="7"/>
        <x:v>40268</x:v>
      </x:c>
      <x:c r="J141" s="212"/>
      <x:c r="K141" s="211"/>
    </x:row>
    <x:row r="142">
      <x:c r="A142" s="217"/>
      <x:c r="B142" s="212" t="str">
        <x:v>       - ผนังฝาทนชื้น</x:v>
      </x:c>
      <x:c r="C142" s="213" t="n">
        <x:v>16</x:v>
      </x:c>
      <x:c r="D142" s="216" t="str">
        <x:v>ตร.ม.</x:v>
      </x:c>
      <x:c r="E142" s="213"/>
      <x:c r="F142" s="213" t="n">
        <x:v>0</x:v>
      </x:c>
      <x:c r="G142" s="213" t="n">
        <x:v>280</x:v>
      </x:c>
      <x:c r="H142" s="213" t="n">
        <x:v>4480</x:v>
      </x:c>
      <x:c r="I142" s="213" t="n">
        <x:f t="shared" si="7"/>
        <x:v>4480</x:v>
      </x:c>
      <x:c r="J142" s="212"/>
      <x:c r="K142" s="211"/>
    </x:row>
    <x:row r="143">
      <x:c r="A143" s="217"/>
      <x:c r="B143" s="212" t="str">
        <x:v>       - ไม้ฝาเซาะร่องจั่วหลังคา</x:v>
      </x:c>
      <x:c r="C143" s="213" t="n">
        <x:v>16</x:v>
      </x:c>
      <x:c r="D143" s="216" t="str">
        <x:v>ตร.ม.</x:v>
      </x:c>
      <x:c r="E143" s="213"/>
      <x:c r="F143" s="213" t="n">
        <x:v>0</x:v>
      </x:c>
      <x:c r="G143" s="213" t="n">
        <x:v>965</x:v>
      </x:c>
      <x:c r="H143" s="213" t="n">
        <x:v>15440</x:v>
      </x:c>
      <x:c r="I143" s="213" t="n">
        <x:f t="shared" si="7"/>
        <x:v>15440</x:v>
      </x:c>
      <x:c r="J143" s="212"/>
      <x:c r="K143" s="211"/>
    </x:row>
    <x:row r="144" s="219" customFormat="1" ht="20.25">
      <x:c r="A144" s="225"/>
      <x:c r="B144" s="224" t="str">
        <x:v>รวมงานข้อ 2.8</x:v>
      </x:c>
      <x:c r="C144" s="226"/>
      <x:c r="D144" s="227"/>
      <x:c r="E144" s="226"/>
      <x:c r="F144" s="226" t="n">
        <x:f>ROUND(SUM(F137,F138,F139,F140,F141,F142,F143),2)</x:f>
        <x:v>32268</x:v>
      </x:c>
      <x:c r="G144" s="226"/>
      <x:c r="H144" s="226" t="n">
        <x:f>ROUND(SUM(H137,H138,H139,H140,H141,H142,H143),2)</x:f>
        <x:v>101968</x:v>
      </x:c>
      <x:c r="I144" s="226" t="n">
        <x:f t="shared" si="7"/>
        <x:v>134236</x:v>
      </x:c>
      <x:c r="J144" s="224"/>
      <x:c r="K144" s="218"/>
    </x:row>
    <x:row r="145" s="219" customFormat="1" ht="20.25">
      <x:c r="A145" s="225"/>
      <x:c r="B145" s="224" t="str">
        <x:v> 2.9 งานสุขภัณฑ์และอุปกรณ์ห้องน้ำ - ส้วม</x:v>
      </x:c>
      <x:c r="C145" s="226"/>
      <x:c r="D145" s="227"/>
      <x:c r="E145" s="226"/>
      <x:c r="F145" s="226"/>
      <x:c r="G145" s="226"/>
      <x:c r="H145" s="226"/>
      <x:c r="I145" s="226"/>
      <x:c r="J145" s="224"/>
      <x:c r="K145" s="218"/>
    </x:row>
    <x:row r="146">
      <x:c r="A146" s="217"/>
      <x:c r="B146" s="212" t="str">
        <x:v>       - ชักโครก</x:v>
      </x:c>
      <x:c r="C146" s="213" t="n">
        <x:v>4</x:v>
      </x:c>
      <x:c r="D146" s="216" t="str">
        <x:v>ชุด</x:v>
      </x:c>
      <x:c r="E146" s="213" t="n">
        <x:v>1869</x:v>
      </x:c>
      <x:c r="F146" s="213" t="n">
        <x:v>7476</x:v>
      </x:c>
      <x:c r="G146" s="213" t="n">
        <x:v>0</x:v>
      </x:c>
      <x:c r="H146" s="213" t="n">
        <x:v>0</x:v>
      </x:c>
      <x:c r="I146" s="213" t="n">
        <x:f t="shared" ref="I146:I164" si="8">ROUND(F146+H146,2)</x:f>
        <x:v>7476</x:v>
      </x:c>
      <x:c r="J146" s="212"/>
      <x:c r="K146" s="211"/>
    </x:row>
    <x:row r="147">
      <x:c r="A147" s="217"/>
      <x:c r="B147" s="212" t="str">
        <x:v>       - อ่างล้างหน้าพร้อมขาตั้ง</x:v>
      </x:c>
      <x:c r="C147" s="213" t="n">
        <x:v>4</x:v>
      </x:c>
      <x:c r="D147" s="216" t="str">
        <x:v>ชุด</x:v>
      </x:c>
      <x:c r="E147" s="213" t="n">
        <x:v>640</x:v>
      </x:c>
      <x:c r="F147" s="213" t="n">
        <x:v>2560</x:v>
      </x:c>
      <x:c r="G147" s="213" t="n">
        <x:v>0</x:v>
      </x:c>
      <x:c r="H147" s="213" t="n">
        <x:v>0</x:v>
      </x:c>
      <x:c r="I147" s="213" t="n">
        <x:f t="shared" si="8"/>
        <x:v>2560</x:v>
      </x:c>
      <x:c r="J147" s="212"/>
      <x:c r="K147" s="211"/>
    </x:row>
    <x:row r="148">
      <x:c r="A148" s="217"/>
      <x:c r="B148" s="212" t="str">
        <x:v>       - ก๊อกอ่างล้างหน้า</x:v>
      </x:c>
      <x:c r="C148" s="213" t="n">
        <x:v>4</x:v>
      </x:c>
      <x:c r="D148" s="216" t="str">
        <x:v>ชุด</x:v>
      </x:c>
      <x:c r="E148" s="213" t="n">
        <x:v>664</x:v>
      </x:c>
      <x:c r="F148" s="213" t="n">
        <x:v>2656</x:v>
      </x:c>
      <x:c r="G148" s="213" t="n">
        <x:v>0</x:v>
      </x:c>
      <x:c r="H148" s="213" t="n">
        <x:v>0</x:v>
      </x:c>
      <x:c r="I148" s="213" t="n">
        <x:f t="shared" si="8"/>
        <x:v>2656</x:v>
      </x:c>
      <x:c r="J148" s="212"/>
      <x:c r="K148" s="211"/>
    </x:row>
    <x:row r="149">
      <x:c r="A149" s="217"/>
      <x:c r="B149" s="212" t="str">
        <x:v>       - สะดืออ่าง</x:v>
      </x:c>
      <x:c r="C149" s="213" t="n">
        <x:v>4</x:v>
      </x:c>
      <x:c r="D149" s="216" t="str">
        <x:v>ชุด</x:v>
      </x:c>
      <x:c r="E149" s="213" t="n">
        <x:v>159</x:v>
      </x:c>
      <x:c r="F149" s="213" t="n">
        <x:v>636</x:v>
      </x:c>
      <x:c r="G149" s="213" t="n">
        <x:v>0</x:v>
      </x:c>
      <x:c r="H149" s="213" t="n">
        <x:v>0</x:v>
      </x:c>
      <x:c r="I149" s="213" t="n">
        <x:f t="shared" si="8"/>
        <x:v>636</x:v>
      </x:c>
      <x:c r="J149" s="212"/>
      <x:c r="K149" s="211"/>
    </x:row>
    <x:row r="150">
      <x:c r="A150" s="217"/>
      <x:c r="B150" s="212" t="str">
        <x:v>       - ท่อน้ำทิ้งอ่าง</x:v>
      </x:c>
      <x:c r="C150" s="213" t="n">
        <x:v>4</x:v>
      </x:c>
      <x:c r="D150" s="216" t="str">
        <x:v>ชุด</x:v>
      </x:c>
      <x:c r="E150" s="213" t="n">
        <x:v>425</x:v>
      </x:c>
      <x:c r="F150" s="213" t="n">
        <x:v>1700</x:v>
      </x:c>
      <x:c r="G150" s="213" t="n">
        <x:v>0</x:v>
      </x:c>
      <x:c r="H150" s="213" t="n">
        <x:v>0</x:v>
      </x:c>
      <x:c r="I150" s="213" t="n">
        <x:f t="shared" si="8"/>
        <x:v>1700</x:v>
      </x:c>
      <x:c r="J150" s="212"/>
      <x:c r="K150" s="211"/>
    </x:row>
    <x:row r="151">
      <x:c r="A151" s="217"/>
      <x:c r="B151" s="212" t="str">
        <x:v>       - วาวล์ทางเดียว</x:v>
      </x:c>
      <x:c r="C151" s="213" t="n">
        <x:v>4</x:v>
      </x:c>
      <x:c r="D151" s="216" t="str">
        <x:v>ชุด</x:v>
      </x:c>
      <x:c r="E151" s="213" t="n">
        <x:v>183</x:v>
      </x:c>
      <x:c r="F151" s="213" t="n">
        <x:v>732</x:v>
      </x:c>
      <x:c r="G151" s="213" t="n">
        <x:v>0</x:v>
      </x:c>
      <x:c r="H151" s="213" t="n">
        <x:v>0</x:v>
      </x:c>
      <x:c r="I151" s="213" t="n">
        <x:f t="shared" si="8"/>
        <x:v>732</x:v>
      </x:c>
      <x:c r="J151" s="212"/>
      <x:c r="K151" s="211"/>
    </x:row>
    <x:row r="152">
      <x:c r="A152" s="217"/>
      <x:c r="B152" s="212" t="str">
        <x:v>       - ที่ใส่กระดาษชำระ </x:v>
      </x:c>
      <x:c r="C152" s="213" t="n">
        <x:v>4</x:v>
      </x:c>
      <x:c r="D152" s="216" t="str">
        <x:v>อัน</x:v>
      </x:c>
      <x:c r="E152" s="213" t="n">
        <x:v>151</x:v>
      </x:c>
      <x:c r="F152" s="213" t="n">
        <x:v>604</x:v>
      </x:c>
      <x:c r="G152" s="213" t="n">
        <x:v>0</x:v>
      </x:c>
      <x:c r="H152" s="213" t="n">
        <x:v>0</x:v>
      </x:c>
      <x:c r="I152" s="213" t="n">
        <x:f t="shared" si="8"/>
        <x:v>604</x:v>
      </x:c>
      <x:c r="J152" s="212"/>
      <x:c r="K152" s="211"/>
    </x:row>
    <x:row r="153">
      <x:c r="A153" s="217"/>
      <x:c r="B153" s="212" t="str">
        <x:v>       - กระจกเงาของอ่างล้างหน้า</x:v>
      </x:c>
      <x:c r="C153" s="213" t="n">
        <x:v>4</x:v>
      </x:c>
      <x:c r="D153" s="216" t="str">
        <x:v>บาน</x:v>
      </x:c>
      <x:c r="E153" s="213" t="n">
        <x:v>0</x:v>
      </x:c>
      <x:c r="F153" s="213" t="n">
        <x:v>0</x:v>
      </x:c>
      <x:c r="G153" s="213" t="n">
        <x:v>0</x:v>
      </x:c>
      <x:c r="H153" s="213" t="n">
        <x:v>0</x:v>
      </x:c>
      <x:c r="I153" s="213" t="n">
        <x:f t="shared" si="8"/>
        <x:v>0</x:v>
      </x:c>
      <x:c r="J153" s="212"/>
      <x:c r="K153" s="211"/>
    </x:row>
    <x:row r="154">
      <x:c r="A154" s="217"/>
      <x:c r="B154" s="212" t="str">
        <x:v>       - สายน้ำดี 16 นิ้ว</x:v>
      </x:c>
      <x:c r="C154" s="213" t="n">
        <x:v>4</x:v>
      </x:c>
      <x:c r="D154" s="216" t="str">
        <x:v>อัน</x:v>
      </x:c>
      <x:c r="E154" s="213" t="n">
        <x:v>77</x:v>
      </x:c>
      <x:c r="F154" s="213" t="n">
        <x:v>308</x:v>
      </x:c>
      <x:c r="G154" s="213" t="n">
        <x:v>0</x:v>
      </x:c>
      <x:c r="H154" s="213" t="n">
        <x:v>0</x:v>
      </x:c>
      <x:c r="I154" s="213" t="n">
        <x:f t="shared" si="8"/>
        <x:v>308</x:v>
      </x:c>
      <x:c r="J154" s="212"/>
      <x:c r="K154" s="211"/>
    </x:row>
    <x:row r="155">
      <x:c r="A155" s="217"/>
      <x:c r="B155" s="212" t="str">
        <x:v>       - สายชำระ</x:v>
      </x:c>
      <x:c r="C155" s="213" t="n">
        <x:v>4</x:v>
      </x:c>
      <x:c r="D155" s="216" t="str">
        <x:v>อัน</x:v>
      </x:c>
      <x:c r="E155" s="213" t="n">
        <x:v>234</x:v>
      </x:c>
      <x:c r="F155" s="213" t="n">
        <x:v>936</x:v>
      </x:c>
      <x:c r="G155" s="213" t="n">
        <x:v>0</x:v>
      </x:c>
      <x:c r="H155" s="213" t="n">
        <x:v>0</x:v>
      </x:c>
      <x:c r="I155" s="213" t="n">
        <x:f t="shared" si="8"/>
        <x:v>936</x:v>
      </x:c>
      <x:c r="J155" s="212"/>
      <x:c r="K155" s="211"/>
    </x:row>
    <x:row r="156">
      <x:c r="A156" s="217"/>
      <x:c r="B156" s="212" t="str">
        <x:v>       - ที่วางสบู่</x:v>
      </x:c>
      <x:c r="C156" s="213" t="n">
        <x:v>4</x:v>
      </x:c>
      <x:c r="D156" s="216" t="str">
        <x:v>อัน</x:v>
      </x:c>
      <x:c r="E156" s="213" t="n">
        <x:v>151</x:v>
      </x:c>
      <x:c r="F156" s="213" t="n">
        <x:v>604</x:v>
      </x:c>
      <x:c r="G156" s="213" t="n">
        <x:v>0</x:v>
      </x:c>
      <x:c r="H156" s="213" t="n">
        <x:v>0</x:v>
      </x:c>
      <x:c r="I156" s="213" t="n">
        <x:f t="shared" si="8"/>
        <x:v>604</x:v>
      </x:c>
      <x:c r="J156" s="212"/>
      <x:c r="K156" s="211"/>
    </x:row>
    <x:row r="157">
      <x:c r="A157" s="217"/>
      <x:c r="B157" s="212" t="str">
        <x:v>       - ชุดฝักบัว </x:v>
      </x:c>
      <x:c r="C157" s="213" t="n">
        <x:v>4</x:v>
      </x:c>
      <x:c r="D157" s="216" t="str">
        <x:v>อัน</x:v>
      </x:c>
      <x:c r="E157" s="213" t="n">
        <x:v>584</x:v>
      </x:c>
      <x:c r="F157" s="213" t="n">
        <x:v>2336</x:v>
      </x:c>
      <x:c r="G157" s="213" t="n">
        <x:v>0</x:v>
      </x:c>
      <x:c r="H157" s="213" t="n">
        <x:v>0</x:v>
      </x:c>
      <x:c r="I157" s="213" t="n">
        <x:f t="shared" si="8"/>
        <x:v>2336</x:v>
      </x:c>
      <x:c r="J157" s="212"/>
      <x:c r="K157" s="211"/>
    </x:row>
    <x:row r="158">
      <x:c r="A158" s="217"/>
      <x:c r="B158" s="212" t="str">
        <x:v>       - แผ่นตะแกรงกรองผงชนิดมีรู ขนาด Ø 4"</x:v>
      </x:c>
      <x:c r="C158" s="213" t="n">
        <x:v>8</x:v>
      </x:c>
      <x:c r="D158" s="216" t="str">
        <x:v>อัน</x:v>
      </x:c>
      <x:c r="E158" s="213" t="n">
        <x:v>140</x:v>
      </x:c>
      <x:c r="F158" s="213" t="n">
        <x:v>1120</x:v>
      </x:c>
      <x:c r="G158" s="213" t="n">
        <x:v>0</x:v>
      </x:c>
      <x:c r="H158" s="213" t="n">
        <x:v>0</x:v>
      </x:c>
      <x:c r="I158" s="213" t="n">
        <x:f t="shared" si="8"/>
        <x:v>1120</x:v>
      </x:c>
      <x:c r="J158" s="212"/>
      <x:c r="K158" s="211"/>
    </x:row>
    <x:row r="159">
      <x:c r="A159" s="217"/>
      <x:c r="B159" s="212" t="str">
        <x:v>       - ก๊อกสนาม</x:v>
      </x:c>
      <x:c r="C159" s="213" t="n">
        <x:v>4</x:v>
      </x:c>
      <x:c r="D159" s="216" t="str">
        <x:v>อัน</x:v>
      </x:c>
      <x:c r="E159" s="213" t="n">
        <x:v>45</x:v>
      </x:c>
      <x:c r="F159" s="213" t="n">
        <x:v>180</x:v>
      </x:c>
      <x:c r="G159" s="213" t="n">
        <x:v>0</x:v>
      </x:c>
      <x:c r="H159" s="213" t="n">
        <x:v>4</x:v>
      </x:c>
      <x:c r="I159" s="213" t="n">
        <x:f t="shared" si="8"/>
        <x:v>184</x:v>
      </x:c>
      <x:c r="J159" s="212"/>
      <x:c r="K159" s="211"/>
    </x:row>
    <x:row r="160">
      <x:c r="A160" s="217"/>
      <x:c r="B160" s="212" t="str">
        <x:v>       - วาวล์ 2 ทาง</x:v>
      </x:c>
      <x:c r="C160" s="213" t="n">
        <x:v>4</x:v>
      </x:c>
      <x:c r="D160" s="216" t="str">
        <x:v>อัน</x:v>
      </x:c>
      <x:c r="E160" s="213" t="n">
        <x:v>215</x:v>
      </x:c>
      <x:c r="F160" s="213" t="n">
        <x:v>860</x:v>
      </x:c>
      <x:c r="G160" s="213" t="n">
        <x:v>0</x:v>
      </x:c>
      <x:c r="H160" s="213" t="n">
        <x:v>0</x:v>
      </x:c>
      <x:c r="I160" s="213" t="n">
        <x:f t="shared" si="8"/>
        <x:v>860</x:v>
      </x:c>
      <x:c r="J160" s="212"/>
      <x:c r="K160" s="211"/>
    </x:row>
    <x:row r="161">
      <x:c r="A161" s="217"/>
      <x:c r="B161" s="212" t="str">
        <x:v>       - ราวแขวนผ้า ขนาด 60 ซม.</x:v>
      </x:c>
      <x:c r="C161" s="213" t="n">
        <x:v>4</x:v>
      </x:c>
      <x:c r="D161" s="216" t="str">
        <x:v>อัน</x:v>
      </x:c>
      <x:c r="E161" s="213" t="n">
        <x:v>0</x:v>
      </x:c>
      <x:c r="F161" s="213" t="n">
        <x:v>0</x:v>
      </x:c>
      <x:c r="G161" s="213" t="n">
        <x:v>0</x:v>
      </x:c>
      <x:c r="H161" s="213" t="n">
        <x:v>0</x:v>
      </x:c>
      <x:c r="I161" s="213" t="n">
        <x:f t="shared" si="8"/>
        <x:v>0</x:v>
      </x:c>
      <x:c r="J161" s="212"/>
      <x:c r="K161" s="211"/>
    </x:row>
    <x:row r="162">
      <x:c r="A162" s="217"/>
      <x:c r="B162" s="212" t="str">
        <x:v>       - ซิรีโคนกันน้ำ</x:v>
      </x:c>
      <x:c r="C162" s="213" t="n">
        <x:v>8</x:v>
      </x:c>
      <x:c r="D162" s="216" t="str">
        <x:v>อัน</x:v>
      </x:c>
      <x:c r="E162" s="213" t="n">
        <x:v>110</x:v>
      </x:c>
      <x:c r="F162" s="213" t="n">
        <x:v>880</x:v>
      </x:c>
      <x:c r="G162" s="213" t="n">
        <x:v>0</x:v>
      </x:c>
      <x:c r="H162" s="213" t="n">
        <x:v>8</x:v>
      </x:c>
      <x:c r="I162" s="213" t="n">
        <x:f t="shared" si="8"/>
        <x:v>888</x:v>
      </x:c>
      <x:c r="J162" s="212"/>
      <x:c r="K162" s="211"/>
    </x:row>
    <x:row r="163">
      <x:c r="A163" s="217"/>
      <x:c r="B163" s="212" t="str">
        <x:v>       - ค่าแรงงานสุขภัณฑ์และอุปกรณ์ห้องน้ำ - ส้วม</x:v>
      </x:c>
      <x:c r="C163" s="213" t="n">
        <x:v>4</x:v>
      </x:c>
      <x:c r="D163" s="216" t="str">
        <x:v>หลัง</x:v>
      </x:c>
      <x:c r="E163" s="213" t="n">
        <x:v>0</x:v>
      </x:c>
      <x:c r="F163" s="213" t="n">
        <x:v>0</x:v>
      </x:c>
      <x:c r="G163" s="213" t="n">
        <x:v>810</x:v>
      </x:c>
      <x:c r="H163" s="213" t="n">
        <x:v>3240</x:v>
      </x:c>
      <x:c r="I163" s="213" t="n">
        <x:f t="shared" si="8"/>
        <x:v>3240</x:v>
      </x:c>
      <x:c r="J163" s="212"/>
      <x:c r="K163" s="211"/>
    </x:row>
    <x:row r="164" s="219" customFormat="1" ht="20.25">
      <x:c r="A164" s="225"/>
      <x:c r="B164" s="224" t="str">
        <x:v>รวมงานข้อ 2.9</x:v>
      </x:c>
      <x:c r="C164" s="226"/>
      <x:c r="D164" s="227"/>
      <x:c r="E164" s="226"/>
      <x:c r="F164" s="226" t="n">
        <x:f>ROUND(SUM(F146,F147,F148,F149,F150,F151,F152,F153,F154,F155,F156,F157,F158,F159,F160,F161,F162,F163),2)</x:f>
        <x:v>23588</x:v>
      </x:c>
      <x:c r="G164" s="226"/>
      <x:c r="H164" s="226" t="n">
        <x:f>ROUND(SUM(H146,H147,H148,H149,H150,H151,H152,H153,H154,H155,H156,H157,H158,H159,H160,H161,H162,H163),2)</x:f>
        <x:v>3252</x:v>
      </x:c>
      <x:c r="I164" s="226" t="n">
        <x:f t="shared" si="8"/>
        <x:v>26840</x:v>
      </x:c>
      <x:c r="J164" s="224"/>
      <x:c r="K164" s="218"/>
    </x:row>
    <x:row r="165" s="219" customFormat="1" ht="20.25">
      <x:c r="A165" s="225"/>
      <x:c r="B165" s="224" t="str">
        <x:v> 2.10 งานประตูหน้าต่างอะลูมิเนียม</x:v>
      </x:c>
      <x:c r="C165" s="226"/>
      <x:c r="D165" s="227"/>
      <x:c r="E165" s="226"/>
      <x:c r="F165" s="226"/>
      <x:c r="G165" s="226"/>
      <x:c r="H165" s="226"/>
      <x:c r="I165" s="226"/>
      <x:c r="J165" s="224"/>
      <x:c r="K165" s="218"/>
    </x:row>
    <x:row r="166">
      <x:c r="A166" s="217"/>
      <x:c r="B166" s="212" t="str">
        <x:v>       - ประตู ป.1  พร้อมอุปกรณ์</x:v>
      </x:c>
      <x:c r="C166" s="213" t="n">
        <x:v>4</x:v>
      </x:c>
      <x:c r="D166" s="216" t="str">
        <x:v>ชุด</x:v>
      </x:c>
      <x:c r="E166" s="213" t="n">
        <x:v>0</x:v>
      </x:c>
      <x:c r="F166" s="213" t="n">
        <x:v>0</x:v>
      </x:c>
      <x:c r="G166" s="213" t="n">
        <x:v>8000</x:v>
      </x:c>
      <x:c r="H166" s="213" t="n">
        <x:v>32000</x:v>
      </x:c>
      <x:c r="I166" s="213" t="n">
        <x:f t="shared" ref="I166:I175" si="9">ROUND(F166+H166,2)</x:f>
        <x:v>32000</x:v>
      </x:c>
      <x:c r="J166" s="212" t="str">
        <x:v>ของแรง</x:v>
      </x:c>
      <x:c r="K166" s="211"/>
    </x:row>
    <x:row r="167">
      <x:c r="A167" s="217"/>
      <x:c r="B167" s="212" t="str">
        <x:v>       - ประตู ป.2  พร้อมอุปกรณ์</x:v>
      </x:c>
      <x:c r="C167" s="213" t="n">
        <x:v>4</x:v>
      </x:c>
      <x:c r="D167" s="216" t="str">
        <x:v>ชุด</x:v>
      </x:c>
      <x:c r="E167" s="213" t="n">
        <x:v>2670</x:v>
      </x:c>
      <x:c r="F167" s="213" t="n">
        <x:v>10680</x:v>
      </x:c>
      <x:c r="G167" s="213" t="n">
        <x:v>400</x:v>
      </x:c>
      <x:c r="H167" s="213" t="n">
        <x:v>1600</x:v>
      </x:c>
      <x:c r="I167" s="213" t="n">
        <x:f t="shared" si="9"/>
        <x:v>12280</x:v>
      </x:c>
      <x:c r="J167" s="212"/>
      <x:c r="K167" s="211"/>
    </x:row>
    <x:row r="168">
      <x:c r="A168" s="217"/>
      <x:c r="B168" s="212" t="str">
        <x:v>       - ประตู ป.3  พร้อมอุปกรณ์</x:v>
      </x:c>
      <x:c r="C168" s="213" t="n">
        <x:v>4</x:v>
      </x:c>
      <x:c r="D168" s="216" t="str">
        <x:v>ชุด</x:v>
      </x:c>
      <x:c r="E168" s="213" t="n">
        <x:v>2670</x:v>
      </x:c>
      <x:c r="F168" s="213" t="n">
        <x:v>10680</x:v>
      </x:c>
      <x:c r="G168" s="213" t="n">
        <x:v>400</x:v>
      </x:c>
      <x:c r="H168" s="213" t="n">
        <x:v>1600</x:v>
      </x:c>
      <x:c r="I168" s="213" t="n">
        <x:f t="shared" si="9"/>
        <x:v>12280</x:v>
      </x:c>
      <x:c r="J168" s="212"/>
      <x:c r="K168" s="211"/>
    </x:row>
    <x:row r="169">
      <x:c r="A169" s="217"/>
      <x:c r="B169" s="212" t="str">
        <x:v>       - ประตู ป.4  พร้อมอุปกรณ์</x:v>
      </x:c>
      <x:c r="C169" s="213" t="n">
        <x:v>8</x:v>
      </x:c>
      <x:c r="D169" s="216" t="str">
        <x:v>ชุด</x:v>
      </x:c>
      <x:c r="E169" s="213" t="n">
        <x:v>1458</x:v>
      </x:c>
      <x:c r="F169" s="213" t="n">
        <x:v>11664</x:v>
      </x:c>
      <x:c r="G169" s="213" t="n">
        <x:v>400</x:v>
      </x:c>
      <x:c r="H169" s="213" t="n">
        <x:v>3200</x:v>
      </x:c>
      <x:c r="I169" s="213" t="n">
        <x:f t="shared" si="9"/>
        <x:v>14864</x:v>
      </x:c>
      <x:c r="J169" s="212"/>
      <x:c r="K169" s="211"/>
    </x:row>
    <x:row r="170">
      <x:c r="A170" s="217"/>
      <x:c r="B170" s="212" t="str">
        <x:v>       - หน้าต่าง น.1  พร้อมอุปกรณ์</x:v>
      </x:c>
      <x:c r="C170" s="213" t="n">
        <x:v>2</x:v>
      </x:c>
      <x:c r="D170" s="216" t="str">
        <x:v>ชุด</x:v>
      </x:c>
      <x:c r="E170" s="213" t="n">
        <x:v>0</x:v>
      </x:c>
      <x:c r="F170" s="213" t="n">
        <x:v>0</x:v>
      </x:c>
      <x:c r="G170" s="213" t="n">
        <x:v>3300</x:v>
      </x:c>
      <x:c r="H170" s="213" t="n">
        <x:v>6600</x:v>
      </x:c>
      <x:c r="I170" s="213" t="n">
        <x:f t="shared" si="9"/>
        <x:v>6600</x:v>
      </x:c>
      <x:c r="J170" s="212" t="str">
        <x:v>ของแรง</x:v>
      </x:c>
      <x:c r="K170" s="211"/>
    </x:row>
    <x:row r="171">
      <x:c r="A171" s="217"/>
      <x:c r="B171" s="212" t="str">
        <x:v>       - หน้าต่าง น.2  พร้อมอุปกรณ์</x:v>
      </x:c>
      <x:c r="C171" s="213" t="n">
        <x:v>4</x:v>
      </x:c>
      <x:c r="D171" s="216" t="str">
        <x:v>ชุด</x:v>
      </x:c>
      <x:c r="E171" s="213" t="n">
        <x:v>0</x:v>
      </x:c>
      <x:c r="F171" s="213" t="n">
        <x:v>0</x:v>
      </x:c>
      <x:c r="G171" s="213" t="n">
        <x:v>2500</x:v>
      </x:c>
      <x:c r="H171" s="213" t="n">
        <x:v>10000</x:v>
      </x:c>
      <x:c r="I171" s="213" t="n">
        <x:f t="shared" si="9"/>
        <x:v>10000</x:v>
      </x:c>
      <x:c r="J171" s="212" t="str">
        <x:v>ของแรง</x:v>
      </x:c>
      <x:c r="K171" s="211"/>
    </x:row>
    <x:row r="172">
      <x:c r="A172" s="217"/>
      <x:c r="B172" s="212" t="str">
        <x:v>       - หน้าต่าง น.3  พร้อมอุปกรณ์</x:v>
      </x:c>
      <x:c r="C172" s="213" t="n">
        <x:v>4</x:v>
      </x:c>
      <x:c r="D172" s="216" t="str">
        <x:v>ชุด</x:v>
      </x:c>
      <x:c r="E172" s="213" t="n">
        <x:v>0</x:v>
      </x:c>
      <x:c r="F172" s="213" t="n">
        <x:v>0</x:v>
      </x:c>
      <x:c r="G172" s="213" t="n">
        <x:v>1200</x:v>
      </x:c>
      <x:c r="H172" s="213" t="n">
        <x:v>4800</x:v>
      </x:c>
      <x:c r="I172" s="213" t="n">
        <x:f t="shared" si="9"/>
        <x:v>4800</x:v>
      </x:c>
      <x:c r="J172" s="212" t="str">
        <x:v>ของแรง</x:v>
      </x:c>
      <x:c r="K172" s="211"/>
    </x:row>
    <x:row r="173">
      <x:c r="A173" s="217"/>
      <x:c r="B173" s="212" t="str">
        <x:v>       - หน้าต่าง น.4  พร้อมอุปกรณ์</x:v>
      </x:c>
      <x:c r="C173" s="213" t="n">
        <x:v>2</x:v>
      </x:c>
      <x:c r="D173" s="216" t="str">
        <x:v>ชุด</x:v>
      </x:c>
      <x:c r="E173" s="213" t="n">
        <x:v>0</x:v>
      </x:c>
      <x:c r="F173" s="213" t="n">
        <x:v>0</x:v>
      </x:c>
      <x:c r="G173" s="213" t="n">
        <x:v>4400</x:v>
      </x:c>
      <x:c r="H173" s="213" t="n">
        <x:v>8800</x:v>
      </x:c>
      <x:c r="I173" s="213" t="n">
        <x:f t="shared" si="9"/>
        <x:v>8800</x:v>
      </x:c>
      <x:c r="J173" s="212" t="str">
        <x:v>ของแรง</x:v>
      </x:c>
      <x:c r="K173" s="211"/>
    </x:row>
    <x:row r="174">
      <x:c r="A174" s="217"/>
      <x:c r="B174" s="212" t="str">
        <x:v>       - หน้าต่าง น.5  พร้อมอุปกรณ์</x:v>
      </x:c>
      <x:c r="C174" s="213" t="n">
        <x:v>2</x:v>
      </x:c>
      <x:c r="D174" s="216" t="str">
        <x:v>ชุด</x:v>
      </x:c>
      <x:c r="E174" s="213" t="n">
        <x:v>0</x:v>
      </x:c>
      <x:c r="F174" s="213" t="n">
        <x:v>0</x:v>
      </x:c>
      <x:c r="G174" s="213" t="n">
        <x:v>5300</x:v>
      </x:c>
      <x:c r="H174" s="213" t="n">
        <x:v>10600</x:v>
      </x:c>
      <x:c r="I174" s="213" t="n">
        <x:f t="shared" si="9"/>
        <x:v>10600</x:v>
      </x:c>
      <x:c r="J174" s="212" t="str">
        <x:v>ของแรง</x:v>
      </x:c>
      <x:c r="K174" s="211"/>
    </x:row>
    <x:row r="175" s="219" customFormat="1" ht="20.25">
      <x:c r="A175" s="225"/>
      <x:c r="B175" s="224" t="str">
        <x:v>รวมงานข้อ 2.10</x:v>
      </x:c>
      <x:c r="C175" s="226"/>
      <x:c r="D175" s="227"/>
      <x:c r="E175" s="226"/>
      <x:c r="F175" s="226" t="n">
        <x:f>ROUND(SUM(F166,F167,F168,F169,F170,F171,F172,F173,F174),2)</x:f>
        <x:v>33024</x:v>
      </x:c>
      <x:c r="G175" s="226"/>
      <x:c r="H175" s="226" t="n">
        <x:f>ROUND(SUM(H166,H167,H168,H169,H170,H171,H172,H173,H174),2)</x:f>
        <x:v>79200</x:v>
      </x:c>
      <x:c r="I175" s="226" t="n">
        <x:f t="shared" si="9"/>
        <x:v>112224</x:v>
      </x:c>
      <x:c r="J175" s="224"/>
      <x:c r="K175" s="218"/>
    </x:row>
    <x:row r="176" s="219" customFormat="1" ht="20.25">
      <x:c r="A176" s="225"/>
      <x:c r="B176" s="224" t="str">
        <x:v> 2.11 งานพื้น งานกรเบื้อง</x:v>
      </x:c>
      <x:c r="C176" s="226"/>
      <x:c r="D176" s="227"/>
      <x:c r="E176" s="226"/>
      <x:c r="F176" s="226"/>
      <x:c r="G176" s="226"/>
      <x:c r="H176" s="226"/>
      <x:c r="I176" s="226"/>
      <x:c r="J176" s="224"/>
      <x:c r="K176" s="218"/>
    </x:row>
    <x:row r="177">
      <x:c r="A177" s="217"/>
      <x:c r="B177" s="212" t="str">
        <x:v>       - งานกระเบื้องพื้น 60*60</x:v>
      </x:c>
      <x:c r="C177" s="213" t="n">
        <x:v>128</x:v>
      </x:c>
      <x:c r="D177" s="216" t="str">
        <x:v>ตร.ม.</x:v>
      </x:c>
      <x:c r="E177" s="213" t="n">
        <x:v>250</x:v>
      </x:c>
      <x:c r="F177" s="213" t="n">
        <x:v>32000</x:v>
      </x:c>
      <x:c r="G177" s="213" t="n">
        <x:v>150</x:v>
      </x:c>
      <x:c r="H177" s="213" t="n">
        <x:v>19200</x:v>
      </x:c>
      <x:c r="I177" s="213" t="n">
        <x:f t="shared" ref="I177:I182" si="10">ROUND(F177+H177,2)</x:f>
        <x:v>51200</x:v>
      </x:c>
      <x:c r="J177" s="212"/>
      <x:c r="K177" s="211"/>
    </x:row>
    <x:row r="178">
      <x:c r="A178" s="217"/>
      <x:c r="B178" s="212" t="str">
        <x:v>       - งานกระเบื้องพื้น 30*30</x:v>
      </x:c>
      <x:c r="C178" s="213" t="n">
        <x:v>16</x:v>
      </x:c>
      <x:c r="D178" s="216" t="str">
        <x:v>ตร.ม.</x:v>
      </x:c>
      <x:c r="E178" s="213" t="n">
        <x:v>250</x:v>
      </x:c>
      <x:c r="F178" s="213" t="n">
        <x:v>4000</x:v>
      </x:c>
      <x:c r="G178" s="213" t="n">
        <x:v>150</x:v>
      </x:c>
      <x:c r="H178" s="213" t="n">
        <x:v>2400</x:v>
      </x:c>
      <x:c r="I178" s="213" t="n">
        <x:f t="shared" si="10"/>
        <x:v>6400</x:v>
      </x:c>
      <x:c r="J178" s="212"/>
      <x:c r="K178" s="211"/>
    </x:row>
    <x:row r="179">
      <x:c r="A179" s="217"/>
      <x:c r="B179" s="212" t="str">
        <x:v>       - งานกระเบื้องพื้น 40*40</x:v>
      </x:c>
      <x:c r="C179" s="213" t="n">
        <x:v>24</x:v>
      </x:c>
      <x:c r="D179" s="216" t="str">
        <x:v>ตร.ม.</x:v>
      </x:c>
      <x:c r="E179" s="213" t="n">
        <x:v>300</x:v>
      </x:c>
      <x:c r="F179" s="213" t="n">
        <x:v>7200</x:v>
      </x:c>
      <x:c r="G179" s="213" t="n">
        <x:v>150</x:v>
      </x:c>
      <x:c r="H179" s="213" t="n">
        <x:v>3600</x:v>
      </x:c>
      <x:c r="I179" s="213" t="n">
        <x:f t="shared" si="10"/>
        <x:v>10800</x:v>
      </x:c>
      <x:c r="J179" s="212"/>
      <x:c r="K179" s="211"/>
    </x:row>
    <x:row r="180">
      <x:c r="A180" s="217"/>
      <x:c r="B180" s="212" t="str">
        <x:v>       - งานกระเบื้องผนัง 25*40</x:v>
      </x:c>
      <x:c r="C180" s="213" t="n">
        <x:v>96</x:v>
      </x:c>
      <x:c r="D180" s="216" t="str">
        <x:v>ตร.ม.</x:v>
      </x:c>
      <x:c r="E180" s="213" t="n">
        <x:v>250</x:v>
      </x:c>
      <x:c r="F180" s="213" t="n">
        <x:v>24000</x:v>
      </x:c>
      <x:c r="G180" s="213" t="n">
        <x:v>170</x:v>
      </x:c>
      <x:c r="H180" s="213" t="n">
        <x:v>16320</x:v>
      </x:c>
      <x:c r="I180" s="213" t="n">
        <x:f t="shared" si="10"/>
        <x:v>40320</x:v>
      </x:c>
      <x:c r="J180" s="212"/>
      <x:c r="K180" s="211"/>
    </x:row>
    <x:row r="181">
      <x:c r="A181" s="217"/>
      <x:c r="B181" s="212" t="str">
        <x:v>       - งานฉาบห้องน้ำ</x:v>
      </x:c>
      <x:c r="C181" s="213" t="n">
        <x:v>96</x:v>
      </x:c>
      <x:c r="D181" s="216" t="str">
        <x:v>ตร.ม.</x:v>
      </x:c>
      <x:c r="E181" s="213" t="n">
        <x:v>38</x:v>
      </x:c>
      <x:c r="F181" s="213" t="n">
        <x:v>3648</x:v>
      </x:c>
      <x:c r="G181" s="213" t="n">
        <x:v>1000</x:v>
      </x:c>
      <x:c r="H181" s="213" t="n">
        <x:v>24000</x:v>
      </x:c>
      <x:c r="I181" s="213" t="n">
        <x:f t="shared" si="10"/>
        <x:v>27648</x:v>
      </x:c>
      <x:c r="J181" s="212"/>
      <x:c r="K181" s="211"/>
    </x:row>
    <x:row r="182" s="219" customFormat="1" ht="20.25">
      <x:c r="A182" s="225"/>
      <x:c r="B182" s="224" t="str">
        <x:v>รวมงานข้อ 2.11</x:v>
      </x:c>
      <x:c r="C182" s="226"/>
      <x:c r="D182" s="227"/>
      <x:c r="E182" s="226"/>
      <x:c r="F182" s="226" t="n">
        <x:f>ROUND(SUM(F177,F178,F179,F180,F181),2)</x:f>
        <x:v>70848</x:v>
      </x:c>
      <x:c r="G182" s="226"/>
      <x:c r="H182" s="226" t="n">
        <x:f>ROUND(SUM(H177,H178,H179,H180,H181),2)</x:f>
        <x:v>65520</x:v>
      </x:c>
      <x:c r="I182" s="226" t="n">
        <x:f t="shared" si="10"/>
        <x:v>136368</x:v>
      </x:c>
      <x:c r="J182" s="224"/>
      <x:c r="K182" s="218"/>
    </x:row>
    <x:row r="183" s="219" customFormat="1" ht="20.25">
      <x:c r="A183" s="225"/>
      <x:c r="B183" s="224" t="str">
        <x:v> 2.12 งานทาสี</x:v>
      </x:c>
      <x:c r="C183" s="226"/>
      <x:c r="D183" s="227"/>
      <x:c r="E183" s="226"/>
      <x:c r="F183" s="226"/>
      <x:c r="G183" s="226"/>
      <x:c r="H183" s="226"/>
      <x:c r="I183" s="226"/>
      <x:c r="J183" s="224"/>
      <x:c r="K183" s="218"/>
    </x:row>
    <x:row r="184">
      <x:c r="A184" s="217"/>
      <x:c r="B184" s="212" t="str">
        <x:v>       - งานสีภายนอก</x:v>
      </x:c>
      <x:c r="C184" s="213" t="n">
        <x:v>246.32</x:v>
      </x:c>
      <x:c r="D184" s="216" t="str">
        <x:v>ตร.ม.</x:v>
      </x:c>
      <x:c r="E184" s="213" t="n">
        <x:v>60</x:v>
      </x:c>
      <x:c r="F184" s="213" t="n">
        <x:v>14779.2</x:v>
      </x:c>
      <x:c r="G184" s="213" t="n">
        <x:v>25</x:v>
      </x:c>
      <x:c r="H184" s="213" t="n">
        <x:v>6158</x:v>
      </x:c>
      <x:c r="I184" s="213" t="n">
        <x:f t="shared" ref="I184:I198" si="11">ROUND(F184+H184,2)</x:f>
        <x:v>20937.2</x:v>
      </x:c>
      <x:c r="J184" s="212"/>
      <x:c r="K184" s="211"/>
    </x:row>
    <x:row r="185">
      <x:c r="A185" s="217"/>
      <x:c r="B185" s="212" t="str">
        <x:v>       - งานสีภายใน</x:v>
      </x:c>
      <x:c r="C185" s="213" t="n">
        <x:v>444</x:v>
      </x:c>
      <x:c r="D185" s="216" t="str">
        <x:v>ตร.ม.</x:v>
      </x:c>
      <x:c r="E185" s="213" t="n">
        <x:v>60</x:v>
      </x:c>
      <x:c r="F185" s="213" t="n">
        <x:v>26640</x:v>
      </x:c>
      <x:c r="G185" s="213" t="n">
        <x:v>25</x:v>
      </x:c>
      <x:c r="H185" s="213" t="n">
        <x:v>11100</x:v>
      </x:c>
      <x:c r="I185" s="213" t="n">
        <x:f t="shared" si="11"/>
        <x:v>37740</x:v>
      </x:c>
      <x:c r="J185" s="212"/>
      <x:c r="K185" s="211"/>
    </x:row>
    <x:row r="186">
      <x:c r="A186" s="217"/>
      <x:c r="B186" s="212" t="str">
        <x:v>       - งานสีฝ้าเพดาน</x:v>
      </x:c>
      <x:c r="C186" s="213" t="n">
        <x:v>185.12</x:v>
      </x:c>
      <x:c r="D186" s="216" t="str">
        <x:v>ตร.ม.</x:v>
      </x:c>
      <x:c r="E186" s="213" t="n">
        <x:v>45</x:v>
      </x:c>
      <x:c r="F186" s="213" t="n">
        <x:v>8330.4</x:v>
      </x:c>
      <x:c r="G186" s="213" t="n">
        <x:v>25</x:v>
      </x:c>
      <x:c r="H186" s="213" t="n">
        <x:v>4628</x:v>
      </x:c>
      <x:c r="I186" s="213" t="n">
        <x:f t="shared" si="11"/>
        <x:v>12958.4</x:v>
      </x:c>
      <x:c r="J186" s="212"/>
      <x:c r="K186" s="211"/>
    </x:row>
    <x:row r="187">
      <x:c r="A187" s="217"/>
      <x:c r="B187" s="212" t="str">
        <x:v>       - งานสีประตูรั้ว</x:v>
      </x:c>
      <x:c r="C187" s="213" t="n">
        <x:v>30</x:v>
      </x:c>
      <x:c r="D187" s="216" t="str">
        <x:v>ตร.ม.</x:v>
      </x:c>
      <x:c r="E187" s="213" t="n">
        <x:v>45</x:v>
      </x:c>
      <x:c r="F187" s="213" t="n">
        <x:v>1350</x:v>
      </x:c>
      <x:c r="G187" s="213" t="n">
        <x:v>25</x:v>
      </x:c>
      <x:c r="H187" s="213" t="n">
        <x:v>750</x:v>
      </x:c>
      <x:c r="I187" s="213" t="n">
        <x:f t="shared" si="11"/>
        <x:v>2100</x:v>
      </x:c>
      <x:c r="J187" s="212"/>
      <x:c r="K187" s="211"/>
    </x:row>
    <x:row r="188">
      <x:c r="A188" s="217"/>
      <x:c r="B188" s="212" t="str">
        <x:v>       - งานสีรั้วหลังบ้าน</x:v>
      </x:c>
      <x:c r="C188" s="213" t="n">
        <x:v>108</x:v>
      </x:c>
      <x:c r="D188" s="216" t="str">
        <x:v>ตร.ม.</x:v>
      </x:c>
      <x:c r="E188" s="213" t="n">
        <x:v>45</x:v>
      </x:c>
      <x:c r="F188" s="213" t="n">
        <x:v>4860</x:v>
      </x:c>
      <x:c r="G188" s="213" t="n">
        <x:v>25</x:v>
      </x:c>
      <x:c r="H188" s="213" t="n">
        <x:v>2700</x:v>
      </x:c>
      <x:c r="I188" s="213" t="n">
        <x:f t="shared" si="11"/>
        <x:v>7560</x:v>
      </x:c>
      <x:c r="J188" s="212"/>
      <x:c r="K188" s="211"/>
    </x:row>
    <x:row r="189">
      <x:c r="A189" s="217"/>
      <x:c r="B189" s="212" t="str">
        <x:v>       - งานสีรั้วหน้าบ้าน</x:v>
      </x:c>
      <x:c r="C189" s="213" t="n">
        <x:v>102.48</x:v>
      </x:c>
      <x:c r="D189" s="216" t="str">
        <x:v>ตร.ม.</x:v>
      </x:c>
      <x:c r="E189" s="213" t="n">
        <x:v>45</x:v>
      </x:c>
      <x:c r="F189" s="213" t="n">
        <x:v>4611.6</x:v>
      </x:c>
      <x:c r="G189" s="213" t="n">
        <x:v>25</x:v>
      </x:c>
      <x:c r="H189" s="213" t="n">
        <x:v>2562</x:v>
      </x:c>
      <x:c r="I189" s="213" t="n">
        <x:f t="shared" si="11"/>
        <x:v>7173.6</x:v>
      </x:c>
      <x:c r="J189" s="212"/>
      <x:c r="K189" s="211"/>
    </x:row>
    <x:row r="190">
      <x:c r="A190" s="217"/>
      <x:c r="B190" s="212" t="str">
        <x:v>       - งานไม้มอบ</x:v>
      </x:c>
      <x:c r="C190" s="213" t="n">
        <x:v>20</x:v>
      </x:c>
      <x:c r="D190" s="216" t="str">
        <x:v>ตร.ม.</x:v>
      </x:c>
      <x:c r="E190" s="213" t="n">
        <x:v>45</x:v>
      </x:c>
      <x:c r="F190" s="213" t="n">
        <x:v>900</x:v>
      </x:c>
      <x:c r="G190" s="213" t="n">
        <x:v>25</x:v>
      </x:c>
      <x:c r="H190" s="213" t="n">
        <x:v>500</x:v>
      </x:c>
      <x:c r="I190" s="213" t="n">
        <x:f t="shared" si="11"/>
        <x:v>1400</x:v>
      </x:c>
      <x:c r="J190" s="212"/>
      <x:c r="K190" s="211"/>
    </x:row>
    <x:row r="191">
      <x:c r="A191" s="217"/>
      <x:c r="B191" s="212" t="str">
        <x:v>       - งานทาสีไม้ V2 ด้านข้างบ้าน</x:v>
      </x:c>
      <x:c r="C191" s="213" t="n">
        <x:v>8.94</x:v>
      </x:c>
      <x:c r="D191" s="216" t="str">
        <x:v>ตร.ม.</x:v>
      </x:c>
      <x:c r="E191" s="213" t="n">
        <x:v>45</x:v>
      </x:c>
      <x:c r="F191" s="213" t="n">
        <x:v>402.3</x:v>
      </x:c>
      <x:c r="G191" s="213" t="n">
        <x:v>25</x:v>
      </x:c>
      <x:c r="H191" s="213" t="n">
        <x:v>223.5</x:v>
      </x:c>
      <x:c r="I191" s="213" t="n">
        <x:f t="shared" si="11"/>
        <x:v>625.8</x:v>
      </x:c>
      <x:c r="J191" s="212"/>
      <x:c r="K191" s="211"/>
    </x:row>
    <x:row r="192">
      <x:c r="A192" s="217"/>
      <x:c r="B192" s="212" t="str">
        <x:v>       - งานทาสีไม้ V2 จั่วหน้าบ้าน</x:v>
      </x:c>
      <x:c r="C192" s="213" t="n">
        <x:v>16</x:v>
      </x:c>
      <x:c r="D192" s="216" t="str">
        <x:v>ตร.ม.</x:v>
      </x:c>
      <x:c r="E192" s="213" t="n">
        <x:v>45</x:v>
      </x:c>
      <x:c r="F192" s="213" t="n">
        <x:v>720</x:v>
      </x:c>
      <x:c r="G192" s="213" t="n">
        <x:v>25</x:v>
      </x:c>
      <x:c r="H192" s="213" t="n">
        <x:v>400</x:v>
      </x:c>
      <x:c r="I192" s="213" t="n">
        <x:f t="shared" si="11"/>
        <x:v>1120</x:v>
      </x:c>
      <x:c r="J192" s="212"/>
      <x:c r="K192" s="211"/>
    </x:row>
    <x:row r="193">
      <x:c r="A193" s="217"/>
      <x:c r="B193" s="212" t="str">
        <x:v>       - งานสีเชิงชายข้างบ้าน หลังบ้าน</x:v>
      </x:c>
      <x:c r="C193" s="213" t="n">
        <x:v>20</x:v>
      </x:c>
      <x:c r="D193" s="216" t="str">
        <x:v>ตร.ม.</x:v>
      </x:c>
      <x:c r="E193" s="213" t="n">
        <x:v>45</x:v>
      </x:c>
      <x:c r="F193" s="213" t="n">
        <x:v>900</x:v>
      </x:c>
      <x:c r="G193" s="213" t="n">
        <x:v>25</x:v>
      </x:c>
      <x:c r="H193" s="213" t="n">
        <x:v>500</x:v>
      </x:c>
      <x:c r="I193" s="213" t="n">
        <x:f t="shared" si="11"/>
        <x:v>1400</x:v>
      </x:c>
      <x:c r="J193" s="212"/>
      <x:c r="K193" s="211"/>
    </x:row>
    <x:row r="194">
      <x:c r="A194" s="217"/>
      <x:c r="B194" s="212" t="str">
        <x:v>       - งานสีไม้ตัวซีหน้าบ้าน</x:v>
      </x:c>
      <x:c r="C194" s="213" t="n">
        <x:v>24.96</x:v>
      </x:c>
      <x:c r="D194" s="216" t="str">
        <x:v>ตร.ม.</x:v>
      </x:c>
      <x:c r="E194" s="213" t="n">
        <x:v>45</x:v>
      </x:c>
      <x:c r="F194" s="213" t="n">
        <x:v>1123.2</x:v>
      </x:c>
      <x:c r="G194" s="213" t="n">
        <x:v>25</x:v>
      </x:c>
      <x:c r="H194" s="213" t="n">
        <x:v>624</x:v>
      </x:c>
      <x:c r="I194" s="213" t="n">
        <x:f t="shared" si="11"/>
        <x:v>1747.2</x:v>
      </x:c>
      <x:c r="J194" s="212"/>
      <x:c r="K194" s="211"/>
    </x:row>
    <x:row r="195">
      <x:c r="A195" s="217"/>
      <x:c r="B195" s="212" t="str">
        <x:v>       - งานทาสีบัวประตู หน้าต่าง ไม้ตกแต่งหน้าบ้าน</x:v>
      </x:c>
      <x:c r="C195" s="213" t="n">
        <x:v>4</x:v>
      </x:c>
      <x:c r="D195" s="216" t="str">
        <x:v>เหมา</x:v>
      </x:c>
      <x:c r="E195" s="213"/>
      <x:c r="F195" s="213" t="n">
        <x:v>0</x:v>
      </x:c>
      <x:c r="G195" s="213" t="n">
        <x:v>2000</x:v>
      </x:c>
      <x:c r="H195" s="213" t="n">
        <x:v>7000</x:v>
      </x:c>
      <x:c r="I195" s="213" t="n">
        <x:f t="shared" si="11"/>
        <x:v>7000</x:v>
      </x:c>
      <x:c r="J195" s="212"/>
      <x:c r="K195" s="211"/>
    </x:row>
    <x:row r="196">
      <x:c r="A196" s="217"/>
      <x:c r="B196" s="212" t="str">
        <x:v>       - งานสกิมผิวบาง</x:v>
      </x:c>
      <x:c r="C196" s="213" t="n">
        <x:v>773.92</x:v>
      </x:c>
      <x:c r="D196" s="216" t="str">
        <x:v>ตร.ม.</x:v>
      </x:c>
      <x:c r="E196" s="213" t="n">
        <x:v>15</x:v>
      </x:c>
      <x:c r="F196" s="213" t="n">
        <x:v>11608.8</x:v>
      </x:c>
      <x:c r="G196" s="213" t="n">
        <x:v>20</x:v>
      </x:c>
      <x:c r="H196" s="213" t="n">
        <x:v>15478.4</x:v>
      </x:c>
      <x:c r="I196" s="213" t="n">
        <x:f t="shared" si="11"/>
        <x:v>27087.2</x:v>
      </x:c>
      <x:c r="J196" s="212"/>
      <x:c r="K196" s="211"/>
    </x:row>
    <x:row r="197">
      <x:c r="A197" s="217"/>
      <x:c r="B197" s="212" t="str">
        <x:v>       - งานสีท่อน้ำฝน</x:v>
      </x:c>
      <x:c r="C197" s="213" t="n">
        <x:v>4</x:v>
      </x:c>
      <x:c r="D197" s="216" t="str">
        <x:v>ห้อง</x:v>
      </x:c>
      <x:c r="E197" s="213" t="n">
        <x:v>0</x:v>
      </x:c>
      <x:c r="F197" s="213" t="n">
        <x:v>0</x:v>
      </x:c>
      <x:c r="G197" s="213" t="n">
        <x:v>100</x:v>
      </x:c>
      <x:c r="H197" s="213" t="n">
        <x:v>400</x:v>
      </x:c>
      <x:c r="I197" s="213" t="n">
        <x:f t="shared" si="11"/>
        <x:v>400</x:v>
      </x:c>
      <x:c r="J197" s="212"/>
      <x:c r="K197" s="211"/>
    </x:row>
    <x:row r="198" s="219" customFormat="1" ht="20.25">
      <x:c r="A198" s="225"/>
      <x:c r="B198" s="224" t="str">
        <x:v>รวมงานข้อ 2.12</x:v>
      </x:c>
      <x:c r="C198" s="226"/>
      <x:c r="D198" s="227"/>
      <x:c r="E198" s="226"/>
      <x:c r="F198" s="226" t="n">
        <x:f>ROUND(SUM(F184,F185,F186,F187,F188,F189,F190,F191,F192,F193,F194,F195,F196,F197),2)</x:f>
        <x:v>76225.5</x:v>
      </x:c>
      <x:c r="G198" s="226"/>
      <x:c r="H198" s="226" t="n">
        <x:f>ROUND(SUM(H184,H185,H186,H187,H188,H189,H190,H191,H192,H193,H194,H195,H196,H197),2)</x:f>
        <x:v>53023.9</x:v>
      </x:c>
      <x:c r="I198" s="226" t="n">
        <x:f t="shared" si="11"/>
        <x:v>129249.4</x:v>
      </x:c>
      <x:c r="J198" s="224"/>
      <x:c r="K198" s="218"/>
    </x:row>
    <x:row r="199" s="219" customFormat="1" ht="20.25">
      <x:c r="A199" s="225"/>
      <x:c r="B199" s="224" t="str">
        <x:v> 2.13 งานประตูรั้วหน้าบ้าน</x:v>
      </x:c>
      <x:c r="C199" s="226"/>
      <x:c r="D199" s="227"/>
      <x:c r="E199" s="226"/>
      <x:c r="F199" s="226"/>
      <x:c r="G199" s="226"/>
      <x:c r="H199" s="226"/>
      <x:c r="I199" s="226"/>
      <x:c r="J199" s="224"/>
      <x:c r="K199" s="218"/>
    </x:row>
    <x:row r="200">
      <x:c r="A200" s="217"/>
      <x:c r="B200" s="212" t="str">
        <x:v>       - เหล็กกล่อง 1''*1''*1.8 มม.</x:v>
      </x:c>
      <x:c r="C200" s="213" t="n">
        <x:v>32</x:v>
      </x:c>
      <x:c r="D200" s="216" t="str">
        <x:v>เส้น</x:v>
      </x:c>
      <x:c r="E200" s="213" t="n">
        <x:v>225</x:v>
      </x:c>
      <x:c r="F200" s="213" t="n">
        <x:v>7200</x:v>
      </x:c>
      <x:c r="G200" s="213" t="n">
        <x:v>0</x:v>
      </x:c>
      <x:c r="H200" s="213" t="n">
        <x:v>0</x:v>
      </x:c>
      <x:c r="I200" s="213" t="n">
        <x:f t="shared" ref="I200:I213" si="12">ROUND(F200+H200,2)</x:f>
        <x:v>7200</x:v>
      </x:c>
      <x:c r="J200" s="212"/>
      <x:c r="K200" s="211"/>
    </x:row>
    <x:row r="201">
      <x:c r="A201" s="217"/>
      <x:c r="B201" s="212" t="str">
        <x:v>       - บูส ขนาด 1 นิ้ว</x:v>
      </x:c>
      <x:c r="C201" s="213" t="n">
        <x:v>32</x:v>
      </x:c>
      <x:c r="D201" s="216" t="str">
        <x:v>ชุด</x:v>
      </x:c>
      <x:c r="E201" s="213" t="n">
        <x:v>25</x:v>
      </x:c>
      <x:c r="F201" s="213" t="n">
        <x:v>800</x:v>
      </x:c>
      <x:c r="G201" s="213" t="n">
        <x:v>0</x:v>
      </x:c>
      <x:c r="H201" s="213" t="n">
        <x:v>0</x:v>
      </x:c>
      <x:c r="I201" s="213" t="n">
        <x:f t="shared" si="12"/>
        <x:v>800</x:v>
      </x:c>
      <x:c r="J201" s="212"/>
      <x:c r="K201" s="211"/>
    </x:row>
    <x:row r="202">
      <x:c r="A202" s="217"/>
      <x:c r="B202" s="212" t="str">
        <x:v>       - กลอนเหล็กข้างขวา</x:v>
      </x:c>
      <x:c r="C202" s="213" t="n">
        <x:v>8</x:v>
      </x:c>
      <x:c r="D202" s="216" t="str">
        <x:v>ชุด</x:v>
      </x:c>
      <x:c r="E202" s="213" t="n">
        <x:v>99</x:v>
      </x:c>
      <x:c r="F202" s="213" t="n">
        <x:v>792</x:v>
      </x:c>
      <x:c r="G202" s="213" t="n">
        <x:v>0</x:v>
      </x:c>
      <x:c r="H202" s="213" t="n">
        <x:v>0</x:v>
      </x:c>
      <x:c r="I202" s="213" t="n">
        <x:f t="shared" si="12"/>
        <x:v>792</x:v>
      </x:c>
      <x:c r="J202" s="212"/>
      <x:c r="K202" s="211"/>
    </x:row>
    <x:row r="203">
      <x:c r="A203" s="217"/>
      <x:c r="B203" s="212" t="str">
        <x:v>       - กลอนเหล็กข้างซ้าย</x:v>
      </x:c>
      <x:c r="C203" s="213" t="n">
        <x:v>8</x:v>
      </x:c>
      <x:c r="D203" s="216" t="str">
        <x:v>ชุด</x:v>
      </x:c>
      <x:c r="E203" s="213" t="n">
        <x:v>99</x:v>
      </x:c>
      <x:c r="F203" s="213" t="n">
        <x:v>792</x:v>
      </x:c>
      <x:c r="G203" s="213" t="n">
        <x:v>0</x:v>
      </x:c>
      <x:c r="H203" s="213" t="n">
        <x:v>0</x:v>
      </x:c>
      <x:c r="I203" s="213" t="n">
        <x:f t="shared" si="12"/>
        <x:v>792</x:v>
      </x:c>
      <x:c r="J203" s="212"/>
      <x:c r="K203" s="211"/>
    </x:row>
    <x:row r="204">
      <x:c r="A204" s="217"/>
      <x:c r="B204" s="212" t="str">
        <x:v>       - เหล็กแฟตบาร์ 1.5" * 6.00 หนา 6.00 มม.</x:v>
      </x:c>
      <x:c r="C204" s="213" t="n">
        <x:v>0.67</x:v>
      </x:c>
      <x:c r="D204" s="216" t="str">
        <x:v>เส้น</x:v>
      </x:c>
      <x:c r="E204" s="213" t="n">
        <x:v>335</x:v>
      </x:c>
      <x:c r="F204" s="213" t="n">
        <x:v>223.33</x:v>
      </x:c>
      <x:c r="G204" s="213" t="n">
        <x:v>0</x:v>
      </x:c>
      <x:c r="H204" s="213" t="n">
        <x:v>0</x:v>
      </x:c>
      <x:c r="I204" s="213" t="n">
        <x:f t="shared" si="12"/>
        <x:v>223.33</x:v>
      </x:c>
      <x:c r="J204" s="212"/>
      <x:c r="K204" s="211"/>
    </x:row>
    <x:row r="205">
      <x:c r="A205" s="217"/>
      <x:c r="B205" s="212" t="str">
        <x:v>       - ลวดเชื่อม KOBE 2.6 มม.</x:v>
      </x:c>
      <x:c r="C205" s="213" t="n">
        <x:v>0.67</x:v>
      </x:c>
      <x:c r="D205" s="216" t="str">
        <x:v>ลัง</x:v>
      </x:c>
      <x:c r="E205" s="213" t="n">
        <x:v>1240</x:v>
      </x:c>
      <x:c r="F205" s="213" t="n">
        <x:v>826.67</x:v>
      </x:c>
      <x:c r="G205" s="213" t="n">
        <x:v>0</x:v>
      </x:c>
      <x:c r="H205" s="213" t="n">
        <x:v>0</x:v>
      </x:c>
      <x:c r="I205" s="213" t="n">
        <x:f t="shared" si="12"/>
        <x:v>826.67</x:v>
      </x:c>
      <x:c r="J205" s="212"/>
      <x:c r="K205" s="211"/>
    </x:row>
    <x:row r="206">
      <x:c r="A206" s="217"/>
      <x:c r="B206" s="212" t="str">
        <x:v>       - ทาสีกันสนิมโครงเหล็กหลังคา KOBE สีเทา</x:v>
      </x:c>
      <x:c r="C206" s="213" t="n">
        <x:v>1.33</x:v>
      </x:c>
      <x:c r="D206" s="216" t="str">
        <x:v>ถัง</x:v>
      </x:c>
      <x:c r="E206" s="213" t="n">
        <x:v>1089</x:v>
      </x:c>
      <x:c r="F206" s="213" t="n">
        <x:v>1452</x:v>
      </x:c>
      <x:c r="G206" s="213" t="n">
        <x:v>0</x:v>
      </x:c>
      <x:c r="H206" s="213" t="n">
        <x:v>0</x:v>
      </x:c>
      <x:c r="I206" s="213" t="n">
        <x:f t="shared" si="12"/>
        <x:v>1452</x:v>
      </x:c>
      <x:c r="J206" s="212"/>
      <x:c r="K206" s="211"/>
    </x:row>
    <x:row r="207">
      <x:c r="A207" s="217"/>
      <x:c r="B207" s="212" t="str">
        <x:v>       - ใบตัดเหล็ก 14 นิ้ว</x:v>
      </x:c>
      <x:c r="C207" s="213" t="n">
        <x:v>0.68</x:v>
      </x:c>
      <x:c r="D207" s="216" t="str">
        <x:v>ลัง</x:v>
      </x:c>
      <x:c r="E207" s="213" t="n">
        <x:v>1595</x:v>
      </x:c>
      <x:c r="F207" s="213" t="n">
        <x:v>1084.6</x:v>
      </x:c>
      <x:c r="G207" s="213" t="n">
        <x:v>0</x:v>
      </x:c>
      <x:c r="H207" s="213" t="n">
        <x:v>0</x:v>
      </x:c>
      <x:c r="I207" s="213" t="n">
        <x:f t="shared" si="12"/>
        <x:v>1084.6</x:v>
      </x:c>
      <x:c r="J207" s="212"/>
      <x:c r="K207" s="211"/>
    </x:row>
    <x:row r="208">
      <x:c r="A208" s="217"/>
      <x:c r="B208" s="212" t="str">
        <x:v>       - น้ำมันสน</x:v>
      </x:c>
      <x:c r="C208" s="213" t="n">
        <x:v>2.67</x:v>
      </x:c>
      <x:c r="D208" s="216" t="str">
        <x:v>ถัง</x:v>
      </x:c>
      <x:c r="E208" s="213" t="n">
        <x:v>389</x:v>
      </x:c>
      <x:c r="F208" s="213" t="n">
        <x:v>1037.33</x:v>
      </x:c>
      <x:c r="G208" s="213" t="n">
        <x:v>0</x:v>
      </x:c>
      <x:c r="H208" s="213" t="n">
        <x:v>0</x:v>
      </x:c>
      <x:c r="I208" s="213" t="n">
        <x:f t="shared" si="12"/>
        <x:v>1037.33</x:v>
      </x:c>
      <x:c r="J208" s="212"/>
      <x:c r="K208" s="211"/>
    </x:row>
    <x:row r="209">
      <x:c r="A209" s="217"/>
      <x:c r="B209" s="212" t="str">
        <x:v>       - ใบตัดเหล็ก 4 นิ้ว sumo</x:v>
      </x:c>
      <x:c r="C209" s="213" t="n">
        <x:v>0.68</x:v>
      </x:c>
      <x:c r="D209" s="216" t="str">
        <x:v>กล่อง</x:v>
      </x:c>
      <x:c r="E209" s="213" t="n">
        <x:v>357</x:v>
      </x:c>
      <x:c r="F209" s="213" t="n">
        <x:v>242.76</x:v>
      </x:c>
      <x:c r="G209" s="213" t="n">
        <x:v>0</x:v>
      </x:c>
      <x:c r="H209" s="213" t="n">
        <x:v>0</x:v>
      </x:c>
      <x:c r="I209" s="213" t="n">
        <x:f t="shared" si="12"/>
        <x:v>242.76</x:v>
      </x:c>
      <x:c r="J209" s="212"/>
      <x:c r="K209" s="211"/>
    </x:row>
    <x:row r="210">
      <x:c r="A210" s="217"/>
      <x:c r="B210" s="212" t="str">
        <x:v>       - ใบเจียเหล็ก 4 นิ้ว sumo</x:v>
      </x:c>
      <x:c r="C210" s="213" t="n">
        <x:v>0.68</x:v>
      </x:c>
      <x:c r="D210" s="216" t="str">
        <x:v>กล่อง</x:v>
      </x:c>
      <x:c r="E210" s="213" t="n">
        <x:v>329</x:v>
      </x:c>
      <x:c r="F210" s="213" t="n">
        <x:v>223.72</x:v>
      </x:c>
      <x:c r="G210" s="213" t="n">
        <x:v>0</x:v>
      </x:c>
      <x:c r="H210" s="213" t="n">
        <x:v>0</x:v>
      </x:c>
      <x:c r="I210" s="213" t="n">
        <x:f t="shared" si="12"/>
        <x:v>223.72</x:v>
      </x:c>
      <x:c r="J210" s="212"/>
      <x:c r="K210" s="211"/>
    </x:row>
    <x:row r="211">
      <x:c r="A211" s="217"/>
      <x:c r="B211" s="212" t="str">
        <x:v>       - ค่าแรงงานประตูรั้วหน้าบ้าน 1 หลัง</x:v>
      </x:c>
      <x:c r="C211" s="213" t="n">
        <x:v>4</x:v>
      </x:c>
      <x:c r="D211" s="216" t="str">
        <x:v>หลัง</x:v>
      </x:c>
      <x:c r="E211" s="213" t="n">
        <x:v>0</x:v>
      </x:c>
      <x:c r="F211" s="213" t="n">
        <x:v>0</x:v>
      </x:c>
      <x:c r="G211" s="213" t="n">
        <x:v>1600</x:v>
      </x:c>
      <x:c r="H211" s="213" t="n">
        <x:v>6400</x:v>
      </x:c>
      <x:c r="I211" s="213" t="n">
        <x:f t="shared" si="12"/>
        <x:v>6400</x:v>
      </x:c>
      <x:c r="J211" s="212"/>
      <x:c r="K211" s="211"/>
    </x:row>
    <x:row r="212" s="219" customFormat="1" ht="20.25">
      <x:c r="A212" s="225"/>
      <x:c r="B212" s="224" t="str">
        <x:v>รวมงานข้อ 2.13</x:v>
      </x:c>
      <x:c r="C212" s="226"/>
      <x:c r="D212" s="227"/>
      <x:c r="E212" s="226"/>
      <x:c r="F212" s="226" t="n">
        <x:f>ROUND(SUM(F200,F201,F202,F203,F204,F205,F206,F207,F208,F209,F210,F211),2)</x:f>
        <x:v>14674.41</x:v>
      </x:c>
      <x:c r="G212" s="226"/>
      <x:c r="H212" s="226" t="n">
        <x:f>ROUND(SUM(H200,H201,H202,H203,H204,H205,H206,H207,H208,H209,H210,H211),2)</x:f>
        <x:v>6400</x:v>
      </x:c>
      <x:c r="I212" s="226" t="n">
        <x:f t="shared" si="12"/>
        <x:v>21074.41</x:v>
      </x:c>
      <x:c r="J212" s="224"/>
      <x:c r="K212" s="218"/>
    </x:row>
    <x:row r="213" s="219" customFormat="1" ht="20.25">
      <x:c r="A213" s="220" t="n">
        <x:v>2</x:v>
      </x:c>
      <x:c r="B213" s="221" t="str">
        <x:v>รวมค่างานสถาปัตยกรรมทั้งหมด</x:v>
      </x:c>
      <x:c r="C213" s="222"/>
      <x:c r="D213" s="223" t="str">
        <x:v>รวม</x:v>
      </x:c>
      <x:c r="E213" s="222"/>
      <x:c r="F213" s="222" t="n">
        <x: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x:f>
        <x:v>416451</x:v>
      </x:c>
      <x:c r="G213" s="222"/>
      <x:c r="H213" s="222" t="n">
        <x: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x:f>
        <x:v>403300.58</x:v>
      </x:c>
      <x:c r="I213" s="222" t="n">
        <x:f t="shared" si="12"/>
        <x:v>819751.58</x:v>
      </x:c>
      <x:c r="J213" s="221"/>
      <x:c r="K213" s="218"/>
    </x:row>
    <x:row r="214">
      <x:c r="A214" s="267"/>
      <x:c r="B214" s="268"/>
      <x:c r="C214" s="268"/>
      <x:c r="D214" s="268"/>
      <x:c r="E214" s="268"/>
      <x:c r="F214" s="268"/>
      <x:c r="G214" s="268"/>
      <x:c r="H214" s="268"/>
      <x:c r="I214" s="268"/>
      <x:c r="J214" s="269"/>
      <x:c r="K214" s="211"/>
    </x:row>
    <x:row r="215" s="219" customFormat="1" ht="20.25">
      <x:c r="A215" s="220" t="n">
        <x:v>3</x:v>
      </x:c>
      <x:c r="B215" s="221" t="str">
        <x:v>งานระบบไฟฟ้าและสื่อสาร</x:v>
      </x:c>
      <x:c r="C215" s="222"/>
      <x:c r="D215" s="223"/>
      <x:c r="E215" s="222"/>
      <x:c r="F215" s="222"/>
      <x:c r="G215" s="222"/>
      <x:c r="H215" s="222"/>
      <x:c r="I215" s="222"/>
      <x:c r="J215" s="221"/>
      <x:c r="K215" s="218"/>
    </x:row>
    <x:row r="216" s="219" customFormat="1" ht="20.25">
      <x:c r="A216" s="225"/>
      <x:c r="B216" s="224" t="str">
        <x:v> 3.1 งานดวงโคมไฟฟ้า</x:v>
      </x:c>
      <x:c r="C216" s="226"/>
      <x:c r="D216" s="227"/>
      <x:c r="E216" s="226"/>
      <x:c r="F216" s="226"/>
      <x:c r="G216" s="226"/>
      <x:c r="H216" s="226"/>
      <x:c r="I216" s="226"/>
      <x:c r="J216" s="224"/>
      <x:c r="K216" s="218"/>
    </x:row>
    <x:row r="217">
      <x:c r="A217" s="217"/>
      <x:c r="B217" s="212" t="str">
        <x:v>       - โคมไฟฟ้าดาวไลน์ 10W</x:v>
      </x:c>
      <x:c r="C217" s="213" t="n">
        <x:v>60</x:v>
      </x:c>
      <x:c r="D217" s="216" t="str">
        <x:v>ชุด</x:v>
      </x:c>
      <x:c r="E217" s="213" t="n">
        <x:v>31</x:v>
      </x:c>
      <x:c r="F217" s="213" t="n">
        <x:v>1860</x:v>
      </x:c>
      <x:c r="G217" s="213" t="n">
        <x:v>0</x:v>
      </x:c>
      <x:c r="H217" s="213" t="n">
        <x:v>0</x:v>
      </x:c>
      <x:c r="I217" s="213" t="n">
        <x:f t="shared" ref="I217:I222" si="13">ROUND(F217+H217,2)</x:f>
        <x:v>1860</x:v>
      </x:c>
      <x:c r="J217" s="212"/>
      <x:c r="K217" s="211"/>
    </x:row>
    <x:row r="218">
      <x:c r="A218" s="217"/>
      <x:c r="B218" s="212" t="str">
        <x:v>       - หลอดดาวไลน์ 10W</x:v>
      </x:c>
      <x:c r="C218" s="213" t="n">
        <x:v>64</x:v>
      </x:c>
      <x:c r="D218" s="216" t="str">
        <x:v>ชุด</x:v>
      </x:c>
      <x:c r="E218" s="213" t="n">
        <x:v>65</x:v>
      </x:c>
      <x:c r="F218" s="213" t="n">
        <x:v>4160</x:v>
      </x:c>
      <x:c r="G218" s="213" t="n">
        <x:v>0</x:v>
      </x:c>
      <x:c r="H218" s="213" t="n">
        <x:v>0</x:v>
      </x:c>
      <x:c r="I218" s="213" t="n">
        <x:f t="shared" si="13"/>
        <x:v>4160</x:v>
      </x:c>
      <x:c r="J218" s="212"/>
      <x:c r="K218" s="211"/>
    </x:row>
    <x:row r="219">
      <x:c r="A219" s="217"/>
      <x:c r="B219" s="212" t="str">
        <x:v>       - โคมไฟฟ้าฟลูออเรสเซนต์ ยาว</x:v>
      </x:c>
      <x:c r="C219" s="213" t="n">
        <x:v>4</x:v>
      </x:c>
      <x:c r="D219" s="216" t="str">
        <x:v>ชุด</x:v>
      </x:c>
      <x:c r="E219" s="213" t="n">
        <x:v>109</x:v>
      </x:c>
      <x:c r="F219" s="213" t="n">
        <x:v>436</x:v>
      </x:c>
      <x:c r="G219" s="213" t="n">
        <x:v>0</x:v>
      </x:c>
      <x:c r="H219" s="213" t="n">
        <x:v>0</x:v>
      </x:c>
      <x:c r="I219" s="213" t="n">
        <x:f t="shared" si="13"/>
        <x:v>436</x:v>
      </x:c>
      <x:c r="J219" s="212"/>
      <x:c r="K219" s="211"/>
    </x:row>
    <x:row r="220">
      <x:c r="A220" s="217"/>
      <x:c r="B220" s="212" t="str">
        <x:v>       - โคมไฟหน้าบ้าน</x:v>
      </x:c>
      <x:c r="C220" s="213" t="n">
        <x:v>4</x:v>
      </x:c>
      <x:c r="D220" s="216" t="str">
        <x:v>ชุด</x:v>
      </x:c>
      <x:c r="E220" s="213" t="n">
        <x:v>349</x:v>
      </x:c>
      <x:c r="F220" s="213" t="n">
        <x:v>1396</x:v>
      </x:c>
      <x:c r="G220" s="213" t="n">
        <x:v>0</x:v>
      </x:c>
      <x:c r="H220" s="213" t="n">
        <x:v>0</x:v>
      </x:c>
      <x:c r="I220" s="213" t="n">
        <x:f t="shared" si="13"/>
        <x:v>1396</x:v>
      </x:c>
      <x:c r="J220" s="212"/>
      <x:c r="K220" s="211"/>
    </x:row>
    <x:row r="221">
      <x:c r="A221" s="217"/>
      <x:c r="B221" s="212" t="str">
        <x:v>       - กระดิ่งหน้าบ้าน</x:v>
      </x:c>
      <x:c r="C221" s="213" t="n">
        <x:v>4</x:v>
      </x:c>
      <x:c r="D221" s="216" t="str">
        <x:v>ชุด</x:v>
      </x:c>
      <x:c r="E221" s="213" t="n">
        <x:v>0</x:v>
      </x:c>
      <x:c r="F221" s="213" t="n">
        <x:v>0</x:v>
      </x:c>
      <x:c r="G221" s="213" t="n">
        <x:v>0</x:v>
      </x:c>
      <x:c r="H221" s="213" t="n">
        <x:v>0</x:v>
      </x:c>
      <x:c r="I221" s="213" t="n">
        <x:f t="shared" si="13"/>
        <x:v>0</x:v>
      </x:c>
      <x:c r="J221" s="212"/>
      <x:c r="K221" s="211"/>
    </x:row>
    <x:row r="222" s="219" customFormat="1" ht="20.25">
      <x:c r="A222" s="225"/>
      <x:c r="B222" s="224" t="str">
        <x:v>รวมงานข้อ 3.1</x:v>
      </x:c>
      <x:c r="C222" s="226"/>
      <x:c r="D222" s="227"/>
      <x:c r="E222" s="226"/>
      <x:c r="F222" s="226" t="n">
        <x:f>ROUND(SUM(F217,F218,F219,F220,F221),2)</x:f>
        <x:v>7852</x:v>
      </x:c>
      <x:c r="G222" s="226"/>
      <x:c r="H222" s="226" t="n">
        <x:f>ROUND(SUM(H217,H218,H219,H220,H221),2)</x:f>
        <x:v>0</x:v>
      </x:c>
      <x:c r="I222" s="226" t="n">
        <x:f t="shared" si="13"/>
        <x:v>7852</x:v>
      </x:c>
      <x:c r="J222" s="224"/>
      <x:c r="K222" s="218"/>
    </x:row>
    <x:row r="223" s="219" customFormat="1" ht="20.25">
      <x:c r="A223" s="225"/>
      <x:c r="B223" s="224" t="str">
        <x:v> 3.2 งานสวิทซ์และเต้ารับ (ปลั๊ก)</x:v>
      </x:c>
      <x:c r="C223" s="226"/>
      <x:c r="D223" s="227"/>
      <x:c r="E223" s="226" t="n">
        <x:v>0</x:v>
      </x:c>
      <x:c r="F223" s="226" t="n">
        <x:v>0</x:v>
      </x:c>
      <x:c r="G223" s="226" t="n">
        <x:v>0</x:v>
      </x:c>
      <x:c r="H223" s="226" t="n">
        <x:v>0</x:v>
      </x:c>
      <x:c r="I223" s="226" t="n">
        <x:f>H223+F223</x:f>
        <x:v>0</x:v>
      </x:c>
      <x:c r="J223" s="224"/>
      <x:c r="K223" s="218"/>
    </x:row>
    <x:row r="224">
      <x:c r="A224" s="217"/>
      <x:c r="B224" s="212" t="str">
        <x:v>       - สวิทซ์เดี่ยว 1 ดวง</x:v>
      </x:c>
      <x:c r="C224" s="213" t="n">
        <x:v>12</x:v>
      </x:c>
      <x:c r="D224" s="216" t="str">
        <x:v>ชุด</x:v>
      </x:c>
      <x:c r="E224" s="213" t="n">
        <x:v>0</x:v>
      </x:c>
      <x:c r="F224" s="213" t="n">
        <x:v>0</x:v>
      </x:c>
      <x:c r="G224" s="213" t="n">
        <x:v>0</x:v>
      </x:c>
      <x:c r="H224" s="213" t="n">
        <x:v>0</x:v>
      </x:c>
      <x:c r="I224" s="213" t="n">
        <x:f t="shared" ref="I224:I230" si="14">ROUND(F224+H224,2)</x:f>
        <x:v>0</x:v>
      </x:c>
      <x:c r="J224" s="212"/>
      <x:c r="K224" s="211"/>
    </x:row>
    <x:row r="225">
      <x:c r="A225" s="217"/>
      <x:c r="B225" s="212" t="str">
        <x:v>       - สวิทซ์เดี่ยว 2 ดวง</x:v>
      </x:c>
      <x:c r="C225" s="213" t="n">
        <x:v>12</x:v>
      </x:c>
      <x:c r="D225" s="216" t="str">
        <x:v>ชุด</x:v>
      </x:c>
      <x:c r="E225" s="213" t="n">
        <x:v>0</x:v>
      </x:c>
      <x:c r="F225" s="213" t="n">
        <x:v>0</x:v>
      </x:c>
      <x:c r="G225" s="213" t="n">
        <x:v>0</x:v>
      </x:c>
      <x:c r="H225" s="213" t="n">
        <x:v>0</x:v>
      </x:c>
      <x:c r="I225" s="213" t="n">
        <x:f t="shared" si="14"/>
        <x:v>0</x:v>
      </x:c>
      <x:c r="J225" s="212"/>
      <x:c r="K225" s="211"/>
    </x:row>
    <x:row r="226">
      <x:c r="A226" s="217"/>
      <x:c r="B226" s="212" t="str">
        <x:v>       - สวิทซ์เดี่ยว 4 ดวง</x:v>
      </x:c>
      <x:c r="C226" s="213" t="n">
        <x:v>8</x:v>
      </x:c>
      <x:c r="D226" s="216" t="str">
        <x:v>ชุด</x:v>
      </x:c>
      <x:c r="E226" s="213" t="n">
        <x:v>0</x:v>
      </x:c>
      <x:c r="F226" s="213" t="n">
        <x:v>0</x:v>
      </x:c>
      <x:c r="G226" s="213" t="n">
        <x:v>0</x:v>
      </x:c>
      <x:c r="H226" s="213" t="n">
        <x:v>0</x:v>
      </x:c>
      <x:c r="I226" s="213" t="n">
        <x:f t="shared" si="14"/>
        <x:v>0</x:v>
      </x:c>
      <x:c r="J226" s="212"/>
      <x:c r="K226" s="211"/>
    </x:row>
    <x:row r="227">
      <x:c r="A227" s="217"/>
      <x:c r="B227" s="212" t="str">
        <x:v>       - เต้ารับเดี่ยว (ปลั๊ก)</x:v>
      </x:c>
      <x:c r="C227" s="213" t="n">
        <x:v>44</x:v>
      </x:c>
      <x:c r="D227" s="216" t="str">
        <x:v>ชุด</x:v>
      </x:c>
      <x:c r="E227" s="213" t="n">
        <x:v>0</x:v>
      </x:c>
      <x:c r="F227" s="213" t="n">
        <x:v>0</x:v>
      </x:c>
      <x:c r="G227" s="213" t="n">
        <x:v>0</x:v>
      </x:c>
      <x:c r="H227" s="213" t="n">
        <x:v>0</x:v>
      </x:c>
      <x:c r="I227" s="213" t="n">
        <x:f t="shared" si="14"/>
        <x:v>0</x:v>
      </x:c>
      <x:c r="J227" s="212"/>
      <x:c r="K227" s="211"/>
    </x:row>
    <x:row r="228">
      <x:c r="A228" s="217"/>
      <x:c r="B228" s="212" t="str">
        <x:v>       - เต้ารับแอร์</x:v>
      </x:c>
      <x:c r="C228" s="213" t="n">
        <x:v>12</x:v>
      </x:c>
      <x:c r="D228" s="216" t="str">
        <x:v>ชุด</x:v>
      </x:c>
      <x:c r="E228" s="213" t="n">
        <x:v>0</x:v>
      </x:c>
      <x:c r="F228" s="213" t="n">
        <x:v>0</x:v>
      </x:c>
      <x:c r="G228" s="213" t="n">
        <x:v>0</x:v>
      </x:c>
      <x:c r="H228" s="213" t="n">
        <x:v>0</x:v>
      </x:c>
      <x:c r="I228" s="213" t="n">
        <x:f t="shared" si="14"/>
        <x:v>0</x:v>
      </x:c>
      <x:c r="J228" s="212"/>
      <x:c r="K228" s="211"/>
    </x:row>
    <x:row r="229">
      <x:c r="A229" s="217"/>
      <x:c r="B229" s="212" t="str">
        <x:v>       - เต้ารับน้ำอุ่น</x:v>
      </x:c>
      <x:c r="C229" s="213" t="n">
        <x:v>4</x:v>
      </x:c>
      <x:c r="D229" s="216" t="str">
        <x:v>ชุด</x:v>
      </x:c>
      <x:c r="E229" s="213" t="n">
        <x:v>0</x:v>
      </x:c>
      <x:c r="F229" s="213" t="n">
        <x:v>0</x:v>
      </x:c>
      <x:c r="G229" s="213" t="n">
        <x:v>0</x:v>
      </x:c>
      <x:c r="H229" s="213" t="n">
        <x:v>0</x:v>
      </x:c>
      <x:c r="I229" s="213" t="n">
        <x:f t="shared" si="14"/>
        <x:v>0</x:v>
      </x:c>
      <x:c r="J229" s="212"/>
      <x:c r="K229" s="211"/>
    </x:row>
    <x:row r="230" s="219" customFormat="1" ht="20.25">
      <x:c r="A230" s="225"/>
      <x:c r="B230" s="224" t="str">
        <x:v>รวมงานข้อ 3.2</x:v>
      </x:c>
      <x:c r="C230" s="226"/>
      <x:c r="D230" s="227"/>
      <x:c r="E230" s="226"/>
      <x:c r="F230" s="226" t="n">
        <x:f>ROUND(SUM(F224,F225,F226,F227,F228,F229),2)</x:f>
        <x:v>0</x:v>
      </x:c>
      <x:c r="G230" s="226"/>
      <x:c r="H230" s="226" t="n">
        <x:f>ROUND(SUM(H224,H225,H226,H227,H228,H229),2)</x:f>
        <x:v>0</x:v>
      </x:c>
      <x:c r="I230" s="226" t="n">
        <x:f t="shared" si="14"/>
        <x:v>0</x:v>
      </x:c>
      <x:c r="J230" s="224"/>
      <x:c r="K230" s="218"/>
    </x:row>
    <x:row r="231" s="219" customFormat="1" ht="20.25">
      <x:c r="A231" s="225"/>
      <x:c r="B231" s="224" t="str">
        <x:v> 3.3 งานเดินสายไฟฟ้า</x:v>
      </x:c>
      <x:c r="C231" s="226"/>
      <x:c r="D231" s="227"/>
      <x:c r="E231" s="226" t="n">
        <x:v>0</x:v>
      </x:c>
      <x:c r="F231" s="226" t="n">
        <x:v>0</x:v>
      </x:c>
      <x:c r="G231" s="226" t="n">
        <x:v>0</x:v>
      </x:c>
      <x:c r="H231" s="226" t="n">
        <x:v>0</x:v>
      </x:c>
      <x:c r="I231" s="226" t="n">
        <x:v>0</x:v>
      </x:c>
      <x:c r="J231" s="224"/>
      <x:c r="K231" s="218"/>
    </x:row>
    <x:row r="232">
      <x:c r="A232" s="217"/>
      <x:c r="B232" s="212" t="str">
        <x:v>       - เดินสายไฟฟ้า ดวงโคม เต้ารับ สวิทซ์</x:v>
      </x:c>
      <x:c r="C232" s="213" t="n">
        <x:v>4</x:v>
      </x:c>
      <x:c r="D232" s="216" t="str">
        <x:v>ห้อง</x:v>
      </x:c>
      <x:c r="E232" s="213" t="n">
        <x:v>0</x:v>
      </x:c>
      <x:c r="F232" s="213" t="n">
        <x:v>0</x:v>
      </x:c>
      <x:c r="G232" s="213" t="n">
        <x:v>0</x:v>
      </x:c>
      <x:c r="H232" s="213" t="n">
        <x:v>59700</x:v>
      </x:c>
      <x:c r="I232" s="213" t="n">
        <x:f>ROUND(F232+H232,2)</x:f>
        <x:v>59700</x:v>
      </x:c>
      <x:c r="J232" s="212"/>
      <x:c r="K232" s="211"/>
    </x:row>
    <x:row r="233" s="219" customFormat="1" ht="20.25">
      <x:c r="A233" s="225"/>
      <x:c r="B233" s="224" t="str">
        <x:v>รวมงานข้อ 3.3</x:v>
      </x:c>
      <x:c r="C233" s="226"/>
      <x:c r="D233" s="227"/>
      <x:c r="E233" s="226"/>
      <x:c r="F233" s="226" t="n">
        <x:f>ROUND(SUM(F232),2)</x:f>
        <x:v>0</x:v>
      </x:c>
      <x:c r="G233" s="226"/>
      <x:c r="H233" s="226" t="n">
        <x:f>ROUND(SUM(H232),2)</x:f>
        <x:v>59700</x:v>
      </x:c>
      <x:c r="I233" s="226" t="n">
        <x:f>ROUND(F233+H233,2)</x:f>
        <x:v>59700</x:v>
      </x:c>
      <x:c r="J233" s="224"/>
      <x:c r="K233" s="218"/>
    </x:row>
    <x:row r="234" s="219" customFormat="1" ht="20.25">
      <x:c r="A234" s="225"/>
      <x:c r="B234" s="224" t="str">
        <x:v> 3.4 งานแผงสวิทซ์ และเซอร์กิตเบรกเกอร์</x:v>
      </x:c>
      <x:c r="C234" s="226"/>
      <x:c r="D234" s="227"/>
      <x:c r="E234" s="226" t="n">
        <x:v>0</x:v>
      </x:c>
      <x:c r="F234" s="226" t="n">
        <x:v>0</x:v>
      </x:c>
      <x:c r="G234" s="226" t="n">
        <x:v>2</x:v>
      </x:c>
      <x:c r="H234" s="226" t="n">
        <x:v>0</x:v>
      </x:c>
      <x:c r="I234" s="226" t="n">
        <x:v>0</x:v>
      </x:c>
      <x:c r="J234" s="224"/>
      <x:c r="K234" s="218"/>
    </x:row>
    <x:row r="235">
      <x:c r="A235" s="217"/>
      <x:c r="B235" s="212" t="str">
        <x:v>       - ตู้เบรกเกอร์ ขนาด 12 ช่อง</x:v>
      </x:c>
      <x:c r="C235" s="213" t="n">
        <x:v>4</x:v>
      </x:c>
      <x:c r="D235" s="216" t="str">
        <x:v>ชุด</x:v>
      </x:c>
      <x:c r="E235" s="213" t="n">
        <x:v>0</x:v>
      </x:c>
      <x:c r="F235" s="213" t="n">
        <x:v>0</x:v>
      </x:c>
      <x:c r="G235" s="213" t="n">
        <x:v>3</x:v>
      </x:c>
      <x:c r="H235" s="213" t="n">
        <x:v>6</x:v>
      </x:c>
      <x:c r="I235" s="213" t="n">
        <x:f>ROUND(F235+H235,2)</x:f>
        <x:v>6</x:v>
      </x:c>
      <x:c r="J235" s="212"/>
      <x:c r="K235" s="211"/>
    </x:row>
    <x:row r="236">
      <x:c r="A236" s="217"/>
      <x:c r="B236" s="212" t="str">
        <x:v>       - มาตรวัดกระแสไฟฟ้า ขนาด 15 AMP.</x:v>
      </x:c>
      <x:c r="C236" s="213" t="n">
        <x:v>4</x:v>
      </x:c>
      <x:c r="D236" s="216" t="str">
        <x:v>ชุด</x:v>
      </x:c>
      <x:c r="E236" s="213" t="n">
        <x:v>0</x:v>
      </x:c>
      <x:c r="F236" s="213" t="n">
        <x:v>0</x:v>
      </x:c>
      <x:c r="G236" s="213" t="n">
        <x:v>4</x:v>
      </x:c>
      <x:c r="H236" s="213" t="n">
        <x:v>8</x:v>
      </x:c>
      <x:c r="I236" s="213" t="n">
        <x:f>ROUND(F236+H236,2)</x:f>
        <x:v>8</x:v>
      </x:c>
      <x:c r="J236" s="212"/>
      <x:c r="K236" s="211"/>
    </x:row>
    <x:row r="237">
      <x:c r="A237" s="217"/>
      <x:c r="B237" s="212" t="str">
        <x:v>       - รวมยอดค่าของค่าแรง เหมางานไฟฟ้า 1 ห้อง</x:v>
      </x:c>
      <x:c r="C237" s="213" t="n">
        <x:v>2</x:v>
      </x:c>
      <x:c r="D237" s="216" t="str">
        <x:v>หลัง</x:v>
      </x:c>
      <x:c r="E237" s="213" t="n">
        <x:v>0</x:v>
      </x:c>
      <x:c r="F237" s="213" t="n">
        <x:v>0</x:v>
      </x:c>
      <x:c r="G237" s="213" t="n">
        <x:v>29850</x:v>
      </x:c>
      <x:c r="H237" s="213" t="n">
        <x:v>59700</x:v>
      </x:c>
      <x:c r="I237" s="213" t="n">
        <x:f>ROUND(F237+H237,2)</x:f>
        <x:v>59700</x:v>
      </x:c>
      <x:c r="J237" s="212"/>
      <x:c r="K237" s="211"/>
    </x:row>
    <x:row r="238" s="219" customFormat="1" ht="20.25">
      <x:c r="A238" s="225"/>
      <x:c r="B238" s="224" t="str">
        <x:v>รวมงานข้อ 3.4</x:v>
      </x:c>
      <x:c r="C238" s="226"/>
      <x:c r="D238" s="227"/>
      <x:c r="E238" s="226"/>
      <x:c r="F238" s="226" t="n">
        <x:f>ROUND(SUM(F235,F236,F237),2)</x:f>
        <x:v>0</x:v>
      </x:c>
      <x:c r="G238" s="226"/>
      <x:c r="H238" s="226" t="n">
        <x:f>ROUND(SUM(H235,H236,H237),2)</x:f>
        <x:v>59714</x:v>
      </x:c>
      <x:c r="I238" s="226" t="n">
        <x:f>ROUND(F238+H238,2)</x:f>
        <x:v>59714</x:v>
      </x:c>
      <x:c r="J238" s="224"/>
      <x:c r="K238" s="218"/>
    </x:row>
    <x:row r="239" s="219" customFormat="1" ht="20.25">
      <x:c r="A239" s="220" t="n">
        <x:v>3</x:v>
      </x:c>
      <x:c r="B239" s="221" t="str">
        <x:v>รวมค่างานระบบไฟฟ้าและสื่อสารทั้งหมด </x:v>
      </x:c>
      <x:c r="C239" s="222"/>
      <x:c r="D239" s="223" t="str">
        <x:v>รวม</x:v>
      </x:c>
      <x:c r="E239" s="222"/>
      <x:c r="F239" s="222" t="n">
        <x:f>ROUND(SUM(F217,F218,F219,F220,F221,F224,F225,F226,F227,F228,F229,F232,F235,F236,F237),2)</x:f>
        <x:v>7852</x:v>
      </x:c>
      <x:c r="G239" s="222"/>
      <x:c r="H239" s="222" t="n">
        <x:f>ROUND(SUM(H217,H218,H219,H220,H221,H224,H225,H226,H227,H228,H229,H232,H235,H236,H237),2)</x:f>
        <x:v>119414</x:v>
      </x:c>
      <x:c r="I239" s="222" t="n">
        <x:f>ROUND(F239+H239,2)</x:f>
        <x:v>127266</x:v>
      </x:c>
      <x:c r="J239" s="221"/>
      <x:c r="K239" s="218"/>
    </x:row>
    <x:row r="240">
      <x:c r="A240" s="267"/>
      <x:c r="B240" s="268"/>
      <x:c r="C240" s="268"/>
      <x:c r="D240" s="268"/>
      <x:c r="E240" s="268"/>
      <x:c r="F240" s="268"/>
      <x:c r="G240" s="268"/>
      <x:c r="H240" s="268"/>
      <x:c r="I240" s="268"/>
      <x:c r="J240" s="269"/>
      <x:c r="K240" s="211"/>
    </x:row>
    <x:row r="241" s="219" customFormat="1" ht="20.25">
      <x:c r="A241" s="220" t="n">
        <x:v>4</x:v>
      </x:c>
      <x:c r="B241" s="221" t="str">
        <x:v>งานต่อเติมหลังคาที่จอดรถหน้าบ้าน</x:v>
      </x:c>
      <x:c r="C241" s="222"/>
      <x:c r="D241" s="223"/>
      <x:c r="E241" s="222"/>
      <x:c r="F241" s="222"/>
      <x:c r="G241" s="222"/>
      <x:c r="H241" s="222"/>
      <x:c r="I241" s="222"/>
      <x:c r="J241" s="221"/>
      <x:c r="K241" s="218"/>
    </x:row>
    <x:row r="242">
      <x:c r="A242" s="217"/>
      <x:c r="B242" s="212" t="str">
        <x:v>       - เหล็กกล่อง 4"x4"x2.3 mm</x:v>
      </x:c>
      <x:c r="C242" s="213" t="n">
        <x:v>4</x:v>
      </x:c>
      <x:c r="D242" s="216" t="str">
        <x:v>เส้น</x:v>
      </x:c>
      <x:c r="E242" s="213" t="n">
        <x:v>1105</x:v>
      </x:c>
      <x:c r="F242" s="213" t="n">
        <x:v>4420</x:v>
      </x:c>
      <x:c r="G242" s="213" t="n">
        <x:v>0</x:v>
      </x:c>
      <x:c r="H242" s="213" t="n">
        <x:v>0</x:v>
      </x:c>
      <x:c r="I242" s="213" t="n">
        <x:f t="shared" ref="I242:I264" si="15">ROUND(F242+H242,2)</x:f>
        <x:v>4420</x:v>
      </x:c>
      <x:c r="J242" s="212"/>
      <x:c r="K242" s="211"/>
    </x:row>
    <x:row r="243">
      <x:c r="A243" s="217"/>
      <x:c r="B243" s="212" t="str">
        <x:v>       - เหล็กกล่อง 4"x2"x2.3 mm</x:v>
      </x:c>
      <x:c r="C243" s="213" t="n">
        <x:v>7.33</x:v>
      </x:c>
      <x:c r="D243" s="216" t="str">
        <x:v>เส้น</x:v>
      </x:c>
      <x:c r="E243" s="213" t="n">
        <x:v>810</x:v>
      </x:c>
      <x:c r="F243" s="213" t="n">
        <x:v>5940</x:v>
      </x:c>
      <x:c r="G243" s="213" t="n">
        <x:v>0</x:v>
      </x:c>
      <x:c r="H243" s="213" t="n">
        <x:v>0</x:v>
      </x:c>
      <x:c r="I243" s="213" t="n">
        <x:f t="shared" si="15"/>
        <x:v>5940</x:v>
      </x:c>
      <x:c r="J243" s="212"/>
      <x:c r="K243" s="211"/>
    </x:row>
    <x:row r="244">
      <x:c r="A244" s="217"/>
      <x:c r="B244" s="212" t="str">
        <x:v>       - เหล็กกล่อง 3"x1.5"x1.8 mm</x:v>
      </x:c>
      <x:c r="C244" s="213" t="n">
        <x:v>8</x:v>
      </x:c>
      <x:c r="D244" s="216" t="str">
        <x:v>เส้น</x:v>
      </x:c>
      <x:c r="E244" s="213" t="n">
        <x:v>610</x:v>
      </x:c>
      <x:c r="F244" s="213" t="n">
        <x:v>4880</x:v>
      </x:c>
      <x:c r="G244" s="213" t="n">
        <x:v>0</x:v>
      </x:c>
      <x:c r="H244" s="213" t="n">
        <x:v>0</x:v>
      </x:c>
      <x:c r="I244" s="213" t="n">
        <x:f t="shared" si="15"/>
        <x:v>4880</x:v>
      </x:c>
      <x:c r="J244" s="212"/>
      <x:c r="K244" s="211"/>
    </x:row>
    <x:row r="245">
      <x:c r="A245" s="217"/>
      <x:c r="B245" s="212" t="str">
        <x:v>       - เหล็กกล่อง 1.5"x1.5"x1.8 mm</x:v>
      </x:c>
      <x:c r="C245" s="213" t="n">
        <x:v>24</x:v>
      </x:c>
      <x:c r="D245" s="216" t="str">
        <x:v>เส้น</x:v>
      </x:c>
      <x:c r="E245" s="213" t="n">
        <x:v>395</x:v>
      </x:c>
      <x:c r="F245" s="213" t="n">
        <x:v>9480</x:v>
      </x:c>
      <x:c r="G245" s="213" t="n">
        <x:v>0</x:v>
      </x:c>
      <x:c r="H245" s="213" t="n">
        <x:v>0</x:v>
      </x:c>
      <x:c r="I245" s="213" t="n">
        <x:f t="shared" si="15"/>
        <x:v>9480</x:v>
      </x:c>
      <x:c r="J245" s="212"/>
      <x:c r="K245" s="211"/>
    </x:row>
    <x:row r="246">
      <x:c r="A246" s="217"/>
      <x:c r="B246" s="212" t="str">
        <x:v>       - PL-6"x6"x 6 mm.</x:v>
      </x:c>
      <x:c r="C246" s="213" t="n">
        <x:v>4.67</x:v>
      </x:c>
      <x:c r="D246" s="216" t="str">
        <x:v>แผ่น</x:v>
      </x:c>
      <x:c r="E246" s="213" t="n">
        <x:v>49</x:v>
      </x:c>
      <x:c r="F246" s="213" t="n">
        <x:v>228.67</x:v>
      </x:c>
      <x:c r="G246" s="213" t="n">
        <x:v>0</x:v>
      </x:c>
      <x:c r="H246" s="213" t="n">
        <x:v>0</x:v>
      </x:c>
      <x:c r="I246" s="213" t="n">
        <x:f t="shared" si="15"/>
        <x:v>228.67</x:v>
      </x:c>
      <x:c r="J246" s="212"/>
      <x:c r="K246" s="211"/>
    </x:row>
    <x:row r="247">
      <x:c r="A247" s="217"/>
      <x:c r="B247" s="212" t="str">
        <x:v>       - PL-5"x5"x 6 mm.</x:v>
      </x:c>
      <x:c r="C247" s="213" t="n">
        <x:v>4.67</x:v>
      </x:c>
      <x:c r="D247" s="216" t="str">
        <x:v>แผ่น</x:v>
      </x:c>
      <x:c r="E247" s="213" t="n">
        <x:v>39</x:v>
      </x:c>
      <x:c r="F247" s="213" t="n">
        <x:v>182</x:v>
      </x:c>
      <x:c r="G247" s="213" t="n">
        <x:v>0</x:v>
      </x:c>
      <x:c r="H247" s="213" t="n">
        <x:v>0</x:v>
      </x:c>
      <x:c r="I247" s="213" t="n">
        <x:f t="shared" si="15"/>
        <x:v>182</x:v>
      </x:c>
      <x:c r="J247" s="212"/>
      <x:c r="K247" s="211"/>
    </x:row>
    <x:row r="248">
      <x:c r="A248" s="217"/>
      <x:c r="B248" s="212" t="str">
        <x:v>       -แฟตบาร์ 2"x2"x4.00มม.</x:v>
      </x:c>
      <x:c r="C248" s="213" t="n">
        <x:v>1.33</x:v>
      </x:c>
      <x:c r="D248" s="216" t="str">
        <x:v>เส้น</x:v>
      </x:c>
      <x:c r="E248" s="213" t="n">
        <x:v>285</x:v>
      </x:c>
      <x:c r="F248" s="213" t="n">
        <x:v>380</x:v>
      </x:c>
      <x:c r="G248" s="213" t="n">
        <x:v>0</x:v>
      </x:c>
      <x:c r="H248" s="213" t="n">
        <x:v>0</x:v>
      </x:c>
      <x:c r="I248" s="213" t="n">
        <x:f t="shared" si="15"/>
        <x:v>380</x:v>
      </x:c>
      <x:c r="J248" s="212"/>
      <x:c r="K248" s="211"/>
    </x:row>
    <x:row r="249">
      <x:c r="A249" s="217"/>
      <x:c r="B249" s="212" t="str">
        <x:v>       - ไม้ตกแต่งซีซาแนล 6 นิ้ว</x:v>
      </x:c>
      <x:c r="C249" s="213" t="n">
        <x:v>8.67</x:v>
      </x:c>
      <x:c r="D249" s="216" t="str">
        <x:v>เส้น</x:v>
      </x:c>
      <x:c r="E249" s="213" t="n">
        <x:v>250</x:v>
      </x:c>
      <x:c r="F249" s="213" t="n">
        <x:v>2166.67</x:v>
      </x:c>
      <x:c r="G249" s="213" t="n">
        <x:v>0</x:v>
      </x:c>
      <x:c r="H249" s="213" t="n">
        <x:v>0</x:v>
      </x:c>
      <x:c r="I249" s="213" t="n">
        <x:f t="shared" si="15"/>
        <x:v>2166.67</x:v>
      </x:c>
      <x:c r="J249" s="212"/>
      <x:c r="K249" s="211"/>
    </x:row>
    <x:row r="250">
      <x:c r="A250" s="217"/>
      <x:c r="B250" s="212" t="str">
        <x:v>       - แผ่นเมทัลชีท PU FORM</x:v>
      </x:c>
      <x:c r="C250" s="213" t="n">
        <x:v>34</x:v>
      </x:c>
      <x:c r="D250" s="216" t="str">
        <x:v>เมตร</x:v>
      </x:c>
      <x:c r="E250" s="213" t="n">
        <x:v>212</x:v>
      </x:c>
      <x:c r="F250" s="213" t="n">
        <x:v>7208</x:v>
      </x:c>
      <x:c r="G250" s="213" t="n">
        <x:v>0</x:v>
      </x:c>
      <x:c r="H250" s="213" t="n">
        <x:v>0</x:v>
      </x:c>
      <x:c r="I250" s="213" t="n">
        <x:f t="shared" si="15"/>
        <x:v>7208</x:v>
      </x:c>
      <x:c r="J250" s="212"/>
      <x:c r="K250" s="211"/>
    </x:row>
    <x:row r="251">
      <x:c r="A251" s="217"/>
      <x:c r="B251" s="212" t="str">
        <x:v>       - สกรูยิงแผ่น</x:v>
      </x:c>
      <x:c r="C251" s="213" t="n">
        <x:v>133.33</x:v>
      </x:c>
      <x:c r="D251" s="216" t="str">
        <x:v>ตัว</x:v>
      </x:c>
      <x:c r="E251" s="213" t="n">
        <x:v>2.7</x:v>
      </x:c>
      <x:c r="F251" s="213" t="n">
        <x:v>360</x:v>
      </x:c>
      <x:c r="G251" s="213" t="n">
        <x:v>0</x:v>
      </x:c>
      <x:c r="H251" s="213" t="n">
        <x:v>0</x:v>
      </x:c>
      <x:c r="I251" s="213" t="n">
        <x:f t="shared" si="15"/>
        <x:v>360</x:v>
      </x:c>
      <x:c r="J251" s="212"/>
      <x:c r="K251" s="211"/>
    </x:row>
    <x:row r="252">
      <x:c r="A252" s="217"/>
      <x:c r="B252" s="212" t="str">
        <x:v>       - ลวดเชื่อม KOBE 2.6 มม.</x:v>
      </x:c>
      <x:c r="C252" s="213" t="n">
        <x:v>0.67</x:v>
      </x:c>
      <x:c r="D252" s="216" t="str">
        <x:v>ลัง</x:v>
      </x:c>
      <x:c r="E252" s="213" t="n">
        <x:v>1500</x:v>
      </x:c>
      <x:c r="F252" s="213" t="n">
        <x:v>1000</x:v>
      </x:c>
      <x:c r="G252" s="213" t="n">
        <x:v>0</x:v>
      </x:c>
      <x:c r="H252" s="213" t="n">
        <x:v>0</x:v>
      </x:c>
      <x:c r="I252" s="213" t="n">
        <x:f t="shared" si="15"/>
        <x:v>1000</x:v>
      </x:c>
      <x:c r="J252" s="212"/>
      <x:c r="K252" s="211"/>
    </x:row>
    <x:row r="253">
      <x:c r="A253" s="217"/>
      <x:c r="B253" s="212" t="str">
        <x:v>       - ทาสีกันสนิมโครงเหล็กหลังคา KOBE สีเทา</x:v>
      </x:c>
      <x:c r="C253" s="213" t="n">
        <x:v>2</x:v>
      </x:c>
      <x:c r="D253" s="216" t="str">
        <x:v>ถัง</x:v>
      </x:c>
      <x:c r="E253" s="213" t="n">
        <x:v>1189</x:v>
      </x:c>
      <x:c r="F253" s="213" t="n">
        <x:v>2378</x:v>
      </x:c>
      <x:c r="G253" s="213" t="n">
        <x:v>0</x:v>
      </x:c>
      <x:c r="H253" s="213" t="n">
        <x:v>0</x:v>
      </x:c>
      <x:c r="I253" s="213" t="n">
        <x:f t="shared" si="15"/>
        <x:v>2378</x:v>
      </x:c>
      <x:c r="J253" s="212"/>
      <x:c r="K253" s="211"/>
    </x:row>
    <x:row r="254">
      <x:c r="A254" s="217"/>
      <x:c r="B254" s="212" t="str">
        <x:v>       - น้ำมันสน</x:v>
      </x:c>
      <x:c r="C254" s="213" t="n">
        <x:v>0.67</x:v>
      </x:c>
      <x:c r="D254" s="216" t="str">
        <x:v>ถัง</x:v>
      </x:c>
      <x:c r="E254" s="213" t="n">
        <x:v>499</x:v>
      </x:c>
      <x:c r="F254" s="213" t="n">
        <x:v>332.67</x:v>
      </x:c>
      <x:c r="G254" s="213" t="n">
        <x:v>0</x:v>
      </x:c>
      <x:c r="H254" s="213" t="n">
        <x:v>0</x:v>
      </x:c>
      <x:c r="I254" s="213" t="n">
        <x:f t="shared" si="15"/>
        <x:v>332.67</x:v>
      </x:c>
      <x:c r="J254" s="212"/>
      <x:c r="K254" s="211"/>
    </x:row>
    <x:row r="255">
      <x:c r="A255" s="217"/>
      <x:c r="B255" s="212" t="str">
        <x:v>       - ใบตัดเหล็ก 14 นิ้ว</x:v>
      </x:c>
      <x:c r="C255" s="213" t="n">
        <x:v>4</x:v>
      </x:c>
      <x:c r="D255" s="216" t="str">
        <x:v>ใบ</x:v>
      </x:c>
      <x:c r="E255" s="213" t="n">
        <x:v>98</x:v>
      </x:c>
      <x:c r="F255" s="213" t="n">
        <x:v>392</x:v>
      </x:c>
      <x:c r="G255" s="213" t="n">
        <x:v>0</x:v>
      </x:c>
      <x:c r="H255" s="213" t="n">
        <x:v>0</x:v>
      </x:c>
      <x:c r="I255" s="213" t="n">
        <x:f t="shared" si="15"/>
        <x:v>392</x:v>
      </x:c>
      <x:c r="J255" s="212"/>
      <x:c r="K255" s="211"/>
    </x:row>
    <x:row r="256">
      <x:c r="A256" s="217"/>
      <x:c r="B256" s="212" t="str">
        <x:v>  - งานติดตั้งโครงหลังคาเหล็ก </x:v>
      </x:c>
      <x:c r="C256" s="213" t="n">
        <x:v>320</x:v>
      </x:c>
      <x:c r="D256" s="216" t="str">
        <x:v>ตรม</x:v>
      </x:c>
      <x:c r="E256" s="213" t="n">
        <x:v>0</x:v>
      </x:c>
      <x:c r="F256" s="213" t="n">
        <x:v>0</x:v>
      </x:c>
      <x:c r="G256" s="213" t="n">
        <x:v>23.291666666666668</x:v>
      </x:c>
      <x:c r="H256" s="213" t="n">
        <x:v>7453.33</x:v>
      </x:c>
      <x:c r="I256" s="213" t="n">
        <x:f t="shared" si="15"/>
        <x:v>7453.33</x:v>
      </x:c>
      <x:c r="J256" s="212"/>
      <x:c r="K256" s="211"/>
    </x:row>
    <x:row r="257">
      <x:c r="A257" s="217"/>
      <x:c r="B257" s="212" t="str">
        <x:v>  - งานติดตั้งรางน้ำ</x:v>
      </x:c>
      <x:c r="C257" s="213" t="n">
        <x:v>1000</x:v>
      </x:c>
      <x:c r="D257" s="216" t="str">
        <x:v>เมตร</x:v>
      </x:c>
      <x:c r="E257" s="213" t="n">
        <x:v>0</x:v>
      </x:c>
      <x:c r="F257" s="213" t="n">
        <x:v>0</x:v>
      </x:c>
      <x:c r="G257" s="213" t="n">
        <x:v>6.453333333333333</x:v>
      </x:c>
      <x:c r="H257" s="213" t="n">
        <x:v>6453.33</x:v>
      </x:c>
      <x:c r="I257" s="213" t="n">
        <x:f t="shared" si="15"/>
        <x:v>6453.33</x:v>
      </x:c>
      <x:c r="J257" s="212"/>
      <x:c r="K257" s="211"/>
    </x:row>
    <x:row r="258">
      <x:c r="A258" s="217"/>
      <x:c r="B258" s="212" t="str">
        <x:v>  - งานติดตั้งแฟลชชิ่ง ครอบข้าง รวมมุกหน้าบ้าน</x:v>
      </x:c>
      <x:c r="C258" s="213" t="n">
        <x:v>140</x:v>
      </x:c>
      <x:c r="D258" s="216" t="str">
        <x:v>เมตร</x:v>
      </x:c>
      <x:c r="E258" s="213" t="n">
        <x:v>0</x:v>
      </x:c>
      <x:c r="F258" s="213" t="n">
        <x:v>0</x:v>
      </x:c>
      <x:c r="G258" s="213" t="n">
        <x:v>17.5</x:v>
      </x:c>
      <x:c r="H258" s="213" t="n">
        <x:v>2450</x:v>
      </x:c>
      <x:c r="I258" s="213" t="n">
        <x:f t="shared" si="15"/>
        <x:v>2450</x:v>
      </x:c>
      <x:c r="J258" s="212"/>
      <x:c r="K258" s="211"/>
    </x:row>
    <x:row r="259">
      <x:c r="A259" s="217"/>
      <x:c r="B259" s="212" t="str">
        <x:v>  - งานตั้งเสา</x:v>
      </x:c>
      <x:c r="C259" s="213" t="n">
        <x:v>2000</x:v>
      </x:c>
      <x:c r="D259" s="216" t="str">
        <x:v>ต้น</x:v>
      </x:c>
      <x:c r="E259" s="213" t="n">
        <x:v>0</x:v>
      </x:c>
      <x:c r="F259" s="213" t="n">
        <x:v>0</x:v>
      </x:c>
      <x:c r="G259" s="213" t="n">
        <x:v>1.3333333333333333</x:v>
      </x:c>
      <x:c r="H259" s="213" t="n">
        <x:v>2666.67</x:v>
      </x:c>
      <x:c r="I259" s="213" t="n">
        <x:f t="shared" si="15"/>
        <x:v>2666.67</x:v>
      </x:c>
      <x:c r="J259" s="212"/>
      <x:c r="K259" s="211"/>
    </x:row>
    <x:row r="260">
      <x:c r="A260" s="217"/>
      <x:c r="B260" s="212" t="str">
        <x:v>  - งานมุงหลังคาเมทัลชีท</x:v>
      </x:c>
      <x:c r="C260" s="213" t="n">
        <x:v>140</x:v>
      </x:c>
      <x:c r="D260" s="216" t="str">
        <x:v>ตรม</x:v>
      </x:c>
      <x:c r="E260" s="213" t="n">
        <x:v>0</x:v>
      </x:c>
      <x:c r="F260" s="213" t="n">
        <x:v>0</x:v>
      </x:c>
      <x:c r="G260" s="213" t="n">
        <x:v>18.900000000000002</x:v>
      </x:c>
      <x:c r="H260" s="213" t="n">
        <x:v>2646</x:v>
      </x:c>
      <x:c r="I260" s="213" t="n">
        <x:f t="shared" si="15"/>
        <x:v>2646</x:v>
      </x:c>
      <x:c r="J260" s="212"/>
      <x:c r="K260" s="211"/>
    </x:row>
    <x:row r="261">
      <x:c r="A261" s="217"/>
      <x:c r="B261" s="212" t="str">
        <x:v>  - งานทาสีโครงหลังคา</x:v>
      </x:c>
      <x:c r="C261" s="213" t="n">
        <x:v>100</x:v>
      </x:c>
      <x:c r="D261" s="216" t="str">
        <x:v>ตรม</x:v>
      </x:c>
      <x:c r="E261" s="213" t="n">
        <x:v>0</x:v>
      </x:c>
      <x:c r="F261" s="213" t="n">
        <x:v>0</x:v>
      </x:c>
      <x:c r="G261" s="213" t="n">
        <x:v>18.900000000000002</x:v>
      </x:c>
      <x:c r="H261" s="213" t="n">
        <x:v>1890</x:v>
      </x:c>
      <x:c r="I261" s="213" t="n">
        <x:f t="shared" si="15"/>
        <x:v>1890</x:v>
      </x:c>
      <x:c r="J261" s="212"/>
      <x:c r="K261" s="211"/>
    </x:row>
    <x:row r="262">
      <x:c r="A262" s="217"/>
      <x:c r="B262" s="212" t="str">
        <x:v>  - งานเดินท่อน้ำฝน </x:v>
      </x:c>
      <x:c r="C262" s="213" t="n">
        <x:v>1200</x:v>
      </x:c>
      <x:c r="D262" s="216" t="str">
        <x:v>หลัง</x:v>
      </x:c>
      <x:c r="E262" s="213" t="n">
        <x:v>0</x:v>
      </x:c>
      <x:c r="F262" s="213" t="n">
        <x:v>0</x:v>
      </x:c>
      <x:c r="G262" s="213" t="n">
        <x:v>1</x:v>
      </x:c>
      <x:c r="H262" s="213" t="n">
        <x:v>1200</x:v>
      </x:c>
      <x:c r="I262" s="213" t="n">
        <x:f t="shared" si="15"/>
        <x:v>1200</x:v>
      </x:c>
      <x:c r="J262" s="212"/>
      <x:c r="K262" s="211"/>
    </x:row>
    <x:row r="263">
      <x:c r="A263" s="217"/>
      <x:c r="B263" s="212" t="str">
        <x:v>  - งานติดตั้งซีซาแนลต่อเติมหน้าบ้าน</x:v>
      </x:c>
      <x:c r="C263" s="213" t="n">
        <x:v>220</x:v>
      </x:c>
      <x:c r="D263" s="216" t="str">
        <x:v>เมตร</x:v>
      </x:c>
      <x:c r="E263" s="213" t="n">
        <x:v>0</x:v>
      </x:c>
      <x:c r="F263" s="213" t="n">
        <x:v>0</x:v>
      </x:c>
      <x:c r="G263" s="213" t="n">
        <x:v>6.47</x:v>
      </x:c>
      <x:c r="H263" s="213" t="n">
        <x:v>1423.4</x:v>
      </x:c>
      <x:c r="I263" s="213" t="n">
        <x:f t="shared" si="15"/>
        <x:v>1423.4</x:v>
      </x:c>
      <x:c r="J263" s="212"/>
      <x:c r="K263" s="211"/>
    </x:row>
    <x:row r="264" s="219" customFormat="1" ht="20.25">
      <x:c r="A264" s="220" t="n">
        <x:v>4</x:v>
      </x:c>
      <x:c r="B264" s="221" t="str">
        <x:v>รวมค่างานต่อเติมหลังคาที่จอดรถหน้าทั้งหมด </x:v>
      </x:c>
      <x:c r="C264" s="222"/>
      <x:c r="D264" s="223" t="str">
        <x:v>รวม</x:v>
      </x:c>
      <x:c r="E264" s="222"/>
      <x:c r="F264" s="222" t="n">
        <x:f>ROUND(SUM(F242,F243,F244,F245,F246,F247,F248,F249,F250,F251,F252,F253,F254,F255,F256,F257,F258,F259,F260,F261,F262,F263),2)</x:f>
        <x:v>39348.01</x:v>
      </x:c>
      <x:c r="G264" s="222"/>
      <x:c r="H264" s="222" t="n">
        <x:f>ROUND(SUM(H242,H243,H244,H245,H246,H247,H248,H249,H250,H251,H252,H253,H254,H255,H256,H257,H258,H259,H260,H261,H262,H263),2)</x:f>
        <x:v>26182.73</x:v>
      </x:c>
      <x:c r="I264" s="222" t="n">
        <x:f t="shared" si="15"/>
        <x:v>65530.74</x:v>
      </x:c>
      <x:c r="J264" s="221"/>
      <x:c r="K264" s="218"/>
    </x:row>
    <x:row r="265">
      <x:c r="C265" s="211"/>
      <x:c r="D265" s="214"/>
      <x:c r="E265" s="211"/>
      <x:c r="F265" s="211"/>
      <x:c r="G265" s="211"/>
      <x:c r="H265" s="211"/>
      <x:c r="I265" s="211"/>
      <x:c r="K265" s="211"/>
    </x:row>
    <x:row r="266">
      <x:c r="C266" s="211"/>
      <x:c r="D266" s="214"/>
      <x:c r="E266" s="211"/>
      <x:c r="F266" s="211"/>
      <x:c r="G266" s="211"/>
      <x:c r="H266" s="211"/>
      <x:c r="I266" s="211"/>
      <x:c r="K266" s="211"/>
    </x:row>
    <x:row r="267">
      <x:c r="C267" s="211"/>
      <x:c r="D267" s="214"/>
      <x:c r="E267" s="211"/>
      <x:c r="F267" s="211"/>
      <x:c r="G267" s="211"/>
      <x:c r="H267" s="211"/>
      <x:c r="I267" s="211"/>
      <x:c r="K267" s="211"/>
    </x:row>
    <x:row r="268">
      <x:c r="C268" s="211"/>
      <x:c r="D268" s="214"/>
      <x:c r="E268" s="211"/>
      <x:c r="F268" s="211"/>
      <x:c r="G268" s="211"/>
      <x:c r="H268" s="211"/>
      <x:c r="I268" s="211"/>
      <x:c r="K268" s="211"/>
    </x:row>
    <x:row r="269">
      <x:c r="C269" s="211"/>
      <x:c r="D269" s="214"/>
      <x:c r="E269" s="211"/>
      <x:c r="F269" s="211"/>
      <x:c r="G269" s="211"/>
      <x:c r="H269" s="211"/>
      <x:c r="I269" s="211"/>
      <x:c r="K269" s="211"/>
    </x:row>
    <x:row r="270">
      <x:c r="C270" s="211"/>
      <x:c r="D270" s="214"/>
      <x:c r="E270" s="211"/>
      <x:c r="F270" s="211"/>
      <x:c r="G270" s="211"/>
      <x:c r="H270" s="211"/>
      <x:c r="I270" s="211"/>
      <x:c r="K270" s="211"/>
    </x:row>
    <x:row r="271">
      <x:c r="C271" s="211"/>
      <x:c r="D271" s="214"/>
      <x:c r="E271" s="211"/>
      <x:c r="F271" s="211"/>
      <x:c r="G271" s="211"/>
      <x:c r="H271" s="211"/>
      <x:c r="I271" s="211"/>
      <x:c r="K271" s="211"/>
    </x:row>
    <x:row r="272">
      <x:c r="C272" s="211"/>
      <x:c r="D272" s="214"/>
      <x:c r="E272" s="211"/>
      <x:c r="F272" s="211"/>
      <x:c r="G272" s="211"/>
      <x:c r="H272" s="211"/>
      <x:c r="I272" s="211"/>
      <x:c r="K272" s="211"/>
    </x:row>
    <x:row r="273">
      <x:c r="C273" s="211"/>
      <x:c r="D273" s="214"/>
      <x:c r="E273" s="211"/>
      <x:c r="F273" s="211"/>
      <x:c r="G273" s="211"/>
      <x:c r="H273" s="211"/>
      <x:c r="I273" s="211"/>
      <x:c r="K273" s="211"/>
    </x:row>
  </x:sheetData>
  <x:mergeCells>
    <x:mergeCell ref="A65:J65"/>
    <x:mergeCell ref="A214:J214"/>
    <x:mergeCell ref="A240:J240"/>
    <x:mergeCell ref="A1:J1"/>
    <x:mergeCell ref="A2:J2"/>
    <x:mergeCell ref="A4:A5"/>
    <x:mergeCell ref="B4:B5"/>
    <x:mergeCell ref="C4:C5"/>
    <x:mergeCell ref="D4:D5"/>
    <x:mergeCell ref="E4:F4"/>
    <x:mergeCell ref="G4:H4"/>
    <x:mergeCell ref="J4:J5"/>
  </x:mergeCells>
  <x:pageMargins left="0.7" right="0.7" top="0.75" bottom="0.75" header="0.3" footer="0.3"/>
</x:worksheet>
</file>